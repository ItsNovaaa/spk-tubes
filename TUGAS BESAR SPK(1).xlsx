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PERBANDINGAN + AGREGASI" sheetId="2" r:id="rId6"/>
    <sheet state="visible" name="MEREC" sheetId="3" r:id="rId7"/>
    <sheet state="visible" name="MARCOS" sheetId="4" r:id="rId8"/>
    <sheet state="visible" name="FUCOM" sheetId="5" r:id="rId9"/>
    <sheet state="visible" name="VIKOR" sheetId="6" r:id="rId10"/>
    <sheet state="visible" name="WPM" sheetId="7" r:id="rId11"/>
    <sheet state="visible" name="JOBSHEET MINGGU 14" sheetId="8" r:id="rId12"/>
    <sheet state="visible" name="Evaluasi SPK" sheetId="9" r:id="rId13"/>
    <sheet state="visible" name="sensitivity analysis" sheetId="10" r:id="rId14"/>
  </sheets>
  <definedNames/>
  <calcPr/>
</workbook>
</file>

<file path=xl/sharedStrings.xml><?xml version="1.0" encoding="utf-8"?>
<sst xmlns="http://schemas.openxmlformats.org/spreadsheetml/2006/main" count="1410" uniqueCount="341">
  <si>
    <t>ALTERNATIF</t>
  </si>
  <si>
    <t>C1</t>
  </si>
  <si>
    <t>C2</t>
  </si>
  <si>
    <t>C3</t>
  </si>
  <si>
    <t>C4</t>
  </si>
  <si>
    <t>C5</t>
  </si>
  <si>
    <t>C6</t>
  </si>
  <si>
    <t>C7</t>
  </si>
  <si>
    <t>C8</t>
  </si>
  <si>
    <t>C9</t>
  </si>
  <si>
    <t>C10</t>
  </si>
  <si>
    <t>AMANDA NABABAN</t>
  </si>
  <si>
    <t>ARNITA NABABAN</t>
  </si>
  <si>
    <t>MORES NABABAN</t>
  </si>
  <si>
    <t>SARITUA MARPAUNG</t>
  </si>
  <si>
    <t>ELSA NABABAN</t>
  </si>
  <si>
    <t>HADI SAPUTRA</t>
  </si>
  <si>
    <t>IRFAN AGUS</t>
  </si>
  <si>
    <t>LESTARI SIBAGARIANG</t>
  </si>
  <si>
    <t>JOSIA NABABAN</t>
  </si>
  <si>
    <t>IRMA SIANIPAR</t>
  </si>
  <si>
    <t>LAMTIUR NABABAN</t>
  </si>
  <si>
    <t>RAHUL NABABAN</t>
  </si>
  <si>
    <t>HOSIANA NABABAN</t>
  </si>
  <si>
    <t>ESTER NABABAN</t>
  </si>
  <si>
    <t>ANWAR NABABAN</t>
  </si>
  <si>
    <t>MORISCA SIBAGARIANG</t>
  </si>
  <si>
    <t>ELFRIDA SITINJAK</t>
  </si>
  <si>
    <t>CREDO NABABAN</t>
  </si>
  <si>
    <t>SERDI SILITONGA</t>
  </si>
  <si>
    <t>JELMANRO SILITONGA</t>
  </si>
  <si>
    <t>Kriteria</t>
  </si>
  <si>
    <t>Nama Kriteria</t>
  </si>
  <si>
    <t>Nilai rata-rata raport</t>
  </si>
  <si>
    <t>Ekstrakurikuler</t>
  </si>
  <si>
    <t>Keaktifan</t>
  </si>
  <si>
    <t>Keterampilan</t>
  </si>
  <si>
    <t>Kepribadian</t>
  </si>
  <si>
    <t>Kedisiplinan</t>
  </si>
  <si>
    <t>Sikap</t>
  </si>
  <si>
    <t>Sertifikat prestasi</t>
  </si>
  <si>
    <t>Tanggung jawab</t>
  </si>
  <si>
    <t>Absen</t>
  </si>
  <si>
    <t>HASIL PERBANDINGAN PERANKINGAN MEREC + MARCOS DENGAN FUCOM + VIKOR</t>
  </si>
  <si>
    <t>RANKING</t>
  </si>
  <si>
    <t>MEREC + MARCOS</t>
  </si>
  <si>
    <t>FUCOM + VIKOR</t>
  </si>
  <si>
    <t>BERDASARKAN PERBANDINGAN DARI KEDUA METODE TERSEBUT SISWA BERPRESTASI ADALAH SARITUA MARPAUNG, DIMANA PADA KEDUA METODE TERSEBUT MENEMPATI RANKING PERTAMA</t>
  </si>
  <si>
    <t>PERBANDINGAN RANKING DENGAN MENGGUNAKAN METODE SAW DAN WP BERDASARKAN JURNAL YANG KAMI GUNAKAN</t>
  </si>
  <si>
    <t>REKAP PERBANDINGAN RANKING SEMUA METODE</t>
  </si>
  <si>
    <t>SAW</t>
  </si>
  <si>
    <t>WP</t>
  </si>
  <si>
    <t>BEST</t>
  </si>
  <si>
    <t>HITUNG GABUNGAN RANK DENGAN BORDA</t>
  </si>
  <si>
    <t>KE 1</t>
  </si>
  <si>
    <t>KE 2</t>
  </si>
  <si>
    <t>KE 3</t>
  </si>
  <si>
    <t>KE 4</t>
  </si>
  <si>
    <t>KE 5</t>
  </si>
  <si>
    <t>KE 6</t>
  </si>
  <si>
    <t>KE 7</t>
  </si>
  <si>
    <t>KE 8</t>
  </si>
  <si>
    <t xml:space="preserve">KE 9 </t>
  </si>
  <si>
    <t>KE 10</t>
  </si>
  <si>
    <t>KE 11</t>
  </si>
  <si>
    <t>KE 12</t>
  </si>
  <si>
    <t>KE 13</t>
  </si>
  <si>
    <t>KE 14</t>
  </si>
  <si>
    <t>KE 15</t>
  </si>
  <si>
    <t>KE 16</t>
  </si>
  <si>
    <t>KE 17</t>
  </si>
  <si>
    <t>KE 18</t>
  </si>
  <si>
    <t>KE 19</t>
  </si>
  <si>
    <t>KE 20</t>
  </si>
  <si>
    <t>SKOR BORDA</t>
  </si>
  <si>
    <t>PERINGKAT AKHIR</t>
  </si>
  <si>
    <t>BOBOT</t>
  </si>
  <si>
    <t>AI</t>
  </si>
  <si>
    <t>NORMALISASI</t>
  </si>
  <si>
    <t>PERHITUNGAN NILAI AWAL Si</t>
  </si>
  <si>
    <t>Si</t>
  </si>
  <si>
    <t>PERHITUNGAN PERFORMA ALTERNATIF</t>
  </si>
  <si>
    <t>PERHITUNGAN DEVISIASI ABSOLUT</t>
  </si>
  <si>
    <t>JUMLAH</t>
  </si>
  <si>
    <t>PERHITUNGAN BOBOT AKHIR KRITERIA</t>
  </si>
  <si>
    <t>RANK</t>
  </si>
  <si>
    <t>PERHITUNGAN MARCOS DENGAN BOBOT MEREC</t>
  </si>
  <si>
    <t>AAI</t>
  </si>
  <si>
    <t>NORMALISASI BOBOT</t>
  </si>
  <si>
    <t>HASIL NORMALISASI TERBOBOT</t>
  </si>
  <si>
    <t>PERHITUNGAN NILAI UTILITAS</t>
  </si>
  <si>
    <t>WSM dengan BOBOT MEREC</t>
  </si>
  <si>
    <t>Rank WSM</t>
  </si>
  <si>
    <t>Ki-</t>
  </si>
  <si>
    <t>Ki+</t>
  </si>
  <si>
    <t>f(ki-)</t>
  </si>
  <si>
    <t>f(ki+)</t>
  </si>
  <si>
    <t>f(ki)</t>
  </si>
  <si>
    <t>Ranking</t>
  </si>
  <si>
    <t>Urutan Ranking Berdasarkan Nama Alternatif</t>
  </si>
  <si>
    <t>PERANKINGAN MARCOS MENGGUNAKAN BOBOT FUCOM</t>
  </si>
  <si>
    <t>WSM bobot FUCOM</t>
  </si>
  <si>
    <t>Rank WSM bobot FUCOM</t>
  </si>
  <si>
    <t>F(Ki-)</t>
  </si>
  <si>
    <t>F(Ki+)</t>
  </si>
  <si>
    <t>F(Ki)</t>
  </si>
  <si>
    <t>Ranking MARCOS bobot FUCOM</t>
  </si>
  <si>
    <t>PERANKINGAN MARCOS DENGAN BOBOT ARTIKEL</t>
  </si>
  <si>
    <t>BOBOT ARTIKEL</t>
  </si>
  <si>
    <t>Si atau WSM</t>
  </si>
  <si>
    <t>jumlah</t>
  </si>
  <si>
    <t>Ranking MARCOS bobot artikel</t>
  </si>
  <si>
    <t>NILAI AGREGAT</t>
  </si>
  <si>
    <t>URUTAN PRIORITAS</t>
  </si>
  <si>
    <t>KRITERIA</t>
  </si>
  <si>
    <t>HASIL URUTAN DARI TERBESAR KE TERKECIL</t>
  </si>
  <si>
    <t>TERKECIL</t>
  </si>
  <si>
    <t>RASIO PRIORITAS KOMPARATIF</t>
  </si>
  <si>
    <t>𝜑1</t>
  </si>
  <si>
    <t>C2/C3</t>
  </si>
  <si>
    <t>𝜑2</t>
  </si>
  <si>
    <t>C3/C7</t>
  </si>
  <si>
    <t>𝜑3</t>
  </si>
  <si>
    <t>C7/C9</t>
  </si>
  <si>
    <t>𝜑4</t>
  </si>
  <si>
    <t>C9/C8</t>
  </si>
  <si>
    <t>𝜑5</t>
  </si>
  <si>
    <t>C8/C6</t>
  </si>
  <si>
    <t>𝜑6</t>
  </si>
  <si>
    <t>C6/C1</t>
  </si>
  <si>
    <t>𝜑7</t>
  </si>
  <si>
    <t>C1/C4</t>
  </si>
  <si>
    <t>𝜑8</t>
  </si>
  <si>
    <t>C4/C10</t>
  </si>
  <si>
    <t>𝜑9</t>
  </si>
  <si>
    <t>C10/C5</t>
  </si>
  <si>
    <t>w10/w5</t>
  </si>
  <si>
    <t>MENGHITUNG BOBOT KONSISTEN DAN NORMALISASI</t>
  </si>
  <si>
    <t xml:space="preserve">DIHITUNG MULAI DARI KRITERIA TERAKHIR SEBAGAI BASIS W10 = 1 </t>
  </si>
  <si>
    <t xml:space="preserve">W10 </t>
  </si>
  <si>
    <t>W9</t>
  </si>
  <si>
    <t>𝜑9*W10</t>
  </si>
  <si>
    <t>W8</t>
  </si>
  <si>
    <t>𝜑8*W9</t>
  </si>
  <si>
    <t>W7</t>
  </si>
  <si>
    <t>𝜑7*W8</t>
  </si>
  <si>
    <t>W6</t>
  </si>
  <si>
    <t>𝜑6*W7</t>
  </si>
  <si>
    <t>W5</t>
  </si>
  <si>
    <t>𝜑5*W6</t>
  </si>
  <si>
    <t>W4</t>
  </si>
  <si>
    <t>𝜑4*W5</t>
  </si>
  <si>
    <t>W3</t>
  </si>
  <si>
    <t>𝜑3*W4</t>
  </si>
  <si>
    <t>W2</t>
  </si>
  <si>
    <t>𝜑2*W3</t>
  </si>
  <si>
    <t xml:space="preserve">W1 </t>
  </si>
  <si>
    <t>𝜑1*W2</t>
  </si>
  <si>
    <t>∑𝑤𝑗</t>
  </si>
  <si>
    <t>JUMLAH Wj</t>
  </si>
  <si>
    <t>Untuk memperoleh bobot akhir yang dapat digunakan pada tahap selanjutnya, seluruh bobot kemudian dinormalisasi sehingga total bobot bernilai satu.</t>
  </si>
  <si>
    <t>BOBOT TIAP KRITERIA</t>
  </si>
  <si>
    <t>W1 norm</t>
  </si>
  <si>
    <t>W2 norm</t>
  </si>
  <si>
    <t>W3 norm</t>
  </si>
  <si>
    <t>W4 norm</t>
  </si>
  <si>
    <t>W5 norm</t>
  </si>
  <si>
    <t>W6 norm</t>
  </si>
  <si>
    <t>W7 norm</t>
  </si>
  <si>
    <t>W8 norm</t>
  </si>
  <si>
    <t>W9 norm</t>
  </si>
  <si>
    <t>W10 norm</t>
  </si>
  <si>
    <t>W10/Wj</t>
  </si>
  <si>
    <t>JUMLAH BOBOT</t>
  </si>
  <si>
    <t>1. Menentukan urutan prioritas kriteria</t>
  </si>
  <si>
    <t>dinormalisasikan untuk menghilangkan perbedaan satuan antar-kriteria</t>
  </si>
  <si>
    <t>untuk kriteria benefit</t>
  </si>
  <si>
    <t>Xi norm = (Xi - Xmin) / (Xmax - Xmin)</t>
  </si>
  <si>
    <t>untuk kriteria cost</t>
  </si>
  <si>
    <t>Xi norm = (Xmax - Xi) / (Xmax - Xmin)</t>
  </si>
  <si>
    <t>Xi  = nilai asli dari alternatif ke - i</t>
  </si>
  <si>
    <t>Xmin = nilai minimum dari seluruh alternatif pada kriteria tersebut</t>
  </si>
  <si>
    <t>Xmax = nilai maksimum dari seluruh alternatif pada kriteria tersebut</t>
  </si>
  <si>
    <t xml:space="preserve">Hasil normalisasi kemudian digunakan untuk merepresentasikan kontribusi relatif masing-masing kriteria.  Nilai    agregat    dari    hasil normalisasi  ini  dijadikan  sebagai  dasar  penentuan tingkat    kepentingan    kriteria.    Penentuan    urutan prioritas kriteria dalam penelitian ini didasarkan pada nilai  agregat  hasil  normalisasi  data.  Pendekatanini mengasumsikan  bahwa  kriteria  dengan  nilai  agregat normalisasi  yang  lebih  tinggi  memiliki  kontribusi diskriminatif  yang  lebih  besar  </t>
  </si>
  <si>
    <t>2. Menetapkan nilai rasio prioritas komparatif antar kriteria yang berurutan</t>
  </si>
  <si>
    <t>Φ=(𝜑1,𝜑2,⋯,𝜑𝑛−1)</t>
  </si>
  <si>
    <t>Φ= himpunan semua rasio prioritas komparatif</t>
  </si>
  <si>
    <t>Nilai𝜑𝑘(phi)mencerminkan tingkat perbandingan kepentingan antara dua kriteria yang berurutan dan dihitung sebagai rasio tingkat kepentingan kriteria</t>
  </si>
  <si>
    <t>𝜑𝑘 = Kepentingan Cj(k) / Kepentingan Cj(k+1)</t>
  </si>
  <si>
    <t>𝜑𝑘= rasio prioritas kriteria ke-k terhadap kriteria ke-k+1</t>
  </si>
  <si>
    <t>3. Menghitung bobot konsisten dan normalisasi</t>
  </si>
  <si>
    <t>Bobot relatif antar-kriteria dihitung berdasarkan rasio prioritas komparatif menggunakan Persamaan</t>
  </si>
  <si>
    <t>Wk / Wk+1 = 𝜑𝑘</t>
  </si>
  <si>
    <t>k = 1, ...., n-1</t>
  </si>
  <si>
    <t>Wk = bobot kriteria ke-K</t>
  </si>
  <si>
    <t>Wk+1 = bobot kriteria ke- K+1</t>
  </si>
  <si>
    <t>Setelah seluruh bobot relatif diperoleh, dilakukan proses normalisasi agar jumlah keseluruhan bobot bernilai satu dan setiap bobot bersifat non-negatif,</t>
  </si>
  <si>
    <t>∑𝑤𝑗=1,𝑛𝑗=1𝑤𝑗≥0</t>
  </si>
  <si>
    <t>𝑤𝑗= bobot final kriteria ke-j</t>
  </si>
  <si>
    <t>n = jumlah seluruh kriteria</t>
  </si>
  <si>
    <t>Bobot FUCOM</t>
  </si>
  <si>
    <t>Jumlah</t>
  </si>
  <si>
    <t>MENGHITUNG NILAI S &amp; R &amp; Q</t>
  </si>
  <si>
    <t>S</t>
  </si>
  <si>
    <t>R</t>
  </si>
  <si>
    <t>Q</t>
  </si>
  <si>
    <t>S (HASILNY SAMA KOK)</t>
  </si>
  <si>
    <t>S-</t>
  </si>
  <si>
    <t>S+</t>
  </si>
  <si>
    <t>R-</t>
  </si>
  <si>
    <t>R+</t>
  </si>
  <si>
    <t>V</t>
  </si>
  <si>
    <t>RANKING NAME</t>
  </si>
  <si>
    <t>RANKING NUMBER</t>
  </si>
  <si>
    <t>tahapan VIKOR</t>
  </si>
  <si>
    <t xml:space="preserve">1. membuat matriks keputusan </t>
  </si>
  <si>
    <t>2. melakukan normalisasi matriks</t>
  </si>
  <si>
    <t>Rij = ( Xj+  - Xij / Xj+ - Xj-)</t>
  </si>
  <si>
    <t>Rij = nilai normalisasi untuk alternatif i pada kriteria ke j</t>
  </si>
  <si>
    <t>Xj+ = elemen terbaik dari kriteria j</t>
  </si>
  <si>
    <t>Xj- = elemen terburuk dari kriteria j</t>
  </si>
  <si>
    <t>Xij = nilai alternatif i pada kriteria ke j</t>
  </si>
  <si>
    <t>2. Menghitung nilai S dan R</t>
  </si>
  <si>
    <t>S = jumlah dari hasil normalisasi alternatif i pada kriteria j dikali bobot kriteria j</t>
  </si>
  <si>
    <t>R = max dari perkalian normalisasi dan bobot pada setiap alternatif i</t>
  </si>
  <si>
    <t>3. menentukan indeks Q</t>
  </si>
  <si>
    <t>4. melakukan perankingan berdasarkan nilai Q</t>
  </si>
  <si>
    <t>Perankingan VIKOR menggunakan bobot artikel</t>
  </si>
  <si>
    <t>Bobot Artikel</t>
  </si>
  <si>
    <t>Perankingan VIKOR menggunakan bobot MEREC</t>
  </si>
  <si>
    <t>Bobot merec</t>
  </si>
  <si>
    <t>BOBOT TIAP KRITERIA FUCOM</t>
  </si>
  <si>
    <t>Perankingan WPM menggunakan bobot FUCOM</t>
  </si>
  <si>
    <t>SKOR WPM</t>
  </si>
  <si>
    <t>WSM</t>
  </si>
  <si>
    <t>Reank</t>
  </si>
  <si>
    <t>HASIL WPM MEREC</t>
  </si>
  <si>
    <t>rank</t>
  </si>
  <si>
    <t>wsm merec</t>
  </si>
  <si>
    <t>A1</t>
  </si>
  <si>
    <t>A2</t>
  </si>
  <si>
    <t>A3</t>
  </si>
  <si>
    <t>A4</t>
  </si>
  <si>
    <t>A5</t>
  </si>
  <si>
    <t>A6</t>
  </si>
  <si>
    <t>A7</t>
  </si>
  <si>
    <t>A8</t>
  </si>
  <si>
    <t>A9</t>
  </si>
  <si>
    <t>A10</t>
  </si>
  <si>
    <t>A11</t>
  </si>
  <si>
    <t>A12</t>
  </si>
  <si>
    <t>A13</t>
  </si>
  <si>
    <t>A14</t>
  </si>
  <si>
    <t>A15</t>
  </si>
  <si>
    <t>A16</t>
  </si>
  <si>
    <t>A17</t>
  </si>
  <si>
    <t>A18</t>
  </si>
  <si>
    <t>A19</t>
  </si>
  <si>
    <t>A20</t>
  </si>
  <si>
    <t>WPM DATASET</t>
  </si>
  <si>
    <t>rank wpm</t>
  </si>
  <si>
    <t>wsm dataset</t>
  </si>
  <si>
    <t>Alternatif</t>
  </si>
  <si>
    <t>skor DDS</t>
  </si>
  <si>
    <t>Rank DDS</t>
  </si>
  <si>
    <t>Rank Manager</t>
  </si>
  <si>
    <t>d</t>
  </si>
  <si>
    <t>d^2</t>
  </si>
  <si>
    <t>p</t>
  </si>
  <si>
    <t>A1 Visual Studio</t>
  </si>
  <si>
    <t>strongly positive</t>
  </si>
  <si>
    <t>A2 Intelij IDEA</t>
  </si>
  <si>
    <t>dapat dinyatakan valid berdasarkan perbandingan dengan keputusan manager</t>
  </si>
  <si>
    <t>A3 Eclipse</t>
  </si>
  <si>
    <t xml:space="preserve">implikasi praktis = </t>
  </si>
  <si>
    <t>A4 Pycharm</t>
  </si>
  <si>
    <t>interpretasi dan kesimpulan =</t>
  </si>
  <si>
    <t>A5 Netbeans</t>
  </si>
  <si>
    <t>A6 VS code</t>
  </si>
  <si>
    <t>a. hitung selisih peringkat (d) dan kuadrat selisih (d2)</t>
  </si>
  <si>
    <t>lengkapi kolom d = (Rank DSS - Rank Manager) dan d2 pada tabel. kemudian jumlahkan semua nilai d2 untuk mendapatkan sigma d2</t>
  </si>
  <si>
    <t>b. hitung kolerasi spearman (p)</t>
  </si>
  <si>
    <t>gunakan rumus</t>
  </si>
  <si>
    <t>dimana n = jumlah alternatif. tunjukkan seluruh langkah perhitungan</t>
  </si>
  <si>
    <t>c. interpretasi hasil dan kesimpulan</t>
  </si>
  <si>
    <t>berdasarkan nilai p yang diperoleh: 1. termasuk dalam kategori korelasi apa? 2. apakah DSS dapat dinyatakan valid berdasarkan perbandingan dengan keputusan manager? 3. apa implikasi praktis dari hasil ini bagi perusahaan?</t>
  </si>
  <si>
    <t>skenario bobot c3</t>
  </si>
  <si>
    <t>a1 rank</t>
  </si>
  <si>
    <t>a2 rank</t>
  </si>
  <si>
    <t>a3 rank</t>
  </si>
  <si>
    <t>a4 rank</t>
  </si>
  <si>
    <t>a5 rank</t>
  </si>
  <si>
    <t>w3 = 0,10 (-15%)</t>
  </si>
  <si>
    <t>a1 = 2, a2 = 1, a3 = 3, a4 = 5, a5 = 4</t>
  </si>
  <si>
    <t>terjadi perubahan</t>
  </si>
  <si>
    <t>alternatif paling stabil = a4, konsisten selalu mendapat rank 5</t>
  </si>
  <si>
    <t>w3 = 0,15 (-10%)</t>
  </si>
  <si>
    <t>sama seperti skenario -15</t>
  </si>
  <si>
    <t xml:space="preserve">alternatif paling tidak stabil = </t>
  </si>
  <si>
    <t>w3 = 0,25 (baseline)</t>
  </si>
  <si>
    <t>a1 = 1, a2 = 2, a3 = 3, a4 = 5, a5 = 4</t>
  </si>
  <si>
    <t>baseline</t>
  </si>
  <si>
    <t>w3 = 0,35 (+10%)</t>
  </si>
  <si>
    <t>a1 = 1, a2 = 2, a3 = 4, a4 = 5, a5 = 3</t>
  </si>
  <si>
    <t>w3 = 0,45 (+20%)</t>
  </si>
  <si>
    <t>sama seperti skenario +10</t>
  </si>
  <si>
    <t>a. identifikasi titik perubahan peringkat (rank reversal)</t>
  </si>
  <si>
    <t>1. pada skenario bobot berapa saja terjadi perubahan peringkat (rank reversal)?</t>
  </si>
  <si>
    <t>2. alternatif mana yang paling stabil dan paling tidak stabil posisi peringkatnya? tunjukkan jawaban dengan merujuk pada data tabel</t>
  </si>
  <si>
    <t>b. hitung korelasi spearman setiap skenario vs baseline</t>
  </si>
  <si>
    <t>hitunglah nilai korelasi spearman (p) antara setiap skenario dengan peringkat baseline (w3 = 0,25)</t>
  </si>
  <si>
    <t>perhitungan korelasi spearman</t>
  </si>
  <si>
    <t>alternatif</t>
  </si>
  <si>
    <t>rank skenario -15%</t>
  </si>
  <si>
    <t>a1</t>
  </si>
  <si>
    <t>korelasi sangat kuat</t>
  </si>
  <si>
    <t>a2</t>
  </si>
  <si>
    <t>a3</t>
  </si>
  <si>
    <t>untuk perhitungan skenario -10% tidak perlu dihitung ulang karena rankingnya sama, jadi hasil perbandingannya pasti sama juga</t>
  </si>
  <si>
    <t>a4</t>
  </si>
  <si>
    <t>a5</t>
  </si>
  <si>
    <t>rank skenario +10%</t>
  </si>
  <si>
    <t>untuk perhitungan skenario +20% tidak perlu dihitung ulang karena rankingnya sama, jadi hasil perbandingannya pasti sama juga</t>
  </si>
  <si>
    <t>STUDI KASUS 1 MENGGUNAKAN BOBOT MEREC</t>
  </si>
  <si>
    <t>FUCOM + MARCOS</t>
  </si>
  <si>
    <t>P</t>
  </si>
  <si>
    <t>MEREC + VIKOR</t>
  </si>
  <si>
    <t xml:space="preserve">Studi Kasus 2: Sensitivity Analysis (FUCOM + VIKOR)                                        </t>
  </si>
  <si>
    <t>Skenario Bobot C2</t>
  </si>
  <si>
    <t>W2 = **** (-20%)</t>
  </si>
  <si>
    <t>W2 = **** (-10%)</t>
  </si>
  <si>
    <t>W2 = 0,1266666667 (Baseline)</t>
  </si>
  <si>
    <t>W2 = **** (+10%)</t>
  </si>
  <si>
    <t>W2 = **** (+20%)</t>
  </si>
  <si>
    <t>Skenario Bobot W2</t>
  </si>
  <si>
    <t>Normalisasi Bobot</t>
  </si>
  <si>
    <t>skenario -10%</t>
  </si>
  <si>
    <t>skenario -5%</t>
  </si>
  <si>
    <t>skenario +5%</t>
  </si>
  <si>
    <t>skenario +10%</t>
  </si>
  <si>
    <t>Wj</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</si>
</sst>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
    <numFmt numFmtId="165" formatCode="m.yyyy"/>
    <numFmt numFmtId="166" formatCode="dd.mm"/>
    <numFmt numFmtId="167" formatCode="yyyy.m"/>
    <numFmt numFmtId="168" formatCode="yyyy.mm"/>
    <numFmt numFmtId="169" formatCode="0.000000"/>
    <numFmt numFmtId="170" formatCode="0.00000"/>
  </numFmts>
  <fonts count="8">
    <font>
      <sz val="10.0"/>
      <color rgb="FF000000"/>
      <name val="Calibri"/>
      <scheme val="minor"/>
    </font>
    <font>
      <color theme="1"/>
      <name val="Calibri"/>
      <scheme val="minor"/>
    </font>
    <font>
      <b/>
      <color theme="1"/>
      <name val="Calibri"/>
      <scheme val="minor"/>
    </font>
    <font>
      <sz val="10.0"/>
      <color theme="1"/>
      <name val="Calibri"/>
      <scheme val="minor"/>
    </font>
    <font>
      <color rgb="FFFFFFFF"/>
      <name val="Calibri"/>
      <scheme val="minor"/>
    </font>
    <font>
      <sz val="9.0"/>
      <color theme="1"/>
      <name val="Calibri"/>
      <scheme val="minor"/>
    </font>
    <font>
      <sz val="10.0"/>
      <color rgb="FFFFFFFF"/>
      <name val="Calibri"/>
      <scheme val="minor"/>
    </font>
    <font>
      <color rgb="FF000000"/>
      <name val="Calibri"/>
      <scheme val="minor"/>
    </font>
  </fonts>
  <fills count="32">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CCCCCC"/>
        <bgColor rgb="FFCCCCCC"/>
      </patternFill>
    </fill>
    <fill>
      <patternFill patternType="solid">
        <fgColor rgb="FFFF0000"/>
        <bgColor rgb="FFFF0000"/>
      </patternFill>
    </fill>
    <fill>
      <patternFill patternType="solid">
        <fgColor rgb="FFFFE599"/>
        <bgColor rgb="FFFFE599"/>
      </patternFill>
    </fill>
    <fill>
      <patternFill patternType="solid">
        <fgColor rgb="FFF9CB9C"/>
        <bgColor rgb="FFF9CB9C"/>
      </patternFill>
    </fill>
    <fill>
      <patternFill patternType="solid">
        <fgColor rgb="FFFFD966"/>
        <bgColor rgb="FFFFD966"/>
      </patternFill>
    </fill>
    <fill>
      <patternFill patternType="solid">
        <fgColor rgb="FFE6B8AF"/>
        <bgColor rgb="FFE6B8AF"/>
      </patternFill>
    </fill>
    <fill>
      <patternFill patternType="solid">
        <fgColor rgb="FFD0E0E3"/>
        <bgColor rgb="FFD0E0E3"/>
      </patternFill>
    </fill>
    <fill>
      <patternFill patternType="solid">
        <fgColor rgb="FF00FFFF"/>
        <bgColor rgb="FF00FFFF"/>
      </patternFill>
    </fill>
    <fill>
      <patternFill patternType="solid">
        <fgColor rgb="FFFCE5CD"/>
        <bgColor rgb="FFFCE5CD"/>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D9D2E9"/>
        <bgColor rgb="FFD9D2E9"/>
      </patternFill>
    </fill>
    <fill>
      <patternFill patternType="solid">
        <fgColor rgb="FF00FF00"/>
        <bgColor rgb="FF00FF00"/>
      </patternFill>
    </fill>
    <fill>
      <patternFill patternType="solid">
        <fgColor rgb="FFFFF2CC"/>
        <bgColor rgb="FFFFF2CC"/>
      </patternFill>
    </fill>
    <fill>
      <patternFill patternType="solid">
        <fgColor rgb="FFCFE2F3"/>
        <bgColor rgb="FFCFE2F3"/>
      </patternFill>
    </fill>
    <fill>
      <patternFill patternType="solid">
        <fgColor rgb="FFFF00FF"/>
        <bgColor rgb="FFFF00FF"/>
      </patternFill>
    </fill>
    <fill>
      <patternFill patternType="solid">
        <fgColor rgb="FFFF9900"/>
        <bgColor rgb="FFFF9900"/>
      </patternFill>
    </fill>
    <fill>
      <patternFill patternType="solid">
        <fgColor rgb="FFEA9999"/>
        <bgColor rgb="FFEA9999"/>
      </patternFill>
    </fill>
    <fill>
      <patternFill patternType="solid">
        <fgColor rgb="FF4A86E8"/>
        <bgColor rgb="FF4A86E8"/>
      </patternFill>
    </fill>
    <fill>
      <patternFill patternType="solid">
        <fgColor rgb="FFA2C4C9"/>
        <bgColor rgb="FFA2C4C9"/>
      </patternFill>
    </fill>
    <fill>
      <patternFill patternType="solid">
        <fgColor rgb="FF134F5C"/>
        <bgColor rgb="FF134F5C"/>
      </patternFill>
    </fill>
    <fill>
      <patternFill patternType="solid">
        <fgColor rgb="FFB6D7A8"/>
        <bgColor rgb="FFB6D7A8"/>
      </patternFill>
    </fill>
    <fill>
      <patternFill patternType="solid">
        <fgColor rgb="FFF6B26B"/>
        <bgColor rgb="FFF6B26B"/>
      </patternFill>
    </fill>
    <fill>
      <patternFill patternType="solid">
        <fgColor rgb="FFFFFFFF"/>
        <bgColor rgb="FFFFFFFF"/>
      </patternFill>
    </fill>
    <fill>
      <patternFill patternType="solid">
        <fgColor rgb="FFE06666"/>
        <bgColor rgb="FFE06666"/>
      </patternFill>
    </fill>
    <fill>
      <patternFill patternType="solid">
        <fgColor rgb="FFF4CCCC"/>
        <bgColor rgb="FFF4CCCC"/>
      </patternFill>
    </fill>
    <fill>
      <patternFill patternType="solid">
        <fgColor rgb="FFE69138"/>
        <bgColor rgb="FFE69138"/>
      </patternFill>
    </fill>
  </fills>
  <borders count="1">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0" fontId="1" numFmtId="0" xfId="0" applyAlignment="1" applyFont="1">
      <alignment readingOrder="0"/>
    </xf>
    <xf borderId="0" fillId="4" fontId="1" numFmtId="0" xfId="0" applyAlignment="1" applyFill="1" applyFont="1">
      <alignment readingOrder="0"/>
    </xf>
    <xf borderId="0" fillId="0" fontId="2" numFmtId="0" xfId="0" applyAlignment="1" applyFont="1">
      <alignment horizontal="center" readingOrder="0"/>
    </xf>
    <xf borderId="0" fillId="5" fontId="1" numFmtId="0" xfId="0" applyAlignment="1" applyFill="1" applyFont="1">
      <alignment readingOrder="0"/>
    </xf>
    <xf borderId="0" fillId="5" fontId="1" numFmtId="0" xfId="0" applyFont="1"/>
    <xf borderId="0" fillId="6" fontId="1" numFmtId="0" xfId="0" applyAlignment="1" applyFill="1" applyFont="1">
      <alignment readingOrder="0"/>
    </xf>
    <xf borderId="0" fillId="7" fontId="1" numFmtId="0" xfId="0" applyFill="1" applyFont="1"/>
    <xf borderId="0" fillId="8" fontId="1" numFmtId="0" xfId="0" applyFill="1" applyFont="1"/>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3"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4" fontId="1" numFmtId="0" xfId="0" applyAlignment="1" applyFont="1">
      <alignment readingOrder="0" shrinkToFit="0" vertical="center" wrapText="0"/>
    </xf>
    <xf borderId="0" fillId="9" fontId="1" numFmtId="0" xfId="0" applyAlignment="1" applyFill="1" applyFont="1">
      <alignment readingOrder="0"/>
    </xf>
    <xf borderId="0" fillId="10" fontId="1" numFmtId="0" xfId="0" applyAlignment="1" applyFill="1" applyFont="1">
      <alignment readingOrder="0"/>
    </xf>
    <xf borderId="0" fillId="7" fontId="1" numFmtId="0" xfId="0" applyAlignment="1" applyFont="1">
      <alignment readingOrder="0"/>
    </xf>
    <xf borderId="0" fillId="11" fontId="1" numFmtId="0" xfId="0" applyAlignment="1" applyFill="1" applyFont="1">
      <alignment readingOrder="0"/>
    </xf>
    <xf borderId="0" fillId="11" fontId="1" numFmtId="0" xfId="0" applyFont="1"/>
    <xf borderId="0" fillId="12" fontId="1" numFmtId="0" xfId="0" applyAlignment="1" applyFill="1" applyFont="1">
      <alignment readingOrder="0"/>
    </xf>
    <xf borderId="0" fillId="13" fontId="1" numFmtId="0" xfId="0" applyAlignment="1" applyFill="1" applyFont="1">
      <alignment readingOrder="0"/>
    </xf>
    <xf borderId="0" fillId="6" fontId="1" numFmtId="0" xfId="0" applyFont="1"/>
    <xf borderId="0" fillId="14" fontId="1" numFmtId="0" xfId="0" applyAlignment="1" applyFill="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14" fontId="1" numFmtId="0" xfId="0" applyFont="1"/>
    <xf borderId="0" fillId="15" fontId="1" numFmtId="0" xfId="0" applyFill="1" applyFont="1"/>
    <xf borderId="0" fillId="15" fontId="1" numFmtId="0" xfId="0" applyAlignment="1" applyFont="1">
      <alignment readingOrder="0"/>
    </xf>
    <xf borderId="0" fillId="16" fontId="1" numFmtId="0" xfId="0" applyFill="1" applyFont="1"/>
    <xf borderId="0" fillId="16"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1" xfId="0" applyAlignment="1" applyFont="1" applyNumberFormat="1">
      <alignment readingOrder="0"/>
    </xf>
    <xf borderId="0" fillId="0" fontId="1" numFmtId="168" xfId="0" applyAlignment="1" applyFont="1" applyNumberFormat="1">
      <alignment readingOrder="0"/>
    </xf>
    <xf borderId="0" fillId="10" fontId="1" numFmtId="0" xfId="0" applyFont="1"/>
    <xf borderId="0" fillId="17" fontId="1" numFmtId="0" xfId="0" applyAlignment="1" applyFill="1" applyFont="1">
      <alignment readingOrder="0"/>
    </xf>
    <xf borderId="0" fillId="18" fontId="1" numFmtId="0" xfId="0" applyFill="1" applyFont="1"/>
    <xf borderId="0" fillId="9" fontId="1" numFmtId="0" xfId="0" applyFont="1"/>
    <xf borderId="0" fillId="0" fontId="1" numFmtId="0" xfId="0" applyFont="1"/>
    <xf borderId="0" fillId="12" fontId="1" numFmtId="0" xfId="0" applyFont="1"/>
    <xf borderId="0" fillId="19" fontId="1" numFmtId="0" xfId="0" applyFill="1" applyFont="1"/>
    <xf borderId="0" fillId="19" fontId="1" numFmtId="169" xfId="0" applyFont="1" applyNumberFormat="1"/>
    <xf borderId="0" fillId="17" fontId="1" numFmtId="0" xfId="0" applyFont="1"/>
    <xf borderId="0" fillId="2" fontId="1" numFmtId="0" xfId="0" applyFont="1"/>
    <xf borderId="0" fillId="20" fontId="1" numFmtId="0" xfId="0" applyAlignment="1" applyFill="1" applyFont="1">
      <alignment readingOrder="0"/>
    </xf>
    <xf borderId="0" fillId="20" fontId="1" numFmtId="0" xfId="0" applyFont="1"/>
    <xf borderId="0" fillId="11" fontId="1" numFmtId="0" xfId="0" applyAlignment="1" applyFont="1">
      <alignment shrinkToFit="0" wrapText="0"/>
    </xf>
    <xf borderId="0" fillId="2" fontId="1" numFmtId="2" xfId="0" applyFont="1" applyNumberFormat="1"/>
    <xf borderId="0" fillId="21" fontId="1" numFmtId="0" xfId="0" applyAlignment="1" applyFill="1" applyFont="1">
      <alignment readingOrder="0"/>
    </xf>
    <xf borderId="0" fillId="22" fontId="1" numFmtId="0" xfId="0" applyFill="1" applyFont="1"/>
    <xf borderId="0" fillId="23" fontId="1" numFmtId="0" xfId="0" applyAlignment="1" applyFill="1" applyFont="1">
      <alignment readingOrder="0"/>
    </xf>
    <xf borderId="0" fillId="23" fontId="1" numFmtId="0" xfId="0" applyFont="1"/>
    <xf borderId="0" fillId="24" fontId="1" numFmtId="0" xfId="0" applyAlignment="1" applyFill="1" applyFont="1">
      <alignment readingOrder="0"/>
    </xf>
    <xf borderId="0" fillId="25" fontId="1" numFmtId="0" xfId="0" applyAlignment="1" applyFill="1" applyFont="1">
      <alignment readingOrder="0"/>
    </xf>
    <xf borderId="0" fillId="25" fontId="1" numFmtId="0" xfId="0" applyFont="1"/>
    <xf borderId="0" fillId="26" fontId="1" numFmtId="0" xfId="0" applyAlignment="1" applyFill="1" applyFont="1">
      <alignment readingOrder="0"/>
    </xf>
    <xf borderId="0" fillId="26" fontId="1" numFmtId="0" xfId="0" applyFont="1"/>
    <xf borderId="0" fillId="19" fontId="1" numFmtId="0" xfId="0" applyAlignment="1" applyFont="1">
      <alignment readingOrder="0"/>
    </xf>
    <xf borderId="0" fillId="27" fontId="1" numFmtId="170" xfId="0" applyAlignment="1" applyFill="1" applyFont="1" applyNumberFormat="1">
      <alignment readingOrder="0"/>
    </xf>
    <xf borderId="0" fillId="3" fontId="1" numFmtId="170" xfId="0" applyAlignment="1" applyFont="1" applyNumberFormat="1">
      <alignment readingOrder="0"/>
    </xf>
    <xf borderId="0" fillId="3" fontId="1" numFmtId="1" xfId="0" applyAlignment="1" applyFont="1" applyNumberFormat="1">
      <alignment readingOrder="0"/>
    </xf>
    <xf borderId="0" fillId="28" fontId="1" numFmtId="170" xfId="0" applyAlignment="1" applyFill="1" applyFont="1" applyNumberFormat="1">
      <alignment readingOrder="0"/>
    </xf>
    <xf borderId="0" fillId="28" fontId="1" numFmtId="1" xfId="0" applyAlignment="1" applyFont="1" applyNumberFormat="1">
      <alignment readingOrder="0"/>
    </xf>
    <xf borderId="0" fillId="0" fontId="3" numFmtId="0" xfId="0" applyFont="1"/>
    <xf borderId="0" fillId="7" fontId="1" numFmtId="1" xfId="0" applyAlignment="1" applyFont="1" applyNumberFormat="1">
      <alignment readingOrder="0"/>
    </xf>
    <xf borderId="0" fillId="6" fontId="1" numFmtId="1" xfId="0" applyFont="1" applyNumberFormat="1"/>
    <xf borderId="0" fillId="5" fontId="4" numFmtId="0" xfId="0" applyAlignment="1" applyFont="1">
      <alignment readingOrder="0"/>
    </xf>
    <xf borderId="0" fillId="5" fontId="4" numFmtId="0" xfId="0" applyFont="1"/>
    <xf borderId="0" fillId="27" fontId="1" numFmtId="0" xfId="0" applyAlignment="1" applyFont="1">
      <alignment readingOrder="0"/>
    </xf>
    <xf borderId="0" fillId="3" fontId="1" numFmtId="0" xfId="0" applyFont="1"/>
    <xf borderId="0" fillId="28" fontId="1" numFmtId="0" xfId="0" applyAlignment="1" applyFont="1">
      <alignment readingOrder="0"/>
    </xf>
    <xf borderId="0" fillId="28" fontId="1" numFmtId="0" xfId="0" applyFont="1"/>
    <xf borderId="0" fillId="27" fontId="1" numFmtId="0" xfId="0" applyFont="1"/>
    <xf borderId="0" fillId="29" fontId="1" numFmtId="0" xfId="0" applyAlignment="1" applyFill="1" applyFont="1">
      <alignment readingOrder="0"/>
    </xf>
    <xf borderId="0" fillId="30" fontId="1" numFmtId="0" xfId="0" applyFill="1" applyFont="1"/>
    <xf borderId="0" fillId="29" fontId="5" numFmtId="0" xfId="0" applyAlignment="1" applyFont="1">
      <alignment readingOrder="0"/>
    </xf>
    <xf borderId="0" fillId="30" fontId="1" numFmtId="0" xfId="0" applyAlignment="1" applyFont="1">
      <alignment readingOrder="0"/>
    </xf>
    <xf borderId="0" fillId="19" fontId="5" numFmtId="0" xfId="0" applyAlignment="1" applyFont="1">
      <alignment readingOrder="0"/>
    </xf>
    <xf borderId="0" fillId="2" fontId="5" numFmtId="0" xfId="0" applyAlignment="1" applyFont="1">
      <alignment readingOrder="0"/>
    </xf>
    <xf borderId="0" fillId="5" fontId="6" numFmtId="0" xfId="0" applyAlignment="1" applyFont="1">
      <alignment readingOrder="0"/>
    </xf>
    <xf borderId="0" fillId="13" fontId="1" numFmtId="0" xfId="0" applyFont="1"/>
    <xf borderId="0" fillId="18" fontId="1" numFmtId="0" xfId="0" applyAlignment="1" applyFont="1">
      <alignment readingOrder="0"/>
    </xf>
    <xf borderId="0" fillId="30" fontId="1" numFmtId="2" xfId="0" applyFont="1" applyNumberFormat="1"/>
    <xf borderId="0" fillId="12" fontId="1" numFmtId="2" xfId="0" applyFont="1" applyNumberFormat="1"/>
    <xf borderId="0" fillId="0" fontId="3" numFmtId="0" xfId="0" applyAlignment="1" applyFont="1">
      <alignment readingOrder="0"/>
    </xf>
    <xf borderId="0" fillId="28" fontId="3" numFmtId="0" xfId="0" applyAlignment="1" applyFont="1">
      <alignment readingOrder="0" shrinkToFit="0" wrapText="1"/>
    </xf>
    <xf borderId="0" fillId="28" fontId="3" numFmtId="0" xfId="0" applyAlignment="1" applyFont="1">
      <alignment readingOrder="0"/>
    </xf>
    <xf borderId="0" fillId="31" fontId="1" numFmtId="0" xfId="0" applyAlignment="1" applyFill="1" applyFont="1">
      <alignment readingOrder="0"/>
    </xf>
    <xf borderId="0" fillId="31" fontId="1" numFmtId="0" xfId="0" applyFont="1"/>
    <xf borderId="0" fillId="21" fontId="1" numFmtId="0" xfId="0" applyFont="1"/>
    <xf borderId="0" fillId="11" fontId="2" numFmtId="0" xfId="0" applyAlignment="1" applyFont="1">
      <alignment readingOrder="0"/>
    </xf>
    <xf borderId="0" fillId="4" fontId="1" numFmtId="0" xfId="0" applyFont="1"/>
    <xf borderId="0" fillId="22" fontId="1" numFmtId="0" xfId="0" applyAlignment="1" applyFont="1">
      <alignment readingOrder="0"/>
    </xf>
    <xf borderId="0" fillId="0" fontId="1" numFmtId="2" xfId="0" applyFont="1" applyNumberFormat="1"/>
    <xf borderId="0" fillId="11" fontId="7" numFmtId="0" xfId="0" applyAlignment="1" applyFont="1">
      <alignment readingOrder="0"/>
    </xf>
    <xf borderId="0" fillId="28" fontId="4" numFmtId="0" xfId="0" applyFont="1"/>
    <xf borderId="0" fillId="7" fontId="7" numFmtId="0" xfId="0" applyAlignment="1" applyFont="1">
      <alignment readingOrder="0"/>
    </xf>
    <xf borderId="0" fillId="4" fontId="7" numFmtId="0" xfId="0" applyAlignment="1" applyFont="1">
      <alignment readingOrder="0"/>
    </xf>
    <xf borderId="0" fillId="28" fontId="7" numFmtId="0" xfId="0" applyAlignment="1" applyFont="1">
      <alignment readingOrder="0"/>
    </xf>
    <xf borderId="0" fillId="0" fontId="7"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ERBANDINGAN + AGREGAS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xdr:row>
      <xdr:rowOff>0</xdr:rowOff>
    </xdr:from>
    <xdr:ext cx="7896225" cy="180022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32</xdr:row>
      <xdr:rowOff>171450</xdr:rowOff>
    </xdr:from>
    <xdr:ext cx="4400550" cy="2009775"/>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962025</xdr:colOff>
      <xdr:row>8</xdr:row>
      <xdr:rowOff>38100</xdr:rowOff>
    </xdr:from>
    <xdr:ext cx="6800850" cy="461962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9525</xdr:colOff>
      <xdr:row>120</xdr:row>
      <xdr:rowOff>171450</xdr:rowOff>
    </xdr:from>
    <xdr:ext cx="4400550" cy="2009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0:W81" displayName="Table1" name="Table1" id="1">
  <tableColumns count="23">
    <tableColumn name="ALTERNATIF" id="1"/>
    <tableColumn name="KE 1" id="2"/>
    <tableColumn name="KE 2" id="3"/>
    <tableColumn name="KE 3" id="4"/>
    <tableColumn name="KE 4" id="5"/>
    <tableColumn name="KE 5" id="6"/>
    <tableColumn name="KE 6" id="7"/>
    <tableColumn name="KE 7" id="8"/>
    <tableColumn name="KE 8" id="9"/>
    <tableColumn name="KE 9 " id="10"/>
    <tableColumn name="KE 10" id="11"/>
    <tableColumn name="KE 11" id="12"/>
    <tableColumn name="KE 12" id="13"/>
    <tableColumn name="KE 13" id="14"/>
    <tableColumn name="KE 14" id="15"/>
    <tableColumn name="KE 15" id="16"/>
    <tableColumn name="KE 16" id="17"/>
    <tableColumn name="KE 17" id="18"/>
    <tableColumn name="KE 18" id="19"/>
    <tableColumn name="KE 19" id="20"/>
    <tableColumn name="KE 20" id="21"/>
    <tableColumn name="SKOR BORDA" id="22"/>
    <tableColumn name="PERINGKAT AKHIR" id="23"/>
  </tableColumns>
  <tableStyleInfo name="PERBANDINGAN + AGREGAS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2" t="s">
        <v>11</v>
      </c>
      <c r="B2" s="2">
        <v>5.0</v>
      </c>
      <c r="C2" s="2">
        <v>5.0</v>
      </c>
      <c r="D2" s="2">
        <v>5.0</v>
      </c>
      <c r="E2" s="2">
        <v>4.0</v>
      </c>
      <c r="F2" s="2">
        <v>5.0</v>
      </c>
      <c r="G2" s="2">
        <v>5.0</v>
      </c>
      <c r="H2" s="2">
        <v>5.0</v>
      </c>
      <c r="I2" s="2">
        <v>4.0</v>
      </c>
      <c r="J2" s="2">
        <v>5.0</v>
      </c>
      <c r="K2" s="2">
        <v>4.0</v>
      </c>
    </row>
    <row r="3">
      <c r="A3" s="3" t="s">
        <v>12</v>
      </c>
      <c r="B3" s="3">
        <v>5.0</v>
      </c>
      <c r="C3" s="3">
        <v>5.0</v>
      </c>
      <c r="D3" s="3">
        <v>4.0</v>
      </c>
      <c r="E3" s="3">
        <v>4.0</v>
      </c>
      <c r="F3" s="3">
        <v>4.0</v>
      </c>
      <c r="G3" s="3">
        <v>4.0</v>
      </c>
      <c r="H3" s="3">
        <v>5.0</v>
      </c>
      <c r="I3" s="3">
        <v>4.0</v>
      </c>
      <c r="J3" s="3">
        <v>5.0</v>
      </c>
      <c r="K3" s="3">
        <v>4.0</v>
      </c>
    </row>
    <row r="4">
      <c r="A4" s="4" t="s">
        <v>13</v>
      </c>
      <c r="B4" s="4">
        <v>4.0</v>
      </c>
      <c r="C4" s="4">
        <v>5.0</v>
      </c>
      <c r="D4" s="4">
        <v>4.0</v>
      </c>
      <c r="E4" s="4">
        <v>5.0</v>
      </c>
      <c r="F4" s="4">
        <v>4.0</v>
      </c>
      <c r="G4" s="4">
        <v>4.0</v>
      </c>
      <c r="H4" s="4">
        <v>5.0</v>
      </c>
      <c r="I4" s="4">
        <v>3.0</v>
      </c>
      <c r="J4" s="4">
        <v>5.0</v>
      </c>
      <c r="K4" s="4">
        <v>4.0</v>
      </c>
    </row>
    <row r="5">
      <c r="A5" s="3" t="s">
        <v>14</v>
      </c>
      <c r="B5" s="3">
        <v>5.0</v>
      </c>
      <c r="C5" s="3">
        <v>5.0</v>
      </c>
      <c r="D5" s="3">
        <v>5.0</v>
      </c>
      <c r="E5" s="3">
        <v>5.0</v>
      </c>
      <c r="F5" s="3">
        <v>5.0</v>
      </c>
      <c r="G5" s="3">
        <v>5.0</v>
      </c>
      <c r="H5" s="3">
        <v>5.0</v>
      </c>
      <c r="I5" s="3">
        <v>4.0</v>
      </c>
      <c r="J5" s="3">
        <v>5.0</v>
      </c>
      <c r="K5" s="3">
        <v>5.0</v>
      </c>
    </row>
    <row r="6">
      <c r="A6" s="4" t="s">
        <v>15</v>
      </c>
      <c r="B6" s="4">
        <v>4.0</v>
      </c>
      <c r="C6" s="4">
        <v>5.0</v>
      </c>
      <c r="D6" s="4">
        <v>4.0</v>
      </c>
      <c r="E6" s="4">
        <v>4.0</v>
      </c>
      <c r="F6" s="4">
        <v>4.0</v>
      </c>
      <c r="G6" s="4">
        <v>5.0</v>
      </c>
      <c r="H6" s="4">
        <v>5.0</v>
      </c>
      <c r="I6" s="4">
        <v>3.0</v>
      </c>
      <c r="J6" s="4">
        <v>5.0</v>
      </c>
      <c r="K6" s="4">
        <v>5.0</v>
      </c>
    </row>
    <row r="7">
      <c r="A7" s="3" t="s">
        <v>16</v>
      </c>
      <c r="B7" s="3">
        <v>4.0</v>
      </c>
      <c r="C7" s="3">
        <v>4.0</v>
      </c>
      <c r="D7" s="3">
        <v>4.0</v>
      </c>
      <c r="E7" s="3">
        <v>5.0</v>
      </c>
      <c r="F7" s="3">
        <v>3.0</v>
      </c>
      <c r="G7" s="3">
        <v>4.0</v>
      </c>
      <c r="H7" s="3">
        <v>4.0</v>
      </c>
      <c r="I7" s="3">
        <v>2.0</v>
      </c>
      <c r="J7" s="3">
        <v>4.0</v>
      </c>
      <c r="K7" s="3">
        <v>5.0</v>
      </c>
    </row>
    <row r="8">
      <c r="A8" s="4" t="s">
        <v>17</v>
      </c>
      <c r="B8" s="4">
        <v>4.0</v>
      </c>
      <c r="C8" s="4">
        <v>4.0</v>
      </c>
      <c r="D8" s="4">
        <v>4.0</v>
      </c>
      <c r="E8" s="4">
        <v>5.0</v>
      </c>
      <c r="F8" s="4">
        <v>4.0</v>
      </c>
      <c r="G8" s="4">
        <v>4.0</v>
      </c>
      <c r="H8" s="4">
        <v>4.0</v>
      </c>
      <c r="I8" s="4">
        <v>3.0</v>
      </c>
      <c r="J8" s="4">
        <v>5.0</v>
      </c>
      <c r="K8" s="4">
        <v>5.0</v>
      </c>
    </row>
    <row r="9">
      <c r="A9" s="3" t="s">
        <v>18</v>
      </c>
      <c r="B9" s="3">
        <v>4.0</v>
      </c>
      <c r="C9" s="3">
        <v>4.0</v>
      </c>
      <c r="D9" s="3">
        <v>4.0</v>
      </c>
      <c r="E9" s="3">
        <v>4.0</v>
      </c>
      <c r="F9" s="3">
        <v>3.0</v>
      </c>
      <c r="G9" s="3">
        <v>4.0</v>
      </c>
      <c r="H9" s="3">
        <v>4.0</v>
      </c>
      <c r="I9" s="3">
        <v>2.0</v>
      </c>
      <c r="J9" s="3">
        <v>4.0</v>
      </c>
      <c r="K9" s="3">
        <v>4.0</v>
      </c>
    </row>
    <row r="10">
      <c r="A10" s="4" t="s">
        <v>19</v>
      </c>
      <c r="B10" s="4">
        <v>4.0</v>
      </c>
      <c r="C10" s="4">
        <v>4.0</v>
      </c>
      <c r="D10" s="4">
        <v>4.0</v>
      </c>
      <c r="E10" s="4">
        <v>4.0</v>
      </c>
      <c r="F10" s="4">
        <v>5.0</v>
      </c>
      <c r="G10" s="4">
        <v>5.0</v>
      </c>
      <c r="H10" s="4">
        <v>5.0</v>
      </c>
      <c r="I10" s="4">
        <v>4.0</v>
      </c>
      <c r="J10" s="4">
        <v>4.0</v>
      </c>
      <c r="K10" s="4">
        <v>5.0</v>
      </c>
    </row>
    <row r="11">
      <c r="A11" s="3" t="s">
        <v>20</v>
      </c>
      <c r="B11" s="3">
        <v>4.0</v>
      </c>
      <c r="C11" s="3">
        <v>5.0</v>
      </c>
      <c r="D11" s="3">
        <v>4.0</v>
      </c>
      <c r="E11" s="3">
        <v>4.0</v>
      </c>
      <c r="F11" s="3">
        <v>3.0</v>
      </c>
      <c r="G11" s="3">
        <v>4.0</v>
      </c>
      <c r="H11" s="3">
        <v>4.0</v>
      </c>
      <c r="I11" s="3">
        <v>3.0</v>
      </c>
      <c r="J11" s="3">
        <v>4.0</v>
      </c>
      <c r="K11" s="3">
        <v>5.0</v>
      </c>
    </row>
    <row r="12">
      <c r="A12" s="4" t="s">
        <v>21</v>
      </c>
      <c r="B12" s="4">
        <v>4.0</v>
      </c>
      <c r="C12" s="4">
        <v>4.0</v>
      </c>
      <c r="D12" s="4">
        <v>3.0</v>
      </c>
      <c r="E12" s="4">
        <v>3.0</v>
      </c>
      <c r="F12" s="4">
        <v>4.0</v>
      </c>
      <c r="G12" s="4">
        <v>4.0</v>
      </c>
      <c r="H12" s="4">
        <v>4.0</v>
      </c>
      <c r="I12" s="4">
        <v>2.0</v>
      </c>
      <c r="J12" s="4">
        <v>4.0</v>
      </c>
      <c r="K12" s="4">
        <v>4.0</v>
      </c>
    </row>
    <row r="13">
      <c r="A13" s="3" t="s">
        <v>22</v>
      </c>
      <c r="B13" s="3">
        <v>4.0</v>
      </c>
      <c r="C13" s="3">
        <v>3.0</v>
      </c>
      <c r="D13" s="3">
        <v>4.0</v>
      </c>
      <c r="E13" s="3">
        <v>4.0</v>
      </c>
      <c r="F13" s="3">
        <v>3.0</v>
      </c>
      <c r="G13" s="3">
        <v>4.0</v>
      </c>
      <c r="H13" s="3">
        <v>4.0</v>
      </c>
      <c r="I13" s="3">
        <v>2.0</v>
      </c>
      <c r="J13" s="3">
        <v>4.0</v>
      </c>
      <c r="K13" s="3">
        <v>4.0</v>
      </c>
    </row>
    <row r="14">
      <c r="A14" s="4" t="s">
        <v>23</v>
      </c>
      <c r="B14" s="4">
        <v>4.0</v>
      </c>
      <c r="C14" s="4">
        <v>4.0</v>
      </c>
      <c r="D14" s="4">
        <v>4.0</v>
      </c>
      <c r="E14" s="4">
        <v>3.0</v>
      </c>
      <c r="F14" s="4">
        <v>3.0</v>
      </c>
      <c r="G14" s="4">
        <v>3.0</v>
      </c>
      <c r="H14" s="4">
        <v>4.0</v>
      </c>
      <c r="I14" s="4">
        <v>2.0</v>
      </c>
      <c r="J14" s="4">
        <v>5.0</v>
      </c>
      <c r="K14" s="4">
        <v>4.0</v>
      </c>
    </row>
    <row r="15">
      <c r="A15" s="3" t="s">
        <v>24</v>
      </c>
      <c r="B15" s="3">
        <v>4.0</v>
      </c>
      <c r="C15" s="3">
        <v>3.0</v>
      </c>
      <c r="D15" s="3">
        <v>4.0</v>
      </c>
      <c r="E15" s="3">
        <v>4.0</v>
      </c>
      <c r="F15" s="3">
        <v>3.0</v>
      </c>
      <c r="G15" s="3">
        <v>4.0</v>
      </c>
      <c r="H15" s="3">
        <v>4.0</v>
      </c>
      <c r="I15" s="3">
        <v>2.0</v>
      </c>
      <c r="J15" s="3">
        <v>4.0</v>
      </c>
      <c r="K15" s="3">
        <v>3.0</v>
      </c>
    </row>
    <row r="16">
      <c r="A16" s="4" t="s">
        <v>25</v>
      </c>
      <c r="B16" s="4">
        <v>3.0</v>
      </c>
      <c r="C16" s="4">
        <v>3.0</v>
      </c>
      <c r="D16" s="4">
        <v>3.0</v>
      </c>
      <c r="E16" s="4">
        <v>3.0</v>
      </c>
      <c r="F16" s="4">
        <v>4.0</v>
      </c>
      <c r="G16" s="4">
        <v>4.0</v>
      </c>
      <c r="H16" s="4">
        <v>4.0</v>
      </c>
      <c r="I16" s="4">
        <v>1.0</v>
      </c>
      <c r="J16" s="4">
        <v>3.0</v>
      </c>
      <c r="K16" s="4">
        <v>4.0</v>
      </c>
    </row>
    <row r="17">
      <c r="A17" s="3" t="s">
        <v>26</v>
      </c>
      <c r="B17" s="3">
        <v>3.0</v>
      </c>
      <c r="C17" s="3">
        <v>3.0</v>
      </c>
      <c r="D17" s="3">
        <v>4.0</v>
      </c>
      <c r="E17" s="3">
        <v>3.0</v>
      </c>
      <c r="F17" s="3">
        <v>3.0</v>
      </c>
      <c r="G17" s="3">
        <v>3.0</v>
      </c>
      <c r="H17" s="3">
        <v>4.0</v>
      </c>
      <c r="I17" s="3">
        <v>1.0</v>
      </c>
      <c r="J17" s="3">
        <v>4.0</v>
      </c>
      <c r="K17" s="3">
        <v>4.0</v>
      </c>
    </row>
    <row r="18">
      <c r="A18" s="4" t="s">
        <v>27</v>
      </c>
      <c r="B18" s="4">
        <v>3.0</v>
      </c>
      <c r="C18" s="4">
        <v>4.0</v>
      </c>
      <c r="D18" s="4">
        <v>4.0</v>
      </c>
      <c r="E18" s="4">
        <v>4.0</v>
      </c>
      <c r="F18" s="4">
        <v>3.0</v>
      </c>
      <c r="G18" s="4">
        <v>3.0</v>
      </c>
      <c r="H18" s="4">
        <v>4.0</v>
      </c>
      <c r="I18" s="4">
        <v>3.0</v>
      </c>
      <c r="J18" s="4">
        <v>4.0</v>
      </c>
      <c r="K18" s="4">
        <v>5.0</v>
      </c>
    </row>
    <row r="19">
      <c r="A19" s="3" t="s">
        <v>28</v>
      </c>
      <c r="B19" s="3">
        <v>3.0</v>
      </c>
      <c r="C19" s="3">
        <v>3.0</v>
      </c>
      <c r="D19" s="3">
        <v>4.0</v>
      </c>
      <c r="E19" s="3">
        <v>3.0</v>
      </c>
      <c r="F19" s="3">
        <v>4.0</v>
      </c>
      <c r="G19" s="3">
        <v>3.0</v>
      </c>
      <c r="H19" s="3">
        <v>4.0</v>
      </c>
      <c r="I19" s="3">
        <v>2.0</v>
      </c>
      <c r="J19" s="3">
        <v>3.0</v>
      </c>
      <c r="K19" s="3">
        <v>3.0</v>
      </c>
    </row>
    <row r="20">
      <c r="A20" s="4" t="s">
        <v>29</v>
      </c>
      <c r="B20" s="4">
        <v>3.0</v>
      </c>
      <c r="C20" s="4">
        <v>2.0</v>
      </c>
      <c r="D20" s="4">
        <v>3.0</v>
      </c>
      <c r="E20" s="4">
        <v>3.0</v>
      </c>
      <c r="F20" s="4">
        <v>3.0</v>
      </c>
      <c r="G20" s="4">
        <v>4.0</v>
      </c>
      <c r="H20" s="4">
        <v>3.0</v>
      </c>
      <c r="I20" s="4">
        <v>1.0</v>
      </c>
      <c r="J20" s="4">
        <v>3.0</v>
      </c>
      <c r="K20" s="4">
        <v>3.0</v>
      </c>
    </row>
    <row r="21">
      <c r="A21" s="3" t="s">
        <v>30</v>
      </c>
      <c r="B21" s="3">
        <v>3.0</v>
      </c>
      <c r="C21" s="3">
        <v>3.0</v>
      </c>
      <c r="D21" s="3">
        <v>2.0</v>
      </c>
      <c r="E21" s="3">
        <v>3.0</v>
      </c>
      <c r="F21" s="3">
        <v>3.0</v>
      </c>
      <c r="G21" s="3">
        <v>3.0</v>
      </c>
      <c r="H21" s="3">
        <v>3.0</v>
      </c>
      <c r="I21" s="3">
        <v>2.0</v>
      </c>
      <c r="J21" s="3">
        <v>3.0</v>
      </c>
      <c r="K21" s="3">
        <v>3.0</v>
      </c>
    </row>
    <row r="35">
      <c r="F35" s="3" t="s">
        <v>1</v>
      </c>
      <c r="G35" s="3">
        <v>0.16</v>
      </c>
      <c r="I35" s="5" t="s">
        <v>31</v>
      </c>
      <c r="J35" s="5" t="s">
        <v>32</v>
      </c>
    </row>
    <row r="36">
      <c r="F36" s="3" t="s">
        <v>2</v>
      </c>
      <c r="G36" s="3">
        <v>0.14</v>
      </c>
      <c r="I36" s="3" t="s">
        <v>1</v>
      </c>
      <c r="J36" s="3" t="s">
        <v>33</v>
      </c>
    </row>
    <row r="37">
      <c r="F37" s="3" t="s">
        <v>3</v>
      </c>
      <c r="G37" s="3">
        <v>0.08</v>
      </c>
      <c r="I37" s="3" t="s">
        <v>2</v>
      </c>
      <c r="J37" s="3" t="s">
        <v>34</v>
      </c>
    </row>
    <row r="38">
      <c r="F38" s="3" t="s">
        <v>4</v>
      </c>
      <c r="G38" s="3">
        <v>0.13</v>
      </c>
      <c r="I38" s="3" t="s">
        <v>3</v>
      </c>
      <c r="J38" s="3" t="s">
        <v>35</v>
      </c>
    </row>
    <row r="39">
      <c r="F39" s="3" t="s">
        <v>5</v>
      </c>
      <c r="G39" s="3">
        <v>0.07</v>
      </c>
      <c r="I39" s="3" t="s">
        <v>4</v>
      </c>
      <c r="J39" s="3" t="s">
        <v>36</v>
      </c>
    </row>
    <row r="40">
      <c r="F40" s="3" t="s">
        <v>6</v>
      </c>
      <c r="G40" s="3">
        <v>0.12</v>
      </c>
      <c r="I40" s="3" t="s">
        <v>5</v>
      </c>
      <c r="J40" s="3" t="s">
        <v>37</v>
      </c>
    </row>
    <row r="41">
      <c r="F41" s="3" t="s">
        <v>7</v>
      </c>
      <c r="G41" s="3">
        <v>0.09</v>
      </c>
      <c r="I41" s="3" t="s">
        <v>6</v>
      </c>
      <c r="J41" s="3" t="s">
        <v>38</v>
      </c>
    </row>
    <row r="42">
      <c r="F42" s="3" t="s">
        <v>8</v>
      </c>
      <c r="G42" s="3">
        <v>0.06</v>
      </c>
      <c r="I42" s="3" t="s">
        <v>7</v>
      </c>
      <c r="J42" s="3" t="s">
        <v>39</v>
      </c>
    </row>
    <row r="43">
      <c r="F43" s="3" t="s">
        <v>9</v>
      </c>
      <c r="G43" s="3">
        <v>0.05</v>
      </c>
      <c r="I43" s="3" t="s">
        <v>8</v>
      </c>
      <c r="J43" s="3" t="s">
        <v>40</v>
      </c>
    </row>
    <row r="44">
      <c r="F44" s="3" t="s">
        <v>10</v>
      </c>
      <c r="G44" s="3">
        <v>0.1</v>
      </c>
      <c r="I44" s="3" t="s">
        <v>9</v>
      </c>
      <c r="J44" s="3" t="s">
        <v>41</v>
      </c>
    </row>
    <row r="45">
      <c r="I45" s="3" t="s">
        <v>10</v>
      </c>
      <c r="J45" s="3" t="s">
        <v>42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57"/>
    <col customWidth="1" min="2" max="3" width="19.71"/>
    <col customWidth="1" min="22" max="22" width="21.43"/>
    <col customWidth="1" min="23" max="23" width="26.0"/>
  </cols>
  <sheetData>
    <row r="1">
      <c r="A1" s="6" t="s">
        <v>43</v>
      </c>
      <c r="B1" s="7"/>
      <c r="C1" s="7"/>
      <c r="D1" s="7"/>
    </row>
    <row r="2">
      <c r="A2" s="1" t="s">
        <v>44</v>
      </c>
      <c r="B2" s="1" t="s">
        <v>45</v>
      </c>
      <c r="C2" s="1" t="s">
        <v>46</v>
      </c>
    </row>
    <row r="3">
      <c r="A3" s="8">
        <v>1.0</v>
      </c>
      <c r="B3" s="9" t="str">
        <f>MARCOS!H79</f>
        <v>SARITUA MARPAUNG</v>
      </c>
      <c r="C3" s="10" t="str">
        <f>VIKOR!K50</f>
        <v>SARITUA MARPAUNG</v>
      </c>
      <c r="E3" s="11" t="s">
        <v>47</v>
      </c>
    </row>
    <row r="4">
      <c r="A4" s="8">
        <v>2.0</v>
      </c>
      <c r="B4" s="9" t="str">
        <f>MARCOS!H80</f>
        <v>AMANDA NABABAN</v>
      </c>
      <c r="C4" s="10" t="str">
        <f>VIKOR!K51</f>
        <v>AMANDA NABABAN</v>
      </c>
    </row>
    <row r="5">
      <c r="A5" s="8">
        <v>3.0</v>
      </c>
      <c r="B5" s="9" t="str">
        <f>MARCOS!H81</f>
        <v>JOSIA NABABAN</v>
      </c>
      <c r="C5" s="10" t="str">
        <f>VIKOR!K52</f>
        <v>ELSA NABABAN</v>
      </c>
    </row>
    <row r="6">
      <c r="A6" s="8">
        <v>4.0</v>
      </c>
      <c r="B6" s="9" t="str">
        <f>MARCOS!H82</f>
        <v>ARNITA NABABAN</v>
      </c>
      <c r="C6" s="10" t="str">
        <f>VIKOR!K53</f>
        <v>ARNITA NABABAN</v>
      </c>
    </row>
    <row r="7">
      <c r="A7" s="8">
        <v>5.0</v>
      </c>
      <c r="B7" s="9" t="str">
        <f>MARCOS!H83</f>
        <v>ELSA NABABAN</v>
      </c>
      <c r="C7" s="10" t="str">
        <f>VIKOR!K54</f>
        <v>MORES NABABAN</v>
      </c>
    </row>
    <row r="8">
      <c r="A8" s="8">
        <v>6.0</v>
      </c>
      <c r="B8" s="9" t="str">
        <f>MARCOS!H84</f>
        <v>MORES NABABAN</v>
      </c>
      <c r="C8" s="10" t="str">
        <f>VIKOR!K55</f>
        <v>JOSIA NABABAN</v>
      </c>
      <c r="E8" s="3" t="s">
        <v>48</v>
      </c>
    </row>
    <row r="9">
      <c r="A9" s="8">
        <v>7.0</v>
      </c>
      <c r="B9" s="9" t="str">
        <f>MARCOS!H85</f>
        <v>IRFAN AGUS</v>
      </c>
      <c r="C9" s="10" t="str">
        <f>VIKOR!K56</f>
        <v>IRFAN AGUS</v>
      </c>
    </row>
    <row r="10">
      <c r="A10" s="8">
        <v>8.0</v>
      </c>
      <c r="B10" s="9" t="str">
        <f>MARCOS!H86</f>
        <v>IRMA SIANIPAR</v>
      </c>
      <c r="C10" s="10" t="str">
        <f>VIKOR!K57</f>
        <v>IRMA SIANIPAR</v>
      </c>
    </row>
    <row r="11">
      <c r="A11" s="8">
        <v>9.0</v>
      </c>
      <c r="B11" s="9" t="str">
        <f>MARCOS!H87</f>
        <v>HADI SAPUTRA</v>
      </c>
      <c r="C11" s="10" t="str">
        <f>VIKOR!K58</f>
        <v>HADI SAPUTRA</v>
      </c>
    </row>
    <row r="12">
      <c r="A12" s="8">
        <v>10.0</v>
      </c>
      <c r="B12" s="9" t="str">
        <f>MARCOS!H88</f>
        <v>ELFRIDA SITINJAK</v>
      </c>
      <c r="C12" s="10" t="str">
        <f>VIKOR!K59</f>
        <v>LESTARI SIBAGARIANG</v>
      </c>
    </row>
    <row r="13">
      <c r="A13" s="8">
        <v>11.0</v>
      </c>
      <c r="B13" s="9" t="str">
        <f>MARCOS!H89</f>
        <v>LESTARI SIBAGARIANG</v>
      </c>
      <c r="C13" s="10" t="str">
        <f>VIKOR!K60</f>
        <v>RAHUL NABABAN</v>
      </c>
    </row>
    <row r="14">
      <c r="A14" s="8">
        <v>12.0</v>
      </c>
      <c r="B14" s="9" t="str">
        <f>MARCOS!H90</f>
        <v>RAHUL NABABAN</v>
      </c>
      <c r="C14" s="10" t="str">
        <f>VIKOR!K61</f>
        <v>LAMTIUR NABABAN</v>
      </c>
    </row>
    <row r="15">
      <c r="A15" s="8">
        <v>13.0</v>
      </c>
      <c r="B15" s="9" t="str">
        <f>MARCOS!H91</f>
        <v>LAMTIUR NABABAN</v>
      </c>
      <c r="C15" s="10" t="str">
        <f>VIKOR!K62</f>
        <v>ESTER NABABAN</v>
      </c>
    </row>
    <row r="16">
      <c r="A16" s="8">
        <v>14.0</v>
      </c>
      <c r="B16" s="9" t="str">
        <f>MARCOS!H92</f>
        <v>HOSIANA NABABAN</v>
      </c>
      <c r="C16" s="10" t="str">
        <f>VIKOR!K63</f>
        <v>ELFRIDA SITINJAK</v>
      </c>
    </row>
    <row r="17">
      <c r="A17" s="8">
        <v>15.0</v>
      </c>
      <c r="B17" s="9" t="str">
        <f>MARCOS!H93</f>
        <v>ESTER NABABAN</v>
      </c>
      <c r="C17" s="10" t="str">
        <f>VIKOR!K64</f>
        <v>HOSIANA NABABAN</v>
      </c>
    </row>
    <row r="18">
      <c r="A18" s="8">
        <v>16.0</v>
      </c>
      <c r="B18" s="9" t="str">
        <f>MARCOS!H94</f>
        <v>CREDO NABABAN</v>
      </c>
      <c r="C18" s="10" t="str">
        <f>VIKOR!K65</f>
        <v>MORISCA SIBAGARIANG</v>
      </c>
    </row>
    <row r="19">
      <c r="A19" s="8">
        <v>17.0</v>
      </c>
      <c r="B19" s="9" t="str">
        <f>MARCOS!H95</f>
        <v>ANWAR NABABAN</v>
      </c>
      <c r="C19" s="10" t="str">
        <f>VIKOR!K66</f>
        <v>ANWAR NABABAN</v>
      </c>
    </row>
    <row r="20">
      <c r="A20" s="8">
        <v>18.0</v>
      </c>
      <c r="B20" s="9" t="str">
        <f>MARCOS!H96</f>
        <v>MORISCA SIBAGARIANG</v>
      </c>
      <c r="C20" s="10" t="str">
        <f>VIKOR!K67</f>
        <v>CREDO NABABAN</v>
      </c>
    </row>
    <row r="21">
      <c r="A21" s="8">
        <v>19.0</v>
      </c>
      <c r="B21" s="9" t="str">
        <f>MARCOS!H97</f>
        <v>JELMANRO SILITONGA</v>
      </c>
      <c r="C21" s="10" t="str">
        <f>VIKOR!K68</f>
        <v>JELMANRO SILITONGA</v>
      </c>
    </row>
    <row r="22">
      <c r="A22" s="8">
        <v>20.0</v>
      </c>
      <c r="B22" s="9" t="str">
        <f>MARCOS!H98</f>
        <v>SERDI SILITONGA</v>
      </c>
      <c r="C22" s="10" t="str">
        <f>VIKOR!K69</f>
        <v>SERDI SILITONGA</v>
      </c>
    </row>
    <row r="34">
      <c r="A34" s="3" t="s">
        <v>49</v>
      </c>
    </row>
    <row r="35">
      <c r="A35" s="1" t="s">
        <v>0</v>
      </c>
      <c r="B35" s="3" t="s">
        <v>45</v>
      </c>
      <c r="C35" s="3" t="s">
        <v>46</v>
      </c>
      <c r="D35" s="3" t="s">
        <v>50</v>
      </c>
      <c r="E35" s="3" t="s">
        <v>51</v>
      </c>
    </row>
    <row r="36">
      <c r="A36" s="2" t="s">
        <v>11</v>
      </c>
      <c r="B36" s="3">
        <f>MARCOS!G79</f>
        <v>2</v>
      </c>
      <c r="C36" s="3">
        <f>VIKOR!B72</f>
        <v>2</v>
      </c>
      <c r="D36" s="3">
        <v>2.0</v>
      </c>
      <c r="E36" s="3">
        <v>2.0</v>
      </c>
    </row>
    <row r="37">
      <c r="A37" s="3" t="s">
        <v>12</v>
      </c>
      <c r="B37" s="3">
        <f>MARCOS!G80</f>
        <v>4</v>
      </c>
      <c r="C37" s="3">
        <f>VIKOR!B73</f>
        <v>4</v>
      </c>
      <c r="D37" s="3">
        <v>3.0</v>
      </c>
      <c r="E37" s="3">
        <v>3.0</v>
      </c>
    </row>
    <row r="38">
      <c r="A38" s="4" t="s">
        <v>13</v>
      </c>
      <c r="B38" s="3">
        <f>MARCOS!G81</f>
        <v>6</v>
      </c>
      <c r="C38" s="3">
        <f>VIKOR!B74</f>
        <v>5</v>
      </c>
      <c r="D38" s="3">
        <v>6.0</v>
      </c>
      <c r="E38" s="3">
        <v>6.0</v>
      </c>
    </row>
    <row r="39">
      <c r="A39" s="3" t="s">
        <v>14</v>
      </c>
      <c r="B39" s="3">
        <f>MARCOS!G82</f>
        <v>1</v>
      </c>
      <c r="C39" s="3">
        <f>VIKOR!B75</f>
        <v>1</v>
      </c>
      <c r="D39" s="3">
        <v>1.0</v>
      </c>
      <c r="E39" s="3">
        <v>1.0</v>
      </c>
    </row>
    <row r="40">
      <c r="A40" s="4" t="s">
        <v>15</v>
      </c>
      <c r="B40" s="3">
        <f>MARCOS!G83</f>
        <v>5</v>
      </c>
      <c r="C40" s="3">
        <f>VIKOR!B76</f>
        <v>3</v>
      </c>
      <c r="D40" s="3">
        <v>4.0</v>
      </c>
      <c r="E40" s="3">
        <v>4.0</v>
      </c>
    </row>
    <row r="41">
      <c r="A41" s="3" t="s">
        <v>16</v>
      </c>
      <c r="B41" s="3">
        <f>MARCOS!G84</f>
        <v>9</v>
      </c>
      <c r="C41" s="3">
        <f>VIKOR!B77</f>
        <v>9</v>
      </c>
      <c r="D41" s="3">
        <v>9.0</v>
      </c>
      <c r="E41" s="3">
        <v>9.0</v>
      </c>
    </row>
    <row r="42">
      <c r="A42" s="4" t="s">
        <v>17</v>
      </c>
      <c r="B42" s="3">
        <f>MARCOS!G85</f>
        <v>7</v>
      </c>
      <c r="C42" s="3">
        <f>VIKOR!B78</f>
        <v>7</v>
      </c>
      <c r="D42" s="3">
        <v>7.0</v>
      </c>
      <c r="E42" s="3">
        <v>7.0</v>
      </c>
    </row>
    <row r="43">
      <c r="A43" s="3" t="s">
        <v>18</v>
      </c>
      <c r="B43" s="3">
        <f>MARCOS!G86</f>
        <v>11</v>
      </c>
      <c r="C43" s="3">
        <f>VIKOR!B79</f>
        <v>10</v>
      </c>
      <c r="D43" s="3">
        <v>10.0</v>
      </c>
      <c r="E43" s="3">
        <v>10.0</v>
      </c>
    </row>
    <row r="44">
      <c r="A44" s="4" t="s">
        <v>19</v>
      </c>
      <c r="B44" s="3">
        <f>MARCOS!G87</f>
        <v>3</v>
      </c>
      <c r="C44" s="3">
        <f>VIKOR!B80</f>
        <v>6</v>
      </c>
      <c r="D44" s="3">
        <v>5.0</v>
      </c>
      <c r="E44" s="3">
        <v>5.0</v>
      </c>
    </row>
    <row r="45">
      <c r="A45" s="3" t="s">
        <v>20</v>
      </c>
      <c r="B45" s="3">
        <f>MARCOS!G88</f>
        <v>8</v>
      </c>
      <c r="C45" s="3">
        <f>VIKOR!B81</f>
        <v>8</v>
      </c>
      <c r="D45" s="3">
        <v>8.0</v>
      </c>
      <c r="E45" s="3">
        <v>8.0</v>
      </c>
    </row>
    <row r="46">
      <c r="A46" s="4" t="s">
        <v>21</v>
      </c>
      <c r="B46" s="3">
        <f>MARCOS!G89</f>
        <v>13</v>
      </c>
      <c r="C46" s="3">
        <f>VIKOR!B82</f>
        <v>12</v>
      </c>
      <c r="D46" s="3">
        <v>12.0</v>
      </c>
      <c r="E46" s="3">
        <v>12.0</v>
      </c>
    </row>
    <row r="47">
      <c r="A47" s="3" t="s">
        <v>22</v>
      </c>
      <c r="B47" s="3">
        <f>MARCOS!G90</f>
        <v>12</v>
      </c>
      <c r="C47" s="3">
        <f>VIKOR!B83</f>
        <v>11</v>
      </c>
      <c r="D47" s="3">
        <v>13.0</v>
      </c>
      <c r="E47" s="3">
        <v>13.0</v>
      </c>
    </row>
    <row r="48">
      <c r="A48" s="4" t="s">
        <v>23</v>
      </c>
      <c r="B48" s="3">
        <f>MARCOS!G91</f>
        <v>14</v>
      </c>
      <c r="C48" s="3">
        <f>VIKOR!B84</f>
        <v>15</v>
      </c>
      <c r="D48" s="3">
        <v>14.0</v>
      </c>
      <c r="E48" s="3">
        <v>14.0</v>
      </c>
    </row>
    <row r="49">
      <c r="A49" s="3" t="s">
        <v>24</v>
      </c>
      <c r="B49" s="3">
        <f>MARCOS!G92</f>
        <v>15</v>
      </c>
      <c r="C49" s="3">
        <f>VIKOR!B85</f>
        <v>13</v>
      </c>
      <c r="D49" s="3">
        <v>15.0</v>
      </c>
      <c r="E49" s="3">
        <v>15.0</v>
      </c>
    </row>
    <row r="50">
      <c r="A50" s="4" t="s">
        <v>25</v>
      </c>
      <c r="B50" s="3">
        <f>MARCOS!G93</f>
        <v>17</v>
      </c>
      <c r="C50" s="3">
        <f>VIKOR!B86</f>
        <v>17</v>
      </c>
      <c r="D50" s="3">
        <v>16.0</v>
      </c>
      <c r="E50" s="3">
        <v>17.0</v>
      </c>
    </row>
    <row r="51">
      <c r="A51" s="3" t="s">
        <v>26</v>
      </c>
      <c r="B51" s="3">
        <f>MARCOS!G94</f>
        <v>18</v>
      </c>
      <c r="C51" s="3">
        <f>VIKOR!B87</f>
        <v>16</v>
      </c>
      <c r="D51" s="3">
        <v>18.0</v>
      </c>
      <c r="E51" s="3">
        <v>18.0</v>
      </c>
    </row>
    <row r="52">
      <c r="A52" s="4" t="s">
        <v>27</v>
      </c>
      <c r="B52" s="3">
        <f>MARCOS!G95</f>
        <v>10</v>
      </c>
      <c r="C52" s="3">
        <f>VIKOR!B88</f>
        <v>14</v>
      </c>
      <c r="D52" s="3">
        <v>11.0</v>
      </c>
      <c r="E52" s="3">
        <v>11.0</v>
      </c>
    </row>
    <row r="53">
      <c r="A53" s="3" t="s">
        <v>28</v>
      </c>
      <c r="B53" s="3">
        <f>MARCOS!G96</f>
        <v>16</v>
      </c>
      <c r="C53" s="3">
        <f>VIKOR!B89</f>
        <v>18</v>
      </c>
      <c r="D53" s="3">
        <v>17.0</v>
      </c>
      <c r="E53" s="3">
        <v>16.0</v>
      </c>
    </row>
    <row r="54">
      <c r="A54" s="4" t="s">
        <v>29</v>
      </c>
      <c r="B54" s="3">
        <f>MARCOS!G97</f>
        <v>20</v>
      </c>
      <c r="C54" s="3">
        <f>VIKOR!B90</f>
        <v>20</v>
      </c>
      <c r="D54" s="3">
        <v>20.0</v>
      </c>
      <c r="E54" s="3">
        <v>20.0</v>
      </c>
    </row>
    <row r="55">
      <c r="A55" s="3" t="s">
        <v>30</v>
      </c>
      <c r="B55" s="3">
        <f>MARCOS!G98</f>
        <v>19</v>
      </c>
      <c r="C55" s="3">
        <f>VIKOR!B91</f>
        <v>19</v>
      </c>
      <c r="D55" s="3">
        <v>19.0</v>
      </c>
      <c r="E55" s="3">
        <v>19.0</v>
      </c>
    </row>
    <row r="56">
      <c r="A56" s="3" t="s">
        <v>52</v>
      </c>
      <c r="B56" s="3" t="s">
        <v>14</v>
      </c>
      <c r="C56" s="3" t="s">
        <v>14</v>
      </c>
      <c r="D56" s="3" t="s">
        <v>14</v>
      </c>
      <c r="E56" s="3" t="s">
        <v>14</v>
      </c>
    </row>
    <row r="58">
      <c r="A58" s="3" t="s">
        <v>53</v>
      </c>
    </row>
    <row r="59">
      <c r="A59" s="3"/>
      <c r="B59" s="3"/>
      <c r="C59" s="3"/>
      <c r="D59" s="3"/>
      <c r="E59" s="3"/>
      <c r="F59" s="3"/>
      <c r="G59" s="3"/>
      <c r="H59" s="3"/>
      <c r="I59" s="3"/>
      <c r="J59" s="3"/>
      <c r="K59" s="3"/>
      <c r="L59" s="3"/>
      <c r="M59" s="3"/>
      <c r="N59" s="3"/>
      <c r="O59" s="3"/>
      <c r="P59" s="3"/>
      <c r="Q59" s="3"/>
      <c r="R59" s="3"/>
      <c r="S59" s="3"/>
      <c r="T59" s="3"/>
      <c r="U59" s="3"/>
      <c r="V59" s="3"/>
      <c r="W59" s="3"/>
    </row>
    <row r="60" ht="22.5" customHeight="1">
      <c r="A60" s="12" t="s">
        <v>0</v>
      </c>
      <c r="B60" s="12" t="s">
        <v>54</v>
      </c>
      <c r="C60" s="12" t="s">
        <v>55</v>
      </c>
      <c r="D60" s="12" t="s">
        <v>56</v>
      </c>
      <c r="E60" s="12" t="s">
        <v>57</v>
      </c>
      <c r="F60" s="12" t="s">
        <v>58</v>
      </c>
      <c r="G60" s="12" t="s">
        <v>59</v>
      </c>
      <c r="H60" s="12" t="s">
        <v>60</v>
      </c>
      <c r="I60" s="12" t="s">
        <v>61</v>
      </c>
      <c r="J60" s="12" t="s">
        <v>62</v>
      </c>
      <c r="K60" s="12" t="s">
        <v>63</v>
      </c>
      <c r="L60" s="12" t="s">
        <v>64</v>
      </c>
      <c r="M60" s="12" t="s">
        <v>65</v>
      </c>
      <c r="N60" s="12" t="s">
        <v>66</v>
      </c>
      <c r="O60" s="12" t="s">
        <v>67</v>
      </c>
      <c r="P60" s="12" t="s">
        <v>68</v>
      </c>
      <c r="Q60" s="12" t="s">
        <v>69</v>
      </c>
      <c r="R60" s="12" t="s">
        <v>70</v>
      </c>
      <c r="S60" s="12" t="s">
        <v>71</v>
      </c>
      <c r="T60" s="12" t="s">
        <v>72</v>
      </c>
      <c r="U60" s="12" t="s">
        <v>73</v>
      </c>
      <c r="V60" s="12" t="s">
        <v>74</v>
      </c>
      <c r="W60" s="12" t="s">
        <v>75</v>
      </c>
    </row>
    <row r="61" ht="22.5" customHeight="1">
      <c r="A61" s="13" t="s">
        <v>11</v>
      </c>
      <c r="C61" s="14">
        <v>4.0</v>
      </c>
      <c r="V61" s="15">
        <f t="shared" ref="V61:V80" si="1">(B61*$B$81)+(C61*$C$81)+(D61*$D$81)+(E61*$E$81)+(F61*$F$81)+(G61*$G$81)+(H61*$H$81)+(I61*$I$81)+(J61*$J$81)+(K61*$K$81)+(L61*$L$81)+(M61*$M$81)+(N61*$N$81)+(O61*$O$81)+(P61*$P$81)+(Q61*$Q$81)+(R61*$R$81)+(S61*$S$81)+(T61*$T$81)+(U61*$U$81)</f>
        <v>72</v>
      </c>
      <c r="W61" s="15">
        <f t="shared" ref="W61:W80" si="2">RANK(V61,$V$61:$V$80,0)</f>
        <v>2</v>
      </c>
    </row>
    <row r="62" ht="22.5" customHeight="1">
      <c r="A62" s="14" t="s">
        <v>12</v>
      </c>
      <c r="D62" s="14">
        <v>3.0</v>
      </c>
      <c r="E62" s="14">
        <v>1.0</v>
      </c>
      <c r="V62" s="15">
        <f t="shared" si="1"/>
        <v>67</v>
      </c>
      <c r="W62" s="15">
        <f t="shared" si="2"/>
        <v>3</v>
      </c>
    </row>
    <row r="63" ht="22.5" customHeight="1">
      <c r="A63" s="16" t="s">
        <v>13</v>
      </c>
      <c r="G63" s="14">
        <v>4.0</v>
      </c>
      <c r="V63" s="15">
        <f t="shared" si="1"/>
        <v>56</v>
      </c>
      <c r="W63" s="15">
        <f t="shared" si="2"/>
        <v>6</v>
      </c>
    </row>
    <row r="64" ht="22.5" customHeight="1">
      <c r="A64" s="14" t="s">
        <v>14</v>
      </c>
      <c r="B64" s="14">
        <v>4.0</v>
      </c>
      <c r="V64" s="15">
        <f t="shared" si="1"/>
        <v>76</v>
      </c>
      <c r="W64" s="15">
        <f t="shared" si="2"/>
        <v>1</v>
      </c>
    </row>
    <row r="65" ht="22.5" customHeight="1">
      <c r="A65" s="16" t="s">
        <v>15</v>
      </c>
      <c r="E65" s="14">
        <v>2.0</v>
      </c>
      <c r="F65" s="14">
        <v>2.0</v>
      </c>
      <c r="V65" s="15">
        <f t="shared" si="1"/>
        <v>62</v>
      </c>
      <c r="W65" s="15">
        <f t="shared" si="2"/>
        <v>5</v>
      </c>
    </row>
    <row r="66" ht="22.5" customHeight="1">
      <c r="A66" s="14" t="s">
        <v>16</v>
      </c>
      <c r="J66" s="14">
        <v>4.0</v>
      </c>
      <c r="V66" s="15">
        <f t="shared" si="1"/>
        <v>44</v>
      </c>
      <c r="W66" s="15">
        <f t="shared" si="2"/>
        <v>9</v>
      </c>
    </row>
    <row r="67" ht="22.5" customHeight="1">
      <c r="A67" s="16" t="s">
        <v>17</v>
      </c>
      <c r="H67" s="14">
        <v>4.0</v>
      </c>
      <c r="V67" s="15">
        <f t="shared" si="1"/>
        <v>52</v>
      </c>
      <c r="W67" s="15">
        <f t="shared" si="2"/>
        <v>7</v>
      </c>
    </row>
    <row r="68" ht="22.5" customHeight="1">
      <c r="A68" s="14" t="s">
        <v>18</v>
      </c>
      <c r="K68" s="14">
        <v>3.0</v>
      </c>
      <c r="L68" s="14">
        <v>1.0</v>
      </c>
      <c r="V68" s="15">
        <f t="shared" si="1"/>
        <v>39</v>
      </c>
      <c r="W68" s="15">
        <f t="shared" si="2"/>
        <v>10</v>
      </c>
    </row>
    <row r="69" ht="22.5" customHeight="1">
      <c r="A69" s="16" t="s">
        <v>19</v>
      </c>
      <c r="D69" s="14">
        <v>1.0</v>
      </c>
      <c r="E69" s="14">
        <v>1.0</v>
      </c>
      <c r="F69" s="14">
        <v>2.0</v>
      </c>
      <c r="V69" s="15">
        <f t="shared" si="1"/>
        <v>63</v>
      </c>
      <c r="W69" s="15">
        <f t="shared" si="2"/>
        <v>4</v>
      </c>
    </row>
    <row r="70" ht="22.5" customHeight="1">
      <c r="A70" s="14" t="s">
        <v>20</v>
      </c>
      <c r="I70" s="14">
        <v>4.0</v>
      </c>
      <c r="V70" s="15">
        <f t="shared" si="1"/>
        <v>48</v>
      </c>
      <c r="W70" s="15">
        <f t="shared" si="2"/>
        <v>8</v>
      </c>
    </row>
    <row r="71" ht="22.5" customHeight="1">
      <c r="A71" s="16" t="s">
        <v>21</v>
      </c>
      <c r="L71" s="14">
        <v>1.0</v>
      </c>
      <c r="M71" s="14">
        <v>2.0</v>
      </c>
      <c r="N71" s="14">
        <v>1.0</v>
      </c>
      <c r="V71" s="15">
        <f t="shared" si="1"/>
        <v>32</v>
      </c>
      <c r="W71" s="15">
        <f t="shared" si="2"/>
        <v>12</v>
      </c>
    </row>
    <row r="72" ht="22.5" customHeight="1">
      <c r="A72" s="14" t="s">
        <v>22</v>
      </c>
      <c r="M72" s="14">
        <v>2.0</v>
      </c>
      <c r="N72" s="14">
        <v>2.0</v>
      </c>
      <c r="V72" s="15">
        <f t="shared" si="1"/>
        <v>30</v>
      </c>
      <c r="W72" s="15">
        <f t="shared" si="2"/>
        <v>13</v>
      </c>
    </row>
    <row r="73" ht="22.5" customHeight="1">
      <c r="A73" s="16" t="s">
        <v>23</v>
      </c>
      <c r="N73" s="14">
        <v>1.0</v>
      </c>
      <c r="O73" s="14">
        <v>3.0</v>
      </c>
      <c r="V73" s="15">
        <f t="shared" si="1"/>
        <v>25</v>
      </c>
      <c r="W73" s="15">
        <f t="shared" si="2"/>
        <v>14</v>
      </c>
    </row>
    <row r="74" ht="22.5" customHeight="1">
      <c r="A74" s="14" t="s">
        <v>24</v>
      </c>
      <c r="O74" s="14">
        <v>1.0</v>
      </c>
      <c r="P74" s="14">
        <v>3.0</v>
      </c>
      <c r="V74" s="15">
        <f t="shared" si="1"/>
        <v>21</v>
      </c>
      <c r="W74" s="15">
        <f t="shared" si="2"/>
        <v>15</v>
      </c>
    </row>
    <row r="75" ht="22.5" customHeight="1">
      <c r="A75" s="16" t="s">
        <v>25</v>
      </c>
      <c r="Q75" s="14">
        <v>2.0</v>
      </c>
      <c r="R75" s="14">
        <v>2.0</v>
      </c>
      <c r="V75" s="15">
        <f t="shared" si="1"/>
        <v>14</v>
      </c>
      <c r="W75" s="15">
        <f t="shared" si="2"/>
        <v>16</v>
      </c>
    </row>
    <row r="76" ht="22.5" customHeight="1">
      <c r="A76" s="14" t="s">
        <v>26</v>
      </c>
      <c r="S76" s="14">
        <v>4.0</v>
      </c>
      <c r="V76" s="15">
        <f t="shared" si="1"/>
        <v>8</v>
      </c>
      <c r="W76" s="15">
        <f t="shared" si="2"/>
        <v>18</v>
      </c>
    </row>
    <row r="77" ht="22.5" customHeight="1">
      <c r="A77" s="16" t="s">
        <v>27</v>
      </c>
      <c r="K77" s="14">
        <v>1.0</v>
      </c>
      <c r="L77" s="14">
        <v>2.0</v>
      </c>
      <c r="P77" s="14">
        <v>1.0</v>
      </c>
      <c r="V77" s="15">
        <f t="shared" si="1"/>
        <v>33</v>
      </c>
      <c r="W77" s="15">
        <f t="shared" si="2"/>
        <v>11</v>
      </c>
    </row>
    <row r="78" ht="22.5" customHeight="1">
      <c r="A78" s="14" t="s">
        <v>28</v>
      </c>
      <c r="Q78" s="14">
        <v>2.0</v>
      </c>
      <c r="R78" s="14">
        <v>2.0</v>
      </c>
      <c r="V78" s="15">
        <f t="shared" si="1"/>
        <v>14</v>
      </c>
      <c r="W78" s="15">
        <f t="shared" si="2"/>
        <v>16</v>
      </c>
    </row>
    <row r="79" ht="22.5" customHeight="1">
      <c r="A79" s="16" t="s">
        <v>29</v>
      </c>
      <c r="T79" s="14">
        <v>1.0</v>
      </c>
      <c r="U79" s="14">
        <v>3.0</v>
      </c>
      <c r="V79" s="15">
        <f t="shared" si="1"/>
        <v>1</v>
      </c>
      <c r="W79" s="15">
        <f t="shared" si="2"/>
        <v>20</v>
      </c>
    </row>
    <row r="80" ht="22.5" customHeight="1">
      <c r="A80" s="14" t="s">
        <v>30</v>
      </c>
      <c r="T80" s="14">
        <v>3.0</v>
      </c>
      <c r="U80" s="14">
        <v>1.0</v>
      </c>
      <c r="V80" s="15">
        <f t="shared" si="1"/>
        <v>3</v>
      </c>
      <c r="W80" s="15">
        <f t="shared" si="2"/>
        <v>19</v>
      </c>
    </row>
    <row r="81" ht="22.5" customHeight="1">
      <c r="A81" s="14" t="s">
        <v>76</v>
      </c>
      <c r="B81" s="14">
        <v>19.0</v>
      </c>
      <c r="C81" s="14">
        <v>18.0</v>
      </c>
      <c r="D81" s="14">
        <v>17.0</v>
      </c>
      <c r="E81" s="14">
        <v>16.0</v>
      </c>
      <c r="F81" s="14">
        <v>15.0</v>
      </c>
      <c r="G81" s="14">
        <v>14.0</v>
      </c>
      <c r="H81" s="14">
        <v>13.0</v>
      </c>
      <c r="I81" s="14">
        <v>12.0</v>
      </c>
      <c r="J81" s="14">
        <v>11.0</v>
      </c>
      <c r="K81" s="14">
        <v>10.0</v>
      </c>
      <c r="L81" s="14">
        <v>9.0</v>
      </c>
      <c r="M81" s="14">
        <v>8.0</v>
      </c>
      <c r="N81" s="14">
        <v>7.0</v>
      </c>
      <c r="O81" s="14">
        <v>6.0</v>
      </c>
      <c r="P81" s="14">
        <v>5.0</v>
      </c>
      <c r="Q81" s="14">
        <v>4.0</v>
      </c>
      <c r="R81" s="14">
        <v>3.0</v>
      </c>
      <c r="S81" s="14">
        <v>2.0</v>
      </c>
      <c r="T81" s="14">
        <v>1.0</v>
      </c>
      <c r="U81" s="14">
        <v>0.0</v>
      </c>
      <c r="V81" s="15"/>
      <c r="W81" s="15"/>
    </row>
  </sheetData>
  <mergeCells count="1">
    <mergeCell ref="E3:I7"/>
  </mergeCells>
  <dataValidations>
    <dataValidation type="custom" allowBlank="1" showDropDown="1" sqref="V61:W81">
      <formula1>AND(ISNUMBER(V61),(NOT(OR(NOT(ISERROR(DATEVALUE(V61))), AND(ISNUMBER(V61), LEFT(CELL("format", V61))="D")))))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7" t="s">
        <v>0</v>
      </c>
      <c r="B1" s="18" t="s">
        <v>1</v>
      </c>
      <c r="C1" s="18" t="s">
        <v>2</v>
      </c>
      <c r="D1" s="18" t="s">
        <v>3</v>
      </c>
      <c r="E1" s="18" t="s">
        <v>4</v>
      </c>
      <c r="F1" s="18" t="s">
        <v>5</v>
      </c>
      <c r="G1" s="18" t="s">
        <v>6</v>
      </c>
      <c r="H1" s="18" t="s">
        <v>7</v>
      </c>
      <c r="I1" s="18" t="s">
        <v>8</v>
      </c>
      <c r="J1" s="18" t="s">
        <v>9</v>
      </c>
      <c r="K1" s="18" t="s">
        <v>10</v>
      </c>
    </row>
    <row r="2">
      <c r="A2" s="17" t="s">
        <v>11</v>
      </c>
      <c r="B2" s="18">
        <v>5.0</v>
      </c>
      <c r="C2" s="18">
        <v>5.0</v>
      </c>
      <c r="D2" s="18">
        <v>5.0</v>
      </c>
      <c r="E2" s="18">
        <v>4.0</v>
      </c>
      <c r="F2" s="18">
        <v>5.0</v>
      </c>
      <c r="G2" s="18">
        <v>5.0</v>
      </c>
      <c r="H2" s="18">
        <v>5.0</v>
      </c>
      <c r="I2" s="18">
        <v>4.0</v>
      </c>
      <c r="J2" s="18">
        <v>5.0</v>
      </c>
      <c r="K2" s="18">
        <v>4.0</v>
      </c>
    </row>
    <row r="3">
      <c r="A3" s="17" t="s">
        <v>12</v>
      </c>
      <c r="B3" s="18">
        <v>5.0</v>
      </c>
      <c r="C3" s="18">
        <v>5.0</v>
      </c>
      <c r="D3" s="18">
        <v>4.0</v>
      </c>
      <c r="E3" s="18">
        <v>4.0</v>
      </c>
      <c r="F3" s="18">
        <v>4.0</v>
      </c>
      <c r="G3" s="18">
        <v>4.0</v>
      </c>
      <c r="H3" s="18">
        <v>5.0</v>
      </c>
      <c r="I3" s="18">
        <v>4.0</v>
      </c>
      <c r="J3" s="18">
        <v>5.0</v>
      </c>
      <c r="K3" s="18">
        <v>4.0</v>
      </c>
    </row>
    <row r="4">
      <c r="A4" s="17" t="s">
        <v>13</v>
      </c>
      <c r="B4" s="18">
        <v>4.0</v>
      </c>
      <c r="C4" s="18">
        <v>5.0</v>
      </c>
      <c r="D4" s="18">
        <v>4.0</v>
      </c>
      <c r="E4" s="18">
        <v>5.0</v>
      </c>
      <c r="F4" s="18">
        <v>4.0</v>
      </c>
      <c r="G4" s="18">
        <v>4.0</v>
      </c>
      <c r="H4" s="18">
        <v>5.0</v>
      </c>
      <c r="I4" s="18">
        <v>3.0</v>
      </c>
      <c r="J4" s="18">
        <v>5.0</v>
      </c>
      <c r="K4" s="18">
        <v>4.0</v>
      </c>
    </row>
    <row r="5">
      <c r="A5" s="17" t="s">
        <v>14</v>
      </c>
      <c r="B5" s="18">
        <v>5.0</v>
      </c>
      <c r="C5" s="18">
        <v>5.0</v>
      </c>
      <c r="D5" s="18">
        <v>5.0</v>
      </c>
      <c r="E5" s="18">
        <v>5.0</v>
      </c>
      <c r="F5" s="18">
        <v>5.0</v>
      </c>
      <c r="G5" s="18">
        <v>5.0</v>
      </c>
      <c r="H5" s="18">
        <v>5.0</v>
      </c>
      <c r="I5" s="18">
        <v>4.0</v>
      </c>
      <c r="J5" s="18">
        <v>5.0</v>
      </c>
      <c r="K5" s="18">
        <v>5.0</v>
      </c>
    </row>
    <row r="6">
      <c r="A6" s="17" t="s">
        <v>15</v>
      </c>
      <c r="B6" s="18">
        <v>4.0</v>
      </c>
      <c r="C6" s="18">
        <v>5.0</v>
      </c>
      <c r="D6" s="18">
        <v>4.0</v>
      </c>
      <c r="E6" s="18">
        <v>4.0</v>
      </c>
      <c r="F6" s="18">
        <v>4.0</v>
      </c>
      <c r="G6" s="18">
        <v>5.0</v>
      </c>
      <c r="H6" s="18">
        <v>5.0</v>
      </c>
      <c r="I6" s="18">
        <v>3.0</v>
      </c>
      <c r="J6" s="18">
        <v>5.0</v>
      </c>
      <c r="K6" s="18">
        <v>5.0</v>
      </c>
    </row>
    <row r="7">
      <c r="A7" s="17" t="s">
        <v>16</v>
      </c>
      <c r="B7" s="18">
        <v>4.0</v>
      </c>
      <c r="C7" s="18">
        <v>4.0</v>
      </c>
      <c r="D7" s="18">
        <v>4.0</v>
      </c>
      <c r="E7" s="18">
        <v>5.0</v>
      </c>
      <c r="F7" s="18">
        <v>3.0</v>
      </c>
      <c r="G7" s="18">
        <v>4.0</v>
      </c>
      <c r="H7" s="18">
        <v>4.0</v>
      </c>
      <c r="I7" s="18">
        <v>2.0</v>
      </c>
      <c r="J7" s="18">
        <v>4.0</v>
      </c>
      <c r="K7" s="18">
        <v>5.0</v>
      </c>
    </row>
    <row r="8">
      <c r="A8" s="17" t="s">
        <v>17</v>
      </c>
      <c r="B8" s="18">
        <v>4.0</v>
      </c>
      <c r="C8" s="18">
        <v>4.0</v>
      </c>
      <c r="D8" s="18">
        <v>4.0</v>
      </c>
      <c r="E8" s="18">
        <v>5.0</v>
      </c>
      <c r="F8" s="18">
        <v>4.0</v>
      </c>
      <c r="G8" s="18">
        <v>4.0</v>
      </c>
      <c r="H8" s="18">
        <v>4.0</v>
      </c>
      <c r="I8" s="18">
        <v>3.0</v>
      </c>
      <c r="J8" s="18">
        <v>5.0</v>
      </c>
      <c r="K8" s="18">
        <v>5.0</v>
      </c>
    </row>
    <row r="9">
      <c r="A9" s="17" t="s">
        <v>18</v>
      </c>
      <c r="B9" s="18">
        <v>4.0</v>
      </c>
      <c r="C9" s="18">
        <v>4.0</v>
      </c>
      <c r="D9" s="18">
        <v>4.0</v>
      </c>
      <c r="E9" s="18">
        <v>4.0</v>
      </c>
      <c r="F9" s="18">
        <v>3.0</v>
      </c>
      <c r="G9" s="18">
        <v>4.0</v>
      </c>
      <c r="H9" s="18">
        <v>4.0</v>
      </c>
      <c r="I9" s="18">
        <v>2.0</v>
      </c>
      <c r="J9" s="18">
        <v>4.0</v>
      </c>
      <c r="K9" s="18">
        <v>4.0</v>
      </c>
    </row>
    <row r="10">
      <c r="A10" s="17" t="s">
        <v>19</v>
      </c>
      <c r="B10" s="18">
        <v>4.0</v>
      </c>
      <c r="C10" s="18">
        <v>4.0</v>
      </c>
      <c r="D10" s="18">
        <v>4.0</v>
      </c>
      <c r="E10" s="18">
        <v>4.0</v>
      </c>
      <c r="F10" s="18">
        <v>5.0</v>
      </c>
      <c r="G10" s="18">
        <v>5.0</v>
      </c>
      <c r="H10" s="18">
        <v>5.0</v>
      </c>
      <c r="I10" s="18">
        <v>4.0</v>
      </c>
      <c r="J10" s="18">
        <v>4.0</v>
      </c>
      <c r="K10" s="18">
        <v>5.0</v>
      </c>
    </row>
    <row r="11">
      <c r="A11" s="17" t="s">
        <v>20</v>
      </c>
      <c r="B11" s="18">
        <v>4.0</v>
      </c>
      <c r="C11" s="18">
        <v>5.0</v>
      </c>
      <c r="D11" s="18">
        <v>4.0</v>
      </c>
      <c r="E11" s="18">
        <v>4.0</v>
      </c>
      <c r="F11" s="18">
        <v>3.0</v>
      </c>
      <c r="G11" s="18">
        <v>4.0</v>
      </c>
      <c r="H11" s="18">
        <v>4.0</v>
      </c>
      <c r="I11" s="18">
        <v>3.0</v>
      </c>
      <c r="J11" s="18">
        <v>4.0</v>
      </c>
      <c r="K11" s="18">
        <v>5.0</v>
      </c>
    </row>
    <row r="12">
      <c r="A12" s="17" t="s">
        <v>21</v>
      </c>
      <c r="B12" s="18">
        <v>4.0</v>
      </c>
      <c r="C12" s="18">
        <v>4.0</v>
      </c>
      <c r="D12" s="18">
        <v>3.0</v>
      </c>
      <c r="E12" s="18">
        <v>3.0</v>
      </c>
      <c r="F12" s="18">
        <v>4.0</v>
      </c>
      <c r="G12" s="18">
        <v>4.0</v>
      </c>
      <c r="H12" s="18">
        <v>4.0</v>
      </c>
      <c r="I12" s="18">
        <v>2.0</v>
      </c>
      <c r="J12" s="18">
        <v>4.0</v>
      </c>
      <c r="K12" s="18">
        <v>4.0</v>
      </c>
    </row>
    <row r="13">
      <c r="A13" s="17" t="s">
        <v>22</v>
      </c>
      <c r="B13" s="18">
        <v>4.0</v>
      </c>
      <c r="C13" s="18">
        <v>3.0</v>
      </c>
      <c r="D13" s="18">
        <v>4.0</v>
      </c>
      <c r="E13" s="18">
        <v>4.0</v>
      </c>
      <c r="F13" s="18">
        <v>3.0</v>
      </c>
      <c r="G13" s="18">
        <v>4.0</v>
      </c>
      <c r="H13" s="18">
        <v>4.0</v>
      </c>
      <c r="I13" s="18">
        <v>2.0</v>
      </c>
      <c r="J13" s="18">
        <v>4.0</v>
      </c>
      <c r="K13" s="18">
        <v>4.0</v>
      </c>
    </row>
    <row r="14">
      <c r="A14" s="17" t="s">
        <v>23</v>
      </c>
      <c r="B14" s="18">
        <v>4.0</v>
      </c>
      <c r="C14" s="18">
        <v>4.0</v>
      </c>
      <c r="D14" s="18">
        <v>4.0</v>
      </c>
      <c r="E14" s="18">
        <v>3.0</v>
      </c>
      <c r="F14" s="18">
        <v>3.0</v>
      </c>
      <c r="G14" s="18">
        <v>3.0</v>
      </c>
      <c r="H14" s="18">
        <v>4.0</v>
      </c>
      <c r="I14" s="18">
        <v>2.0</v>
      </c>
      <c r="J14" s="18">
        <v>5.0</v>
      </c>
      <c r="K14" s="18">
        <v>4.0</v>
      </c>
    </row>
    <row r="15">
      <c r="A15" s="17" t="s">
        <v>24</v>
      </c>
      <c r="B15" s="18">
        <v>4.0</v>
      </c>
      <c r="C15" s="18">
        <v>3.0</v>
      </c>
      <c r="D15" s="18">
        <v>4.0</v>
      </c>
      <c r="E15" s="18">
        <v>4.0</v>
      </c>
      <c r="F15" s="18">
        <v>3.0</v>
      </c>
      <c r="G15" s="18">
        <v>4.0</v>
      </c>
      <c r="H15" s="18">
        <v>4.0</v>
      </c>
      <c r="I15" s="18">
        <v>2.0</v>
      </c>
      <c r="J15" s="18">
        <v>4.0</v>
      </c>
      <c r="K15" s="18">
        <v>3.0</v>
      </c>
    </row>
    <row r="16">
      <c r="A16" s="17" t="s">
        <v>25</v>
      </c>
      <c r="B16" s="18">
        <v>3.0</v>
      </c>
      <c r="C16" s="18">
        <v>3.0</v>
      </c>
      <c r="D16" s="18">
        <v>3.0</v>
      </c>
      <c r="E16" s="18">
        <v>3.0</v>
      </c>
      <c r="F16" s="18">
        <v>4.0</v>
      </c>
      <c r="G16" s="18">
        <v>4.0</v>
      </c>
      <c r="H16" s="18">
        <v>4.0</v>
      </c>
      <c r="I16" s="18">
        <v>1.0</v>
      </c>
      <c r="J16" s="18">
        <v>3.0</v>
      </c>
      <c r="K16" s="18">
        <v>4.0</v>
      </c>
    </row>
    <row r="17">
      <c r="A17" s="17" t="s">
        <v>26</v>
      </c>
      <c r="B17" s="18">
        <v>3.0</v>
      </c>
      <c r="C17" s="18">
        <v>3.0</v>
      </c>
      <c r="D17" s="18">
        <v>4.0</v>
      </c>
      <c r="E17" s="18">
        <v>3.0</v>
      </c>
      <c r="F17" s="18">
        <v>3.0</v>
      </c>
      <c r="G17" s="18">
        <v>3.0</v>
      </c>
      <c r="H17" s="18">
        <v>4.0</v>
      </c>
      <c r="I17" s="18">
        <v>1.0</v>
      </c>
      <c r="J17" s="18">
        <v>4.0</v>
      </c>
      <c r="K17" s="18">
        <v>4.0</v>
      </c>
    </row>
    <row r="18">
      <c r="A18" s="17" t="s">
        <v>27</v>
      </c>
      <c r="B18" s="18">
        <v>3.0</v>
      </c>
      <c r="C18" s="18">
        <v>4.0</v>
      </c>
      <c r="D18" s="18">
        <v>4.0</v>
      </c>
      <c r="E18" s="18">
        <v>4.0</v>
      </c>
      <c r="F18" s="18">
        <v>3.0</v>
      </c>
      <c r="G18" s="18">
        <v>3.0</v>
      </c>
      <c r="H18" s="18">
        <v>4.0</v>
      </c>
      <c r="I18" s="18">
        <v>3.0</v>
      </c>
      <c r="J18" s="18">
        <v>4.0</v>
      </c>
      <c r="K18" s="18">
        <v>5.0</v>
      </c>
    </row>
    <row r="19">
      <c r="A19" s="17" t="s">
        <v>28</v>
      </c>
      <c r="B19" s="18">
        <v>3.0</v>
      </c>
      <c r="C19" s="18">
        <v>3.0</v>
      </c>
      <c r="D19" s="18">
        <v>4.0</v>
      </c>
      <c r="E19" s="18">
        <v>3.0</v>
      </c>
      <c r="F19" s="18">
        <v>4.0</v>
      </c>
      <c r="G19" s="18">
        <v>3.0</v>
      </c>
      <c r="H19" s="18">
        <v>4.0</v>
      </c>
      <c r="I19" s="18">
        <v>2.0</v>
      </c>
      <c r="J19" s="18">
        <v>3.0</v>
      </c>
      <c r="K19" s="18">
        <v>3.0</v>
      </c>
    </row>
    <row r="20">
      <c r="A20" s="17" t="s">
        <v>29</v>
      </c>
      <c r="B20" s="18">
        <v>3.0</v>
      </c>
      <c r="C20" s="18">
        <v>2.0</v>
      </c>
      <c r="D20" s="18">
        <v>3.0</v>
      </c>
      <c r="E20" s="18">
        <v>3.0</v>
      </c>
      <c r="F20" s="18">
        <v>3.0</v>
      </c>
      <c r="G20" s="18">
        <v>4.0</v>
      </c>
      <c r="H20" s="18">
        <v>3.0</v>
      </c>
      <c r="I20" s="18">
        <v>1.0</v>
      </c>
      <c r="J20" s="18">
        <v>3.0</v>
      </c>
      <c r="K20" s="18">
        <v>3.0</v>
      </c>
    </row>
    <row r="21">
      <c r="A21" s="17" t="s">
        <v>30</v>
      </c>
      <c r="B21" s="18">
        <v>3.0</v>
      </c>
      <c r="C21" s="18">
        <v>3.0</v>
      </c>
      <c r="D21" s="18">
        <v>2.0</v>
      </c>
      <c r="E21" s="18">
        <v>3.0</v>
      </c>
      <c r="F21" s="18">
        <v>3.0</v>
      </c>
      <c r="G21" s="18">
        <v>3.0</v>
      </c>
      <c r="H21" s="18">
        <v>3.0</v>
      </c>
      <c r="I21" s="18">
        <v>2.0</v>
      </c>
      <c r="J21" s="18">
        <v>3.0</v>
      </c>
      <c r="K21" s="18">
        <v>3.0</v>
      </c>
    </row>
    <row r="22">
      <c r="A22" s="19" t="s">
        <v>77</v>
      </c>
      <c r="B22" s="19">
        <v>5.0</v>
      </c>
      <c r="C22" s="19">
        <v>5.0</v>
      </c>
      <c r="D22" s="19">
        <v>5.0</v>
      </c>
      <c r="E22" s="19">
        <v>5.0</v>
      </c>
      <c r="F22" s="19">
        <v>5.0</v>
      </c>
      <c r="G22" s="19">
        <v>5.0</v>
      </c>
      <c r="H22" s="19">
        <v>5.0</v>
      </c>
      <c r="I22" s="19">
        <v>4.0</v>
      </c>
      <c r="J22" s="19">
        <v>5.0</v>
      </c>
      <c r="K22" s="6">
        <v>5.0</v>
      </c>
    </row>
    <row r="24">
      <c r="A24" s="20" t="s">
        <v>78</v>
      </c>
      <c r="B24" s="21"/>
      <c r="C24" s="21"/>
      <c r="D24" s="21"/>
      <c r="E24" s="21"/>
      <c r="F24" s="21"/>
      <c r="G24" s="21"/>
      <c r="H24" s="21"/>
      <c r="I24" s="21"/>
      <c r="J24" s="21"/>
      <c r="K24" s="21"/>
      <c r="L24" s="20" t="s">
        <v>79</v>
      </c>
      <c r="M24" s="21"/>
    </row>
    <row r="25">
      <c r="A25" s="22" t="s">
        <v>0</v>
      </c>
      <c r="B25" s="23" t="s">
        <v>1</v>
      </c>
      <c r="C25" s="23" t="s">
        <v>2</v>
      </c>
      <c r="D25" s="23" t="s">
        <v>3</v>
      </c>
      <c r="E25" s="23" t="s">
        <v>4</v>
      </c>
      <c r="F25" s="23" t="s">
        <v>5</v>
      </c>
      <c r="G25" s="23" t="s">
        <v>6</v>
      </c>
      <c r="H25" s="23" t="s">
        <v>7</v>
      </c>
      <c r="I25" s="23" t="s">
        <v>8</v>
      </c>
      <c r="J25" s="23" t="s">
        <v>9</v>
      </c>
      <c r="K25" s="23" t="s">
        <v>10</v>
      </c>
      <c r="L25" s="8" t="s">
        <v>80</v>
      </c>
    </row>
    <row r="26">
      <c r="A26" s="22" t="s">
        <v>11</v>
      </c>
      <c r="B26" s="23">
        <f t="shared" ref="B26:B45" si="1">B2/$B$22</f>
        <v>1</v>
      </c>
      <c r="C26" s="23">
        <f t="shared" ref="C26:C45" si="2">C2/$C$22</f>
        <v>1</v>
      </c>
      <c r="D26" s="23">
        <f t="shared" ref="D26:D45" si="3">D2/$D$22</f>
        <v>1</v>
      </c>
      <c r="E26" s="23">
        <f t="shared" ref="E26:E45" si="4">E2/$E$22</f>
        <v>0.8</v>
      </c>
      <c r="F26" s="23">
        <f t="shared" ref="F26:F45" si="5">F2/$F$22</f>
        <v>1</v>
      </c>
      <c r="G26" s="23">
        <f t="shared" ref="G26:G45" si="6">G2/$G$22</f>
        <v>1</v>
      </c>
      <c r="H26" s="23">
        <f t="shared" ref="H26:H45" si="7">H2/$H$22</f>
        <v>1</v>
      </c>
      <c r="I26" s="23">
        <f t="shared" ref="I26:I45" si="8">I2/$I$22</f>
        <v>1</v>
      </c>
      <c r="J26" s="23">
        <f t="shared" ref="J26:J45" si="9">J2/$J$22</f>
        <v>1</v>
      </c>
      <c r="K26" s="23">
        <f t="shared" ref="K26:K45" si="10">K2/$K$22</f>
        <v>0.8</v>
      </c>
      <c r="L26" s="24">
        <f t="shared" ref="L26:L45" si="11">LN(1 + (1/20 * (ABS(LN(B26)) + (ABS(LN(C26)) + (ABS(LN(D26)) + (ABS(LN(E26))+ (ABS(LN(F26)) + (ABS(LN(G26))+(ABS(LN(H26)) + (ABS(LN(I26)) + (ABS(LN(J26)) + (ABS(LN(K26)) ))))))))))))</f>
        <v>0.02206903268</v>
      </c>
    </row>
    <row r="27">
      <c r="A27" s="22" t="s">
        <v>12</v>
      </c>
      <c r="B27" s="23">
        <f t="shared" si="1"/>
        <v>1</v>
      </c>
      <c r="C27" s="23">
        <f t="shared" si="2"/>
        <v>1</v>
      </c>
      <c r="D27" s="23">
        <f t="shared" si="3"/>
        <v>0.8</v>
      </c>
      <c r="E27" s="23">
        <f t="shared" si="4"/>
        <v>0.8</v>
      </c>
      <c r="F27" s="23">
        <f t="shared" si="5"/>
        <v>0.8</v>
      </c>
      <c r="G27" s="23">
        <f t="shared" si="6"/>
        <v>0.8</v>
      </c>
      <c r="H27" s="23">
        <f t="shared" si="7"/>
        <v>1</v>
      </c>
      <c r="I27" s="23">
        <f t="shared" si="8"/>
        <v>1</v>
      </c>
      <c r="J27" s="23">
        <f t="shared" si="9"/>
        <v>1</v>
      </c>
      <c r="K27" s="23">
        <f t="shared" si="10"/>
        <v>0.8</v>
      </c>
      <c r="L27" s="24">
        <f t="shared" si="11"/>
        <v>0.05428540699</v>
      </c>
    </row>
    <row r="28">
      <c r="A28" s="22" t="s">
        <v>13</v>
      </c>
      <c r="B28" s="23">
        <f t="shared" si="1"/>
        <v>0.8</v>
      </c>
      <c r="C28" s="23">
        <f t="shared" si="2"/>
        <v>1</v>
      </c>
      <c r="D28" s="23">
        <f t="shared" si="3"/>
        <v>0.8</v>
      </c>
      <c r="E28" s="23">
        <f t="shared" si="4"/>
        <v>1</v>
      </c>
      <c r="F28" s="23">
        <f t="shared" si="5"/>
        <v>0.8</v>
      </c>
      <c r="G28" s="23">
        <f t="shared" si="6"/>
        <v>0.8</v>
      </c>
      <c r="H28" s="23">
        <f t="shared" si="7"/>
        <v>1</v>
      </c>
      <c r="I28" s="23">
        <f t="shared" si="8"/>
        <v>0.75</v>
      </c>
      <c r="J28" s="23">
        <f t="shared" si="9"/>
        <v>1</v>
      </c>
      <c r="K28" s="23">
        <f t="shared" si="10"/>
        <v>0.8</v>
      </c>
      <c r="L28" s="24">
        <f t="shared" si="11"/>
        <v>0.06781750637</v>
      </c>
    </row>
    <row r="29">
      <c r="A29" s="22" t="s">
        <v>14</v>
      </c>
      <c r="B29" s="23">
        <f t="shared" si="1"/>
        <v>1</v>
      </c>
      <c r="C29" s="23">
        <f t="shared" si="2"/>
        <v>1</v>
      </c>
      <c r="D29" s="23">
        <f t="shared" si="3"/>
        <v>1</v>
      </c>
      <c r="E29" s="23">
        <f t="shared" si="4"/>
        <v>1</v>
      </c>
      <c r="F29" s="23">
        <f t="shared" si="5"/>
        <v>1</v>
      </c>
      <c r="G29" s="23">
        <f t="shared" si="6"/>
        <v>1</v>
      </c>
      <c r="H29" s="23">
        <f t="shared" si="7"/>
        <v>1</v>
      </c>
      <c r="I29" s="23">
        <f t="shared" si="8"/>
        <v>1</v>
      </c>
      <c r="J29" s="23">
        <f t="shared" si="9"/>
        <v>1</v>
      </c>
      <c r="K29" s="23">
        <f t="shared" si="10"/>
        <v>1</v>
      </c>
      <c r="L29" s="24">
        <f t="shared" si="11"/>
        <v>0</v>
      </c>
    </row>
    <row r="30">
      <c r="A30" s="22" t="s">
        <v>15</v>
      </c>
      <c r="B30" s="23">
        <f t="shared" si="1"/>
        <v>0.8</v>
      </c>
      <c r="C30" s="23">
        <f t="shared" si="2"/>
        <v>1</v>
      </c>
      <c r="D30" s="23">
        <f t="shared" si="3"/>
        <v>0.8</v>
      </c>
      <c r="E30" s="23">
        <f t="shared" si="4"/>
        <v>0.8</v>
      </c>
      <c r="F30" s="23">
        <f t="shared" si="5"/>
        <v>0.8</v>
      </c>
      <c r="G30" s="23">
        <f t="shared" si="6"/>
        <v>1</v>
      </c>
      <c r="H30" s="23">
        <f t="shared" si="7"/>
        <v>1</v>
      </c>
      <c r="I30" s="23">
        <f t="shared" si="8"/>
        <v>0.75</v>
      </c>
      <c r="J30" s="23">
        <f t="shared" si="9"/>
        <v>1</v>
      </c>
      <c r="K30" s="23">
        <f t="shared" si="10"/>
        <v>1</v>
      </c>
      <c r="L30" s="24">
        <f t="shared" si="11"/>
        <v>0.05733716653</v>
      </c>
    </row>
    <row r="31">
      <c r="A31" s="22" t="s">
        <v>16</v>
      </c>
      <c r="B31" s="23">
        <f t="shared" si="1"/>
        <v>0.8</v>
      </c>
      <c r="C31" s="23">
        <f t="shared" si="2"/>
        <v>0.8</v>
      </c>
      <c r="D31" s="23">
        <f t="shared" si="3"/>
        <v>0.8</v>
      </c>
      <c r="E31" s="23">
        <f t="shared" si="4"/>
        <v>1</v>
      </c>
      <c r="F31" s="23">
        <f t="shared" si="5"/>
        <v>0.6</v>
      </c>
      <c r="G31" s="23">
        <f t="shared" si="6"/>
        <v>0.8</v>
      </c>
      <c r="H31" s="23">
        <f t="shared" si="7"/>
        <v>0.8</v>
      </c>
      <c r="I31" s="23">
        <f t="shared" si="8"/>
        <v>0.5</v>
      </c>
      <c r="J31" s="23">
        <f t="shared" si="9"/>
        <v>0.8</v>
      </c>
      <c r="K31" s="23">
        <f t="shared" si="10"/>
        <v>1</v>
      </c>
      <c r="L31" s="24">
        <f t="shared" si="11"/>
        <v>0.1196849642</v>
      </c>
    </row>
    <row r="32">
      <c r="A32" s="22" t="s">
        <v>17</v>
      </c>
      <c r="B32" s="23">
        <f t="shared" si="1"/>
        <v>0.8</v>
      </c>
      <c r="C32" s="23">
        <f t="shared" si="2"/>
        <v>0.8</v>
      </c>
      <c r="D32" s="23">
        <f t="shared" si="3"/>
        <v>0.8</v>
      </c>
      <c r="E32" s="23">
        <f t="shared" si="4"/>
        <v>1</v>
      </c>
      <c r="F32" s="23">
        <f t="shared" si="5"/>
        <v>0.8</v>
      </c>
      <c r="G32" s="23">
        <f t="shared" si="6"/>
        <v>0.8</v>
      </c>
      <c r="H32" s="23">
        <f t="shared" si="7"/>
        <v>0.8</v>
      </c>
      <c r="I32" s="23">
        <f t="shared" si="8"/>
        <v>0.75</v>
      </c>
      <c r="J32" s="23">
        <f t="shared" si="9"/>
        <v>1</v>
      </c>
      <c r="K32" s="23">
        <f t="shared" si="10"/>
        <v>1</v>
      </c>
      <c r="L32" s="24">
        <f t="shared" si="11"/>
        <v>0.07818914691</v>
      </c>
    </row>
    <row r="33">
      <c r="A33" s="22" t="s">
        <v>18</v>
      </c>
      <c r="B33" s="23">
        <f t="shared" si="1"/>
        <v>0.8</v>
      </c>
      <c r="C33" s="23">
        <f t="shared" si="2"/>
        <v>0.8</v>
      </c>
      <c r="D33" s="23">
        <f t="shared" si="3"/>
        <v>0.8</v>
      </c>
      <c r="E33" s="23">
        <f t="shared" si="4"/>
        <v>0.8</v>
      </c>
      <c r="F33" s="23">
        <f t="shared" si="5"/>
        <v>0.6</v>
      </c>
      <c r="G33" s="23">
        <f t="shared" si="6"/>
        <v>0.8</v>
      </c>
      <c r="H33" s="23">
        <f t="shared" si="7"/>
        <v>0.8</v>
      </c>
      <c r="I33" s="23">
        <f t="shared" si="8"/>
        <v>0.5</v>
      </c>
      <c r="J33" s="23">
        <f t="shared" si="9"/>
        <v>0.8</v>
      </c>
      <c r="K33" s="23">
        <f t="shared" si="10"/>
        <v>0.8</v>
      </c>
      <c r="L33" s="24">
        <f t="shared" si="11"/>
        <v>0.1392888398</v>
      </c>
    </row>
    <row r="34">
      <c r="A34" s="22" t="s">
        <v>19</v>
      </c>
      <c r="B34" s="23">
        <f t="shared" si="1"/>
        <v>0.8</v>
      </c>
      <c r="C34" s="23">
        <f t="shared" si="2"/>
        <v>0.8</v>
      </c>
      <c r="D34" s="23">
        <f t="shared" si="3"/>
        <v>0.8</v>
      </c>
      <c r="E34" s="23">
        <f t="shared" si="4"/>
        <v>0.8</v>
      </c>
      <c r="F34" s="23">
        <f t="shared" si="5"/>
        <v>1</v>
      </c>
      <c r="G34" s="23">
        <f t="shared" si="6"/>
        <v>1</v>
      </c>
      <c r="H34" s="23">
        <f t="shared" si="7"/>
        <v>1</v>
      </c>
      <c r="I34" s="23">
        <f t="shared" si="8"/>
        <v>1</v>
      </c>
      <c r="J34" s="23">
        <f t="shared" si="9"/>
        <v>0.8</v>
      </c>
      <c r="K34" s="23">
        <f t="shared" si="10"/>
        <v>1</v>
      </c>
      <c r="L34" s="24">
        <f t="shared" si="11"/>
        <v>0.05428540699</v>
      </c>
    </row>
    <row r="35">
      <c r="A35" s="22" t="s">
        <v>20</v>
      </c>
      <c r="B35" s="23">
        <f t="shared" si="1"/>
        <v>0.8</v>
      </c>
      <c r="C35" s="23">
        <f t="shared" si="2"/>
        <v>1</v>
      </c>
      <c r="D35" s="23">
        <f t="shared" si="3"/>
        <v>0.8</v>
      </c>
      <c r="E35" s="23">
        <f t="shared" si="4"/>
        <v>0.8</v>
      </c>
      <c r="F35" s="23">
        <f t="shared" si="5"/>
        <v>0.6</v>
      </c>
      <c r="G35" s="23">
        <f t="shared" si="6"/>
        <v>0.8</v>
      </c>
      <c r="H35" s="23">
        <f t="shared" si="7"/>
        <v>0.8</v>
      </c>
      <c r="I35" s="23">
        <f t="shared" si="8"/>
        <v>0.75</v>
      </c>
      <c r="J35" s="23">
        <f t="shared" si="9"/>
        <v>0.8</v>
      </c>
      <c r="K35" s="23">
        <f t="shared" si="10"/>
        <v>1</v>
      </c>
      <c r="L35" s="24">
        <f t="shared" si="11"/>
        <v>0.1015348122</v>
      </c>
    </row>
    <row r="36">
      <c r="A36" s="22" t="s">
        <v>21</v>
      </c>
      <c r="B36" s="23">
        <f t="shared" si="1"/>
        <v>0.8</v>
      </c>
      <c r="C36" s="23">
        <f t="shared" si="2"/>
        <v>0.8</v>
      </c>
      <c r="D36" s="23">
        <f t="shared" si="3"/>
        <v>0.6</v>
      </c>
      <c r="E36" s="23">
        <f t="shared" si="4"/>
        <v>0.6</v>
      </c>
      <c r="F36" s="23">
        <f t="shared" si="5"/>
        <v>0.8</v>
      </c>
      <c r="G36" s="23">
        <f t="shared" si="6"/>
        <v>0.8</v>
      </c>
      <c r="H36" s="23">
        <f t="shared" si="7"/>
        <v>0.8</v>
      </c>
      <c r="I36" s="23">
        <f t="shared" si="8"/>
        <v>0.5</v>
      </c>
      <c r="J36" s="23">
        <f t="shared" si="9"/>
        <v>0.8</v>
      </c>
      <c r="K36" s="23">
        <f t="shared" si="10"/>
        <v>0.8</v>
      </c>
      <c r="L36" s="24">
        <f t="shared" si="11"/>
        <v>0.151725024</v>
      </c>
    </row>
    <row r="37">
      <c r="A37" s="22" t="s">
        <v>22</v>
      </c>
      <c r="B37" s="23">
        <f t="shared" si="1"/>
        <v>0.8</v>
      </c>
      <c r="C37" s="23">
        <f t="shared" si="2"/>
        <v>0.6</v>
      </c>
      <c r="D37" s="23">
        <f t="shared" si="3"/>
        <v>0.8</v>
      </c>
      <c r="E37" s="23">
        <f t="shared" si="4"/>
        <v>0.8</v>
      </c>
      <c r="F37" s="23">
        <f t="shared" si="5"/>
        <v>0.6</v>
      </c>
      <c r="G37" s="23">
        <f t="shared" si="6"/>
        <v>0.8</v>
      </c>
      <c r="H37" s="23">
        <f t="shared" si="7"/>
        <v>0.8</v>
      </c>
      <c r="I37" s="23">
        <f t="shared" si="8"/>
        <v>0.5</v>
      </c>
      <c r="J37" s="23">
        <f t="shared" si="9"/>
        <v>0.8</v>
      </c>
      <c r="K37" s="23">
        <f t="shared" si="10"/>
        <v>0.8</v>
      </c>
      <c r="L37" s="24">
        <f t="shared" si="11"/>
        <v>0.151725024</v>
      </c>
    </row>
    <row r="38">
      <c r="A38" s="22" t="s">
        <v>23</v>
      </c>
      <c r="B38" s="23">
        <f t="shared" si="1"/>
        <v>0.8</v>
      </c>
      <c r="C38" s="23">
        <f t="shared" si="2"/>
        <v>0.8</v>
      </c>
      <c r="D38" s="23">
        <f t="shared" si="3"/>
        <v>0.8</v>
      </c>
      <c r="E38" s="23">
        <f t="shared" si="4"/>
        <v>0.6</v>
      </c>
      <c r="F38" s="23">
        <f t="shared" si="5"/>
        <v>0.6</v>
      </c>
      <c r="G38" s="23">
        <f t="shared" si="6"/>
        <v>0.6</v>
      </c>
      <c r="H38" s="23">
        <f t="shared" si="7"/>
        <v>0.8</v>
      </c>
      <c r="I38" s="23">
        <f t="shared" si="8"/>
        <v>0.5</v>
      </c>
      <c r="J38" s="23">
        <f t="shared" si="9"/>
        <v>1</v>
      </c>
      <c r="K38" s="23">
        <f t="shared" si="10"/>
        <v>0.8</v>
      </c>
      <c r="L38" s="24">
        <f t="shared" si="11"/>
        <v>0.1544938413</v>
      </c>
    </row>
    <row r="39">
      <c r="A39" s="22" t="s">
        <v>24</v>
      </c>
      <c r="B39" s="23">
        <f t="shared" si="1"/>
        <v>0.8</v>
      </c>
      <c r="C39" s="23">
        <f t="shared" si="2"/>
        <v>0.6</v>
      </c>
      <c r="D39" s="23">
        <f t="shared" si="3"/>
        <v>0.8</v>
      </c>
      <c r="E39" s="23">
        <f t="shared" si="4"/>
        <v>0.8</v>
      </c>
      <c r="F39" s="23">
        <f t="shared" si="5"/>
        <v>0.6</v>
      </c>
      <c r="G39" s="23">
        <f t="shared" si="6"/>
        <v>0.8</v>
      </c>
      <c r="H39" s="23">
        <f t="shared" si="7"/>
        <v>0.8</v>
      </c>
      <c r="I39" s="23">
        <f t="shared" si="8"/>
        <v>0.5</v>
      </c>
      <c r="J39" s="23">
        <f t="shared" si="9"/>
        <v>0.8</v>
      </c>
      <c r="K39" s="23">
        <f t="shared" si="10"/>
        <v>0.6</v>
      </c>
      <c r="L39" s="24">
        <f t="shared" si="11"/>
        <v>0.1640084474</v>
      </c>
    </row>
    <row r="40">
      <c r="A40" s="22" t="s">
        <v>25</v>
      </c>
      <c r="B40" s="23">
        <f t="shared" si="1"/>
        <v>0.6</v>
      </c>
      <c r="C40" s="23">
        <f t="shared" si="2"/>
        <v>0.6</v>
      </c>
      <c r="D40" s="23">
        <f t="shared" si="3"/>
        <v>0.6</v>
      </c>
      <c r="E40" s="23">
        <f t="shared" si="4"/>
        <v>0.6</v>
      </c>
      <c r="F40" s="23">
        <f t="shared" si="5"/>
        <v>0.8</v>
      </c>
      <c r="G40" s="23">
        <f t="shared" si="6"/>
        <v>0.8</v>
      </c>
      <c r="H40" s="23">
        <f t="shared" si="7"/>
        <v>0.8</v>
      </c>
      <c r="I40" s="23">
        <f t="shared" si="8"/>
        <v>0.25</v>
      </c>
      <c r="J40" s="23">
        <f t="shared" si="9"/>
        <v>0.6</v>
      </c>
      <c r="K40" s="23">
        <f t="shared" si="10"/>
        <v>0.8</v>
      </c>
      <c r="L40" s="24">
        <f t="shared" si="11"/>
        <v>0.2164410068</v>
      </c>
    </row>
    <row r="41">
      <c r="A41" s="22" t="s">
        <v>26</v>
      </c>
      <c r="B41" s="23">
        <f t="shared" si="1"/>
        <v>0.6</v>
      </c>
      <c r="C41" s="23">
        <f t="shared" si="2"/>
        <v>0.6</v>
      </c>
      <c r="D41" s="23">
        <f t="shared" si="3"/>
        <v>0.8</v>
      </c>
      <c r="E41" s="23">
        <f t="shared" si="4"/>
        <v>0.6</v>
      </c>
      <c r="F41" s="23">
        <f t="shared" si="5"/>
        <v>0.6</v>
      </c>
      <c r="G41" s="23">
        <f t="shared" si="6"/>
        <v>0.6</v>
      </c>
      <c r="H41" s="23">
        <f t="shared" si="7"/>
        <v>0.8</v>
      </c>
      <c r="I41" s="23">
        <f t="shared" si="8"/>
        <v>0.25</v>
      </c>
      <c r="J41" s="23">
        <f t="shared" si="9"/>
        <v>0.8</v>
      </c>
      <c r="K41" s="23">
        <f t="shared" si="10"/>
        <v>0.8</v>
      </c>
      <c r="L41" s="24">
        <f t="shared" si="11"/>
        <v>0.2164410068</v>
      </c>
    </row>
    <row r="42">
      <c r="A42" s="22" t="s">
        <v>27</v>
      </c>
      <c r="B42" s="23">
        <f t="shared" si="1"/>
        <v>0.6</v>
      </c>
      <c r="C42" s="23">
        <f t="shared" si="2"/>
        <v>0.8</v>
      </c>
      <c r="D42" s="23">
        <f t="shared" si="3"/>
        <v>0.8</v>
      </c>
      <c r="E42" s="23">
        <f t="shared" si="4"/>
        <v>0.8</v>
      </c>
      <c r="F42" s="23">
        <f t="shared" si="5"/>
        <v>0.6</v>
      </c>
      <c r="G42" s="23">
        <f t="shared" si="6"/>
        <v>0.6</v>
      </c>
      <c r="H42" s="23">
        <f t="shared" si="7"/>
        <v>0.8</v>
      </c>
      <c r="I42" s="23">
        <f t="shared" si="8"/>
        <v>0.75</v>
      </c>
      <c r="J42" s="23">
        <f t="shared" si="9"/>
        <v>0.8</v>
      </c>
      <c r="K42" s="23">
        <f t="shared" si="10"/>
        <v>1</v>
      </c>
      <c r="L42" s="24">
        <f t="shared" si="11"/>
        <v>0.1369700792</v>
      </c>
    </row>
    <row r="43">
      <c r="A43" s="22" t="s">
        <v>28</v>
      </c>
      <c r="B43" s="23">
        <f t="shared" si="1"/>
        <v>0.6</v>
      </c>
      <c r="C43" s="23">
        <f t="shared" si="2"/>
        <v>0.6</v>
      </c>
      <c r="D43" s="23">
        <f t="shared" si="3"/>
        <v>0.8</v>
      </c>
      <c r="E43" s="23">
        <f t="shared" si="4"/>
        <v>0.6</v>
      </c>
      <c r="F43" s="23">
        <f t="shared" si="5"/>
        <v>0.8</v>
      </c>
      <c r="G43" s="23">
        <f t="shared" si="6"/>
        <v>0.6</v>
      </c>
      <c r="H43" s="23">
        <f t="shared" si="7"/>
        <v>0.8</v>
      </c>
      <c r="I43" s="23">
        <f t="shared" si="8"/>
        <v>0.5</v>
      </c>
      <c r="J43" s="23">
        <f t="shared" si="9"/>
        <v>0.6</v>
      </c>
      <c r="K43" s="23">
        <f t="shared" si="10"/>
        <v>0.6</v>
      </c>
      <c r="L43" s="24">
        <f t="shared" si="11"/>
        <v>0.199978566</v>
      </c>
    </row>
    <row r="44">
      <c r="A44" s="22" t="s">
        <v>29</v>
      </c>
      <c r="B44" s="23">
        <f t="shared" si="1"/>
        <v>0.6</v>
      </c>
      <c r="C44" s="23">
        <f t="shared" si="2"/>
        <v>0.4</v>
      </c>
      <c r="D44" s="23">
        <f t="shared" si="3"/>
        <v>0.6</v>
      </c>
      <c r="E44" s="23">
        <f t="shared" si="4"/>
        <v>0.6</v>
      </c>
      <c r="F44" s="23">
        <f t="shared" si="5"/>
        <v>0.6</v>
      </c>
      <c r="G44" s="23">
        <f t="shared" si="6"/>
        <v>0.8</v>
      </c>
      <c r="H44" s="23">
        <f t="shared" si="7"/>
        <v>0.6</v>
      </c>
      <c r="I44" s="23">
        <f t="shared" si="8"/>
        <v>0.25</v>
      </c>
      <c r="J44" s="23">
        <f t="shared" si="9"/>
        <v>0.6</v>
      </c>
      <c r="K44" s="23">
        <f t="shared" si="10"/>
        <v>0.6</v>
      </c>
      <c r="L44" s="24">
        <f t="shared" si="11"/>
        <v>0.2662608173</v>
      </c>
    </row>
    <row r="45">
      <c r="A45" s="22" t="s">
        <v>30</v>
      </c>
      <c r="B45" s="23">
        <f t="shared" si="1"/>
        <v>0.6</v>
      </c>
      <c r="C45" s="23">
        <f t="shared" si="2"/>
        <v>0.6</v>
      </c>
      <c r="D45" s="23">
        <f t="shared" si="3"/>
        <v>0.4</v>
      </c>
      <c r="E45" s="23">
        <f t="shared" si="4"/>
        <v>0.6</v>
      </c>
      <c r="F45" s="23">
        <f t="shared" si="5"/>
        <v>0.6</v>
      </c>
      <c r="G45" s="23">
        <f t="shared" si="6"/>
        <v>0.6</v>
      </c>
      <c r="H45" s="23">
        <f t="shared" si="7"/>
        <v>0.6</v>
      </c>
      <c r="I45" s="23">
        <f t="shared" si="8"/>
        <v>0.5</v>
      </c>
      <c r="J45" s="23">
        <f t="shared" si="9"/>
        <v>0.6</v>
      </c>
      <c r="K45" s="23">
        <f t="shared" si="10"/>
        <v>0.6</v>
      </c>
      <c r="L45" s="24">
        <f t="shared" si="11"/>
        <v>0.2506047338</v>
      </c>
    </row>
    <row r="47">
      <c r="A47" s="20" t="s">
        <v>81</v>
      </c>
      <c r="B47" s="21"/>
      <c r="C47" s="21"/>
      <c r="D47" s="21"/>
      <c r="E47" s="21"/>
      <c r="F47" s="21"/>
      <c r="G47" s="21"/>
      <c r="H47" s="21"/>
      <c r="I47" s="21"/>
      <c r="J47" s="21"/>
      <c r="K47" s="21"/>
    </row>
    <row r="48">
      <c r="A48" s="22" t="s">
        <v>0</v>
      </c>
      <c r="B48" s="25" t="s">
        <v>1</v>
      </c>
      <c r="C48" s="25" t="s">
        <v>2</v>
      </c>
      <c r="D48" s="25" t="s">
        <v>3</v>
      </c>
      <c r="E48" s="25" t="s">
        <v>4</v>
      </c>
      <c r="F48" s="25" t="s">
        <v>5</v>
      </c>
      <c r="G48" s="25" t="s">
        <v>6</v>
      </c>
      <c r="H48" s="25" t="s">
        <v>7</v>
      </c>
      <c r="I48" s="25" t="s">
        <v>8</v>
      </c>
      <c r="J48" s="25" t="s">
        <v>9</v>
      </c>
      <c r="K48" s="25" t="s">
        <v>10</v>
      </c>
      <c r="S48" s="26"/>
      <c r="T48" s="26"/>
      <c r="U48" s="27"/>
    </row>
    <row r="49">
      <c r="A49" s="22" t="s">
        <v>11</v>
      </c>
      <c r="B49" s="28">
        <f t="shared" ref="B49:B68" si="12">LN(1 + (1/20 * (ABS(LN(C26)) + (ABS(LN(D26)) + (ABS(LN(E26))+ (ABS(LN(F26)) + (ABS(LN(G26))+(ABS(LN(H26)) + (ABS(LN(I26)) + (ABS(LN(J26)) + (ABS(LN(K26)) )))))))))))</f>
        <v>0.02206903268</v>
      </c>
      <c r="C49" s="28">
        <f t="shared" ref="C49:C68" si="13">LN(1 + (1/20 * (ABS(LN(B26)) + (ABS(LN(D26)) + (ABS(LN(E26))+ (ABS(LN(F26)) + (ABS(LN(G26))+(ABS(LN(H26)) + (ABS(LN(I26)) + (ABS(LN(J26)) + (ABS(LN(K26)) )))))))))))</f>
        <v>0.02206903268</v>
      </c>
      <c r="D49" s="28">
        <f t="shared" ref="D49:D68" si="14">LN(1 + (1/20 * (ABS(LN(B26)) + (ABS(LN(C26)) + (ABS(LN(E26))+ (ABS(LN(F26)) + (ABS(LN(G26))+(ABS(LN(H26)) + (ABS(LN(I26)) + (ABS(LN(J26)) + (ABS(LN(K26)) )))))))))))</f>
        <v>0.02206903268</v>
      </c>
      <c r="E49" s="28">
        <f t="shared" ref="E49:E68" si="15">LN(1 + (1/20 * (ABS(LN(B26)) + (ABS(LN(C26)) + (ABS(LN(D26)) + (ABS(LN(F26)) + (ABS(LN(G26))+(ABS(LN(H26)) + (ABS(LN(I26)) + (ABS(LN(J26)) + (ABS(LN(K26)) )))))))))))</f>
        <v>0.01109539538</v>
      </c>
      <c r="F49" s="28">
        <f t="shared" ref="F49:F68" si="16">LN(1 + (1/20 * (ABS(LN(B26)) + (ABS(LN(C26)) + (ABS(LN(D26)) + (ABS(LN(E26))+ (ABS(LN(G26))+(ABS(LN(H26)) + (ABS(LN(I26)) + (ABS(LN(J26)) + (ABS(LN(K26)) )))))))))))</f>
        <v>0.02206903268</v>
      </c>
      <c r="G49" s="28">
        <f t="shared" ref="G49:G68" si="17">LN(1 + (1/20 * (ABS(LN(B26)) + (ABS(LN(C26)) + (ABS(LN(D26)) + (ABS(LN(E26))+ (ABS(LN(F26)) + (ABS(LN(H26)) + (ABS(LN(I26)) + (ABS(LN(J26)) + (ABS(LN(K26)) )))))))))))</f>
        <v>0.02206903268</v>
      </c>
      <c r="H49" s="28">
        <f t="shared" ref="H49:H68" si="18">LN(1 + (1/20 * (ABS(LN(B26)) + (ABS(LN(C26)) + (ABS(LN(D26)) + (ABS(LN(E26))+ (ABS(LN(F26)) + (ABS(LN(G26))+(ABS(LN(I26)) + (ABS(LN(J26)) + (ABS(LN(K26)) )))))))))))</f>
        <v>0.02206903268</v>
      </c>
      <c r="I49" s="28">
        <f t="shared" ref="I49:I68" si="19">LN(1 + (1/20 * (ABS(LN(B26)) + (ABS(LN(C26)) + (ABS(LN(D26)) + (ABS(LN(E26))+ (ABS(LN(F26)) + (ABS(LN(G26))+(ABS(LN(H26)) + (ABS(LN(J26)) + (ABS(LN(K26)) )))))))))))</f>
        <v>0.02206903268</v>
      </c>
      <c r="J49" s="28">
        <f t="shared" ref="J49:J68" si="20">LN(1 + (1/20 * (ABS(LN(B26)) + (ABS(LN(C26)) + (ABS(LN(D26)) + (ABS(LN(E26))+ (ABS(LN(F26)) + (ABS(LN(G26))+(ABS(LN(H26)) + (ABS(LN(I26)) + (ABS(LN(K26)) )))))))))))</f>
        <v>0.02206903268</v>
      </c>
      <c r="K49" s="28">
        <f t="shared" ref="K49:K68" si="21">LN(1 + (1/20 * (ABS(LN(B26)) + (ABS(LN(C26)) + (ABS(LN(D26)) + (ABS(LN(E26))+ (ABS(LN(F26)) + (ABS(LN(G26))+(ABS(LN(H26)) + (ABS(LN(I26)) + (ABS(LN(J26)) )))))))))))</f>
        <v>0.01109539538</v>
      </c>
    </row>
    <row r="50">
      <c r="A50" s="22" t="s">
        <v>12</v>
      </c>
      <c r="B50" s="28">
        <f t="shared" si="12"/>
        <v>0.05428540699</v>
      </c>
      <c r="C50" s="28">
        <f t="shared" si="13"/>
        <v>0.05428540699</v>
      </c>
      <c r="D50" s="28">
        <f t="shared" si="14"/>
        <v>0.0436615211</v>
      </c>
      <c r="E50" s="28">
        <f t="shared" si="15"/>
        <v>0.0436615211</v>
      </c>
      <c r="F50" s="28">
        <f t="shared" si="16"/>
        <v>0.0436615211</v>
      </c>
      <c r="G50" s="28">
        <f t="shared" si="17"/>
        <v>0.0436615211</v>
      </c>
      <c r="H50" s="28">
        <f t="shared" si="18"/>
        <v>0.05428540699</v>
      </c>
      <c r="I50" s="28">
        <f t="shared" si="19"/>
        <v>0.05428540699</v>
      </c>
      <c r="J50" s="28">
        <f t="shared" si="20"/>
        <v>0.05428540699</v>
      </c>
      <c r="K50" s="28">
        <f t="shared" si="21"/>
        <v>0.0436615211</v>
      </c>
    </row>
    <row r="51">
      <c r="A51" s="22" t="s">
        <v>13</v>
      </c>
      <c r="B51" s="28">
        <f t="shared" si="12"/>
        <v>0.05733716653</v>
      </c>
      <c r="C51" s="28">
        <f t="shared" si="13"/>
        <v>0.06781750637</v>
      </c>
      <c r="D51" s="28">
        <f t="shared" si="14"/>
        <v>0.05733716653</v>
      </c>
      <c r="E51" s="28">
        <f t="shared" si="15"/>
        <v>0.06781750637</v>
      </c>
      <c r="F51" s="28">
        <f t="shared" si="16"/>
        <v>0.05733716653</v>
      </c>
      <c r="G51" s="28">
        <f t="shared" si="17"/>
        <v>0.05733716653</v>
      </c>
      <c r="H51" s="28">
        <f t="shared" si="18"/>
        <v>0.06781750637</v>
      </c>
      <c r="I51" s="28">
        <f t="shared" si="19"/>
        <v>0.05428540699</v>
      </c>
      <c r="J51" s="28">
        <f t="shared" si="20"/>
        <v>0.06781750637</v>
      </c>
      <c r="K51" s="28">
        <f t="shared" si="21"/>
        <v>0.05733716653</v>
      </c>
      <c r="S51" s="27"/>
      <c r="T51" s="27"/>
      <c r="U51" s="27"/>
    </row>
    <row r="52">
      <c r="A52" s="22" t="s">
        <v>14</v>
      </c>
      <c r="B52" s="28">
        <f t="shared" si="12"/>
        <v>0</v>
      </c>
      <c r="C52" s="28">
        <f t="shared" si="13"/>
        <v>0</v>
      </c>
      <c r="D52" s="28">
        <f t="shared" si="14"/>
        <v>0</v>
      </c>
      <c r="E52" s="28">
        <f t="shared" si="15"/>
        <v>0</v>
      </c>
      <c r="F52" s="28">
        <f t="shared" si="16"/>
        <v>0</v>
      </c>
      <c r="G52" s="28">
        <f t="shared" si="17"/>
        <v>0</v>
      </c>
      <c r="H52" s="28">
        <f t="shared" si="18"/>
        <v>0</v>
      </c>
      <c r="I52" s="28">
        <f t="shared" si="19"/>
        <v>0</v>
      </c>
      <c r="J52" s="28">
        <f t="shared" si="20"/>
        <v>0</v>
      </c>
      <c r="K52" s="28">
        <f t="shared" si="21"/>
        <v>0</v>
      </c>
    </row>
    <row r="53">
      <c r="A53" s="22" t="s">
        <v>15</v>
      </c>
      <c r="B53" s="28">
        <f t="shared" si="12"/>
        <v>0.04674582481</v>
      </c>
      <c r="C53" s="28">
        <f t="shared" si="13"/>
        <v>0.05733716653</v>
      </c>
      <c r="D53" s="28">
        <f t="shared" si="14"/>
        <v>0.04674582481</v>
      </c>
      <c r="E53" s="28">
        <f t="shared" si="15"/>
        <v>0.04674582481</v>
      </c>
      <c r="F53" s="28">
        <f t="shared" si="16"/>
        <v>0.04674582481</v>
      </c>
      <c r="G53" s="28">
        <f t="shared" si="17"/>
        <v>0.05733716653</v>
      </c>
      <c r="H53" s="28">
        <f t="shared" si="18"/>
        <v>0.05733716653</v>
      </c>
      <c r="I53" s="28">
        <f t="shared" si="19"/>
        <v>0.0436615211</v>
      </c>
      <c r="J53" s="28">
        <f t="shared" si="20"/>
        <v>0.05733716653</v>
      </c>
      <c r="K53" s="28">
        <f t="shared" si="21"/>
        <v>0.05733716653</v>
      </c>
    </row>
    <row r="54">
      <c r="A54" s="22" t="s">
        <v>16</v>
      </c>
      <c r="B54" s="28">
        <f t="shared" si="12"/>
        <v>0.1097370001</v>
      </c>
      <c r="C54" s="28">
        <f t="shared" si="13"/>
        <v>0.1097370001</v>
      </c>
      <c r="D54" s="28">
        <f t="shared" si="14"/>
        <v>0.1097370001</v>
      </c>
      <c r="E54" s="28">
        <f t="shared" si="15"/>
        <v>0.1196849642</v>
      </c>
      <c r="F54" s="28">
        <f t="shared" si="16"/>
        <v>0.09676405371</v>
      </c>
      <c r="G54" s="28">
        <f t="shared" si="17"/>
        <v>0.1097370001</v>
      </c>
      <c r="H54" s="28">
        <f t="shared" si="18"/>
        <v>0.1097370001</v>
      </c>
      <c r="I54" s="28">
        <f t="shared" si="19"/>
        <v>0.08845431981</v>
      </c>
      <c r="J54" s="28">
        <f t="shared" si="20"/>
        <v>0.1097370001</v>
      </c>
      <c r="K54" s="28">
        <f t="shared" si="21"/>
        <v>0.1196849642</v>
      </c>
      <c r="S54" s="27"/>
      <c r="T54" s="27"/>
      <c r="U54" s="27"/>
    </row>
    <row r="55">
      <c r="A55" s="22" t="s">
        <v>17</v>
      </c>
      <c r="B55" s="28">
        <f t="shared" si="12"/>
        <v>0.06781750637</v>
      </c>
      <c r="C55" s="28">
        <f t="shared" si="13"/>
        <v>0.06781750637</v>
      </c>
      <c r="D55" s="28">
        <f t="shared" si="14"/>
        <v>0.06781750637</v>
      </c>
      <c r="E55" s="28">
        <f t="shared" si="15"/>
        <v>0.07818914691</v>
      </c>
      <c r="F55" s="28">
        <f t="shared" si="16"/>
        <v>0.06781750637</v>
      </c>
      <c r="G55" s="28">
        <f t="shared" si="17"/>
        <v>0.06781750637</v>
      </c>
      <c r="H55" s="28">
        <f t="shared" si="18"/>
        <v>0.06781750637</v>
      </c>
      <c r="I55" s="28">
        <f t="shared" si="19"/>
        <v>0.06479761138</v>
      </c>
      <c r="J55" s="28">
        <f t="shared" si="20"/>
        <v>0.07818914691</v>
      </c>
      <c r="K55" s="28">
        <f t="shared" si="21"/>
        <v>0.07818914691</v>
      </c>
      <c r="S55" s="27"/>
      <c r="T55" s="27"/>
      <c r="U55" s="27"/>
    </row>
    <row r="56">
      <c r="A56" s="22" t="s">
        <v>18</v>
      </c>
      <c r="B56" s="28">
        <f t="shared" si="12"/>
        <v>0.1295349402</v>
      </c>
      <c r="C56" s="28">
        <f t="shared" si="13"/>
        <v>0.1295349402</v>
      </c>
      <c r="D56" s="28">
        <f t="shared" si="14"/>
        <v>0.1295349402</v>
      </c>
      <c r="E56" s="28">
        <f t="shared" si="15"/>
        <v>0.1295349402</v>
      </c>
      <c r="F56" s="28">
        <f t="shared" si="16"/>
        <v>0.1168179297</v>
      </c>
      <c r="G56" s="28">
        <f t="shared" si="17"/>
        <v>0.1295349402</v>
      </c>
      <c r="H56" s="28">
        <f t="shared" si="18"/>
        <v>0.1295349402</v>
      </c>
      <c r="I56" s="28">
        <f t="shared" si="19"/>
        <v>0.108673852</v>
      </c>
      <c r="J56" s="28">
        <f t="shared" si="20"/>
        <v>0.1295349402</v>
      </c>
      <c r="K56" s="28">
        <f t="shared" si="21"/>
        <v>0.1295349402</v>
      </c>
    </row>
    <row r="57">
      <c r="A57" s="22" t="s">
        <v>19</v>
      </c>
      <c r="B57" s="28">
        <f t="shared" si="12"/>
        <v>0.0436615211</v>
      </c>
      <c r="C57" s="28">
        <f t="shared" si="13"/>
        <v>0.0436615211</v>
      </c>
      <c r="D57" s="28">
        <f t="shared" si="14"/>
        <v>0.0436615211</v>
      </c>
      <c r="E57" s="28">
        <f t="shared" si="15"/>
        <v>0.0436615211</v>
      </c>
      <c r="F57" s="28">
        <f t="shared" si="16"/>
        <v>0.05428540699</v>
      </c>
      <c r="G57" s="28">
        <f t="shared" si="17"/>
        <v>0.05428540699</v>
      </c>
      <c r="H57" s="28">
        <f t="shared" si="18"/>
        <v>0.05428540699</v>
      </c>
      <c r="I57" s="28">
        <f t="shared" si="19"/>
        <v>0.05428540699</v>
      </c>
      <c r="J57" s="28">
        <f t="shared" si="20"/>
        <v>0.0436615211</v>
      </c>
      <c r="K57" s="28">
        <f t="shared" si="21"/>
        <v>0.05428540699</v>
      </c>
      <c r="S57" s="27"/>
      <c r="T57" s="27"/>
      <c r="U57" s="27"/>
    </row>
    <row r="58">
      <c r="A58" s="22" t="s">
        <v>20</v>
      </c>
      <c r="B58" s="28">
        <f t="shared" si="12"/>
        <v>0.09140371645</v>
      </c>
      <c r="C58" s="28">
        <f t="shared" si="13"/>
        <v>0.1015348122</v>
      </c>
      <c r="D58" s="28">
        <f t="shared" si="14"/>
        <v>0.09140371645</v>
      </c>
      <c r="E58" s="28">
        <f t="shared" si="15"/>
        <v>0.09140371645</v>
      </c>
      <c r="F58" s="28">
        <f t="shared" si="16"/>
        <v>0.07818914691</v>
      </c>
      <c r="G58" s="28">
        <f t="shared" si="17"/>
        <v>0.09140371645</v>
      </c>
      <c r="H58" s="28">
        <f t="shared" si="18"/>
        <v>0.09140371645</v>
      </c>
      <c r="I58" s="28">
        <f t="shared" si="19"/>
        <v>0.08845431981</v>
      </c>
      <c r="J58" s="28">
        <f t="shared" si="20"/>
        <v>0.09140371645</v>
      </c>
      <c r="K58" s="28">
        <f t="shared" si="21"/>
        <v>0.1015348122</v>
      </c>
      <c r="S58" s="27"/>
      <c r="T58" s="27"/>
      <c r="U58" s="27"/>
    </row>
    <row r="59">
      <c r="A59" s="22" t="s">
        <v>21</v>
      </c>
      <c r="B59" s="28">
        <f t="shared" si="12"/>
        <v>0.1420922571</v>
      </c>
      <c r="C59" s="28">
        <f t="shared" si="13"/>
        <v>0.1420922571</v>
      </c>
      <c r="D59" s="28">
        <f t="shared" si="14"/>
        <v>0.1295349402</v>
      </c>
      <c r="E59" s="28">
        <f t="shared" si="15"/>
        <v>0.1295349402</v>
      </c>
      <c r="F59" s="28">
        <f t="shared" si="16"/>
        <v>0.1420922571</v>
      </c>
      <c r="G59" s="28">
        <f t="shared" si="17"/>
        <v>0.1420922571</v>
      </c>
      <c r="H59" s="28">
        <f t="shared" si="18"/>
        <v>0.1420922571</v>
      </c>
      <c r="I59" s="28">
        <f t="shared" si="19"/>
        <v>0.12149419</v>
      </c>
      <c r="J59" s="28">
        <f t="shared" si="20"/>
        <v>0.1420922571</v>
      </c>
      <c r="K59" s="28">
        <f t="shared" si="21"/>
        <v>0.1420922571</v>
      </c>
    </row>
    <row r="60">
      <c r="A60" s="22" t="s">
        <v>22</v>
      </c>
      <c r="B60" s="28">
        <f t="shared" si="12"/>
        <v>0.1420922571</v>
      </c>
      <c r="C60" s="28">
        <f t="shared" si="13"/>
        <v>0.1295349402</v>
      </c>
      <c r="D60" s="28">
        <f t="shared" si="14"/>
        <v>0.1420922571</v>
      </c>
      <c r="E60" s="28">
        <f t="shared" si="15"/>
        <v>0.1420922571</v>
      </c>
      <c r="F60" s="28">
        <f t="shared" si="16"/>
        <v>0.1295349402</v>
      </c>
      <c r="G60" s="28">
        <f t="shared" si="17"/>
        <v>0.1420922571</v>
      </c>
      <c r="H60" s="28">
        <f t="shared" si="18"/>
        <v>0.1420922571</v>
      </c>
      <c r="I60" s="28">
        <f t="shared" si="19"/>
        <v>0.12149419</v>
      </c>
      <c r="J60" s="28">
        <f t="shared" si="20"/>
        <v>0.1420922571</v>
      </c>
      <c r="K60" s="28">
        <f t="shared" si="21"/>
        <v>0.1420922571</v>
      </c>
      <c r="S60" s="27"/>
      <c r="T60" s="27"/>
    </row>
    <row r="61">
      <c r="A61" s="22" t="s">
        <v>23</v>
      </c>
      <c r="B61" s="28">
        <f t="shared" si="12"/>
        <v>0.1448878372</v>
      </c>
      <c r="C61" s="28">
        <f t="shared" si="13"/>
        <v>0.1448878372</v>
      </c>
      <c r="D61" s="28">
        <f t="shared" si="14"/>
        <v>0.1448878372</v>
      </c>
      <c r="E61" s="28">
        <f t="shared" si="15"/>
        <v>0.1323657967</v>
      </c>
      <c r="F61" s="28">
        <f t="shared" si="16"/>
        <v>0.1323657967</v>
      </c>
      <c r="G61" s="28">
        <f t="shared" si="17"/>
        <v>0.1323657967</v>
      </c>
      <c r="H61" s="28">
        <f t="shared" si="18"/>
        <v>0.1448878372</v>
      </c>
      <c r="I61" s="28">
        <f t="shared" si="19"/>
        <v>0.1243478678</v>
      </c>
      <c r="J61" s="28">
        <f t="shared" si="20"/>
        <v>0.1544938413</v>
      </c>
      <c r="K61" s="28">
        <f t="shared" si="21"/>
        <v>0.1448878372</v>
      </c>
      <c r="S61" s="27"/>
      <c r="T61" s="27"/>
    </row>
    <row r="62">
      <c r="A62" s="22" t="s">
        <v>24</v>
      </c>
      <c r="B62" s="28">
        <f t="shared" si="12"/>
        <v>0.1544938413</v>
      </c>
      <c r="C62" s="28">
        <f t="shared" si="13"/>
        <v>0.1420922571</v>
      </c>
      <c r="D62" s="28">
        <f t="shared" si="14"/>
        <v>0.1544938413</v>
      </c>
      <c r="E62" s="28">
        <f t="shared" si="15"/>
        <v>0.1544938413</v>
      </c>
      <c r="F62" s="28">
        <f t="shared" si="16"/>
        <v>0.1420922571</v>
      </c>
      <c r="G62" s="28">
        <f t="shared" si="17"/>
        <v>0.1544938413</v>
      </c>
      <c r="H62" s="28">
        <f t="shared" si="18"/>
        <v>0.1544938413</v>
      </c>
      <c r="I62" s="28">
        <f t="shared" si="19"/>
        <v>0.1341522452</v>
      </c>
      <c r="J62" s="28">
        <f t="shared" si="20"/>
        <v>0.1544938413</v>
      </c>
      <c r="K62" s="28">
        <f t="shared" si="21"/>
        <v>0.1420922571</v>
      </c>
    </row>
    <row r="63">
      <c r="A63" s="22" t="s">
        <v>25</v>
      </c>
      <c r="B63" s="28">
        <f t="shared" si="12"/>
        <v>0.1956560502</v>
      </c>
      <c r="C63" s="28">
        <f t="shared" si="13"/>
        <v>0.1956560502</v>
      </c>
      <c r="D63" s="28">
        <f t="shared" si="14"/>
        <v>0.1956560502</v>
      </c>
      <c r="E63" s="28">
        <f t="shared" si="15"/>
        <v>0.1956560502</v>
      </c>
      <c r="F63" s="28">
        <f t="shared" si="16"/>
        <v>0.2074146231</v>
      </c>
      <c r="G63" s="28">
        <f t="shared" si="17"/>
        <v>0.2074146231</v>
      </c>
      <c r="H63" s="28">
        <f t="shared" si="18"/>
        <v>0.2074146231</v>
      </c>
      <c r="I63" s="28">
        <f t="shared" si="19"/>
        <v>0.1589975856</v>
      </c>
      <c r="J63" s="28">
        <f t="shared" si="20"/>
        <v>0.1956560502</v>
      </c>
      <c r="K63" s="28">
        <f t="shared" si="21"/>
        <v>0.2074146231</v>
      </c>
    </row>
    <row r="64">
      <c r="A64" s="22" t="s">
        <v>26</v>
      </c>
      <c r="B64" s="28">
        <f t="shared" si="12"/>
        <v>0.1956560502</v>
      </c>
      <c r="C64" s="28">
        <f t="shared" si="13"/>
        <v>0.1956560502</v>
      </c>
      <c r="D64" s="28">
        <f t="shared" si="14"/>
        <v>0.2074146231</v>
      </c>
      <c r="E64" s="28">
        <f t="shared" si="15"/>
        <v>0.1956560502</v>
      </c>
      <c r="F64" s="28">
        <f t="shared" si="16"/>
        <v>0.1956560502</v>
      </c>
      <c r="G64" s="28">
        <f t="shared" si="17"/>
        <v>0.1956560502</v>
      </c>
      <c r="H64" s="28">
        <f t="shared" si="18"/>
        <v>0.2074146231</v>
      </c>
      <c r="I64" s="28">
        <f t="shared" si="19"/>
        <v>0.1589975856</v>
      </c>
      <c r="J64" s="28">
        <f t="shared" si="20"/>
        <v>0.2074146231</v>
      </c>
      <c r="K64" s="28">
        <f t="shared" si="21"/>
        <v>0.2074146231</v>
      </c>
    </row>
    <row r="65">
      <c r="A65" s="22" t="s">
        <v>27</v>
      </c>
      <c r="B65" s="28">
        <f t="shared" si="12"/>
        <v>0.114446412</v>
      </c>
      <c r="C65" s="28">
        <f t="shared" si="13"/>
        <v>0.1271934253</v>
      </c>
      <c r="D65" s="28">
        <f t="shared" si="14"/>
        <v>0.1271934253</v>
      </c>
      <c r="E65" s="28">
        <f t="shared" si="15"/>
        <v>0.1271934253</v>
      </c>
      <c r="F65" s="28">
        <f t="shared" si="16"/>
        <v>0.114446412</v>
      </c>
      <c r="G65" s="28">
        <f t="shared" si="17"/>
        <v>0.114446412</v>
      </c>
      <c r="H65" s="28">
        <f t="shared" si="18"/>
        <v>0.1271934253</v>
      </c>
      <c r="I65" s="28">
        <f t="shared" si="19"/>
        <v>0.1243478678</v>
      </c>
      <c r="J65" s="28">
        <f t="shared" si="20"/>
        <v>0.1271934253</v>
      </c>
      <c r="K65" s="28">
        <f t="shared" si="21"/>
        <v>0.1369700792</v>
      </c>
    </row>
    <row r="66">
      <c r="A66" s="22" t="s">
        <v>28</v>
      </c>
      <c r="B66" s="28">
        <f t="shared" si="12"/>
        <v>0.1788449351</v>
      </c>
      <c r="C66" s="28">
        <f t="shared" si="13"/>
        <v>0.1788449351</v>
      </c>
      <c r="D66" s="28">
        <f t="shared" si="14"/>
        <v>0.1908016666</v>
      </c>
      <c r="E66" s="28">
        <f t="shared" si="15"/>
        <v>0.1788449351</v>
      </c>
      <c r="F66" s="28">
        <f t="shared" si="16"/>
        <v>0.1908016666</v>
      </c>
      <c r="G66" s="28">
        <f t="shared" si="17"/>
        <v>0.1788449351</v>
      </c>
      <c r="H66" s="28">
        <f t="shared" si="18"/>
        <v>0.1908016666</v>
      </c>
      <c r="I66" s="28">
        <f t="shared" si="19"/>
        <v>0.1711925416</v>
      </c>
      <c r="J66" s="28">
        <f t="shared" si="20"/>
        <v>0.1788449351</v>
      </c>
      <c r="K66" s="28">
        <f t="shared" si="21"/>
        <v>0.1788449351</v>
      </c>
      <c r="S66" s="27"/>
      <c r="T66" s="27"/>
      <c r="U66" s="27"/>
    </row>
    <row r="67">
      <c r="A67" s="22" t="s">
        <v>29</v>
      </c>
      <c r="B67" s="28">
        <f t="shared" si="12"/>
        <v>0.2464960424</v>
      </c>
      <c r="C67" s="28">
        <f t="shared" si="13"/>
        <v>0.2305249329</v>
      </c>
      <c r="D67" s="28">
        <f t="shared" si="14"/>
        <v>0.2464960424</v>
      </c>
      <c r="E67" s="28">
        <f t="shared" si="15"/>
        <v>0.2464960424</v>
      </c>
      <c r="F67" s="28">
        <f t="shared" si="16"/>
        <v>0.2464960424</v>
      </c>
      <c r="G67" s="28">
        <f t="shared" si="17"/>
        <v>0.257674997</v>
      </c>
      <c r="H67" s="28">
        <f t="shared" si="18"/>
        <v>0.2464960424</v>
      </c>
      <c r="I67" s="28">
        <f t="shared" si="19"/>
        <v>0.2116867177</v>
      </c>
      <c r="J67" s="28">
        <f t="shared" si="20"/>
        <v>0.2464960424</v>
      </c>
      <c r="K67" s="28">
        <f t="shared" si="21"/>
        <v>0.2464960424</v>
      </c>
      <c r="S67" s="27"/>
      <c r="T67" s="27"/>
      <c r="U67" s="27"/>
    </row>
    <row r="68">
      <c r="A68" s="22" t="s">
        <v>30</v>
      </c>
      <c r="B68" s="28">
        <f t="shared" si="12"/>
        <v>0.2305249329</v>
      </c>
      <c r="C68" s="28">
        <f t="shared" si="13"/>
        <v>0.2305249329</v>
      </c>
      <c r="D68" s="28">
        <f t="shared" si="14"/>
        <v>0.2142946014</v>
      </c>
      <c r="E68" s="28">
        <f t="shared" si="15"/>
        <v>0.2305249329</v>
      </c>
      <c r="F68" s="28">
        <f t="shared" si="16"/>
        <v>0.2305249329</v>
      </c>
      <c r="G68" s="28">
        <f t="shared" si="17"/>
        <v>0.2305249329</v>
      </c>
      <c r="H68" s="28">
        <f t="shared" si="18"/>
        <v>0.2305249329</v>
      </c>
      <c r="I68" s="28">
        <f t="shared" si="19"/>
        <v>0.2232593735</v>
      </c>
      <c r="J68" s="28">
        <f t="shared" si="20"/>
        <v>0.2305249329</v>
      </c>
      <c r="K68" s="28">
        <f t="shared" si="21"/>
        <v>0.2305249329</v>
      </c>
    </row>
    <row r="69">
      <c r="S69" s="27"/>
      <c r="T69" s="27"/>
      <c r="U69" s="27"/>
    </row>
    <row r="70">
      <c r="A70" s="20" t="s">
        <v>82</v>
      </c>
      <c r="B70" s="21"/>
      <c r="C70" s="21"/>
      <c r="D70" s="21"/>
      <c r="E70" s="21"/>
      <c r="F70" s="21"/>
      <c r="G70" s="21"/>
      <c r="H70" s="21"/>
      <c r="I70" s="21"/>
      <c r="J70" s="21"/>
      <c r="K70" s="21"/>
      <c r="L70" s="21"/>
      <c r="S70" s="27"/>
      <c r="T70" s="27"/>
      <c r="U70" s="27"/>
    </row>
    <row r="71">
      <c r="A71" s="29"/>
      <c r="B71" s="30" t="s">
        <v>1</v>
      </c>
      <c r="C71" s="30" t="s">
        <v>2</v>
      </c>
      <c r="D71" s="30" t="s">
        <v>3</v>
      </c>
      <c r="E71" s="30" t="s">
        <v>4</v>
      </c>
      <c r="F71" s="30" t="s">
        <v>5</v>
      </c>
      <c r="G71" s="30" t="s">
        <v>6</v>
      </c>
      <c r="H71" s="30" t="s">
        <v>7</v>
      </c>
      <c r="I71" s="30" t="s">
        <v>8</v>
      </c>
      <c r="J71" s="30" t="s">
        <v>9</v>
      </c>
      <c r="K71" s="30" t="s">
        <v>10</v>
      </c>
      <c r="L71" s="30" t="s">
        <v>83</v>
      </c>
    </row>
    <row r="72">
      <c r="A72" s="29"/>
      <c r="B72" s="29">
        <f>ABS(B49-$L$26) + ABS(B50-$L$27) + ABS(B51-$L$28) + ABS(B52-$L$29) + ABS(B53-$L$30) + ABS(B54-L31) + ABS(B55-$L$32) + ABS(B56-$L$33) + ABS(B57-$L$34) + ABS(B58-$L$35) + ABS(B59-$L$36) + ABS(B60-$L$37) + ABS(B61-$L$38) + ABS(B62-$L$39) + ABS(B63-$L$40) + ABS(B64-$L$41) + ABS(B65-$L$42) + ABS(B66-$L$43) + ABS(B67-$L$44) + ABS(B68-$L$45)</f>
        <v>0.2353580986</v>
      </c>
      <c r="C72" s="29">
        <f>ABS(C49-$L$26) + ABS(C50-$L$27) + ABS(C51-$L$28) + ABS(C52-$L$29) + ABS(C53-$L$30) + ABS(C54-L31) + ABS(C55-$L$32) + ABS(C56-$L$33) + ABS(C57-$L$34) + ABS(C58-$L$35) + ABS(C59-$L$36) + ABS(C60-$L$37) + ABS(C61-$L$38) + ABS(C62-$L$39) + ABS(C63-$L$40) + ABS(C64-$L$41) + ABS(C65-$L$42) + ABS(C66-$L$43) + ABS(C67-$L$44) + ABS(C68-$L$45)</f>
        <v>0.2323383186</v>
      </c>
      <c r="D72" s="29">
        <f>ABS(D49-$L$26) + ABS(D50-$L$27) + ABS(D51-$L$28) + ABS(D52-$L$29) + ABS(D53-$L$30) + ABS(D54-N31) + ABS(D55-$L$32) + ABS(D56-$L$33) + ABS(D57-$L$34) + ABS(D58-$L$35) + ABS(D59-$L$36) + ABS(D60-$L$37) + ABS(D61-$L$38) + ABS(D62-$L$39) + ABS(D63-$L$40) + ABS(D64-$L$41) + ABS(D65-$L$42) + ABS(D66-$L$43) + ABS(D67-$L$44) + ABS(D68-$L$45)</f>
        <v>0.3380963512</v>
      </c>
      <c r="E72" s="29">
        <f>ABS(E49-$L$26) + ABS(E50-$L$27) + ABS(E51-$L$28) + ABS(E52-$L$29) + ABS(E53-$L$30) + ABS(E54-N31) + ABS(E55-$L$32) + ABS(E56-$L$33) + ABS(E57-$L$34) + ABS(E58-$L$35) + ABS(E59-$L$36) + ABS(E60-$L$37) + ABS(E61-$L$38) + ABS(E62-$L$39) + ABS(E63-$L$40) + ABS(E64-$L$41) + ABS(E65-$L$42) + ABS(E66-$L$43) + ABS(E67-$L$44) + ABS(E68-$L$45)</f>
        <v>0.3581729856</v>
      </c>
      <c r="F72" s="29">
        <f>ABS(F49-$L$26) + ABS(F50-$L$27) + ABS(F51-$L$28) + ABS(F52-$L$29) + ABS(F53-$L$30) + ABS(F54-P31) + ABS(F55-$L$32) + ABS(F56-$L$33) + ABS(F57-$L$34) + ABS(F58-$L$35) + ABS(F59-$L$36) + ABS(F60-$L$37) + ABS(F61-$L$38) + ABS(F62-$L$39) + ABS(F63-$L$40) + ABS(F64-$L$41) + ABS(F65-$L$42) + ABS(F66-$L$43) + ABS(F67-$L$44) + ABS(F68-$L$45)</f>
        <v>0.3618714055</v>
      </c>
      <c r="G72" s="29">
        <f>ABS(G49-$L$26) + ABS(G50-$L$27) + ABS(G51-$L$28) + ABS(G52-$L$29) + ABS(G53-$L$30) + ABS(G54-P31) + ABS(G55-$L$32) + ABS(G56-$L$33) + ABS(G57-$L$34) + ABS(G58-$L$35) + ABS(G59-$L$36) + ABS(G60-$L$37) + ABS(G61-$L$38) + ABS(G62-$L$39) + ABS(G63-$L$40) + ABS(G64-$L$41) + ABS(G65-$L$42) + ABS(G66-$L$43) + ABS(G67-$L$44) + ABS(G68-$L$45)</f>
        <v>0.3141403059</v>
      </c>
      <c r="H72" s="29">
        <f>ABS(H49-$L$26) + ABS(H50-$L$27) + ABS(H51-$L$28) + ABS(H52-$L$29) + ABS(H53-$L$30) + ABS(H54-R31) + ABS(H55-$L$32) + ABS(H56-$L$33) + ABS(H57-$L$34) + ABS(H58-$L$35) + ABS(H59-$L$36) + ABS(H60-$L$37) + ABS(H61-$L$38) + ABS(H62-$L$39) + ABS(H63-$L$40) + ABS(H64-$L$41) + ABS(H65-$L$42) + ABS(H66-$L$43) + ABS(H67-$L$44) + ABS(H68-$L$45)</f>
        <v>0.2552306766</v>
      </c>
      <c r="I72" s="29">
        <f>ABS(I49-$L$26) + ABS(I50-$L$27) + ABS(I51-$L$28) + ABS(I52-$L$29) + ABS(I53-$L$30) + ABS(I54-R31) + ABS(I55-$L$32) + ABS(I56-$L$33) + ABS(I57-$L$34) + ABS(I58-$L$35) + ABS(I59-$L$36) + ABS(I60-$L$37) + ABS(I61-$L$38) + ABS(I62-$L$39) + ABS(I63-$L$40) + ABS(I64-$L$41) + ABS(I65-$L$42) + ABS(I66-$L$43) + ABS(I67-$L$44) + ABS(I68-$L$45)</f>
        <v>0.5314274621</v>
      </c>
      <c r="J72" s="29">
        <f>ABS(J49-$L$26) + ABS(J50-$L$27) + ABS(J51-$L$28) + ABS(J52-$L$29) + ABS(J53-$L$30) + ABS(J54-T31) + ABS(J55-$L$32) + ABS(J56-$L$33) + ABS(J57-$L$34) + ABS(J58-$L$35) + ABS(J59-$L$36) + ABS(J60-$L$37) + ABS(J61-$L$38) + ABS(J62-$L$39) + ABS(J63-$L$40) + ABS(J64-$L$41) + ABS(J65-$L$42) + ABS(J66-$L$43) + ABS(J67-$L$44) + ABS(J68-$L$45)</f>
        <v>0.2695922222</v>
      </c>
      <c r="K72" s="29">
        <f>ABS(K49-$L$26) + ABS(K50-$L$27) + ABS(K51-$L$28) + ABS(K52-$L$29) + ABS(K53-$L$30) + ABS(K54-T31) + ABS(K55-$L$32) + ABS(K56-$L$33) + ABS(K57-$L$34) + ABS(K58-$L$35) + ABS(K59-$L$36) + ABS(K60-$L$37) + ABS(K61-$L$38) + ABS(K62-$L$39) + ABS(K63-$L$40) + ABS(K64-$L$41) + ABS(K65-$L$42) + ABS(K66-$L$43) + ABS(K67-$L$44) + ABS(K68-$L$45)</f>
        <v>0.2913354292</v>
      </c>
      <c r="L72" s="29">
        <f>SUM(B72:K72)</f>
        <v>3.187563255</v>
      </c>
      <c r="S72" s="27"/>
      <c r="T72" s="27"/>
      <c r="U72" s="27"/>
    </row>
    <row r="73">
      <c r="S73" s="27"/>
      <c r="T73" s="27"/>
      <c r="U73" s="27"/>
    </row>
    <row r="74">
      <c r="A74" s="20" t="s">
        <v>84</v>
      </c>
      <c r="B74" s="21"/>
      <c r="C74" s="21"/>
      <c r="D74" s="21"/>
      <c r="E74" s="21"/>
      <c r="F74" s="21"/>
      <c r="G74" s="21"/>
      <c r="H74" s="21"/>
      <c r="I74" s="21"/>
      <c r="J74" s="21"/>
      <c r="K74" s="21"/>
      <c r="L74" s="21"/>
    </row>
    <row r="75">
      <c r="A75" s="31"/>
      <c r="B75" s="32" t="s">
        <v>1</v>
      </c>
      <c r="C75" s="32" t="s">
        <v>2</v>
      </c>
      <c r="D75" s="32" t="s">
        <v>3</v>
      </c>
      <c r="E75" s="32" t="s">
        <v>4</v>
      </c>
      <c r="F75" s="32" t="s">
        <v>5</v>
      </c>
      <c r="G75" s="32" t="s">
        <v>6</v>
      </c>
      <c r="H75" s="32" t="s">
        <v>7</v>
      </c>
      <c r="I75" s="32" t="s">
        <v>8</v>
      </c>
      <c r="J75" s="32" t="s">
        <v>9</v>
      </c>
      <c r="K75" s="32" t="s">
        <v>10</v>
      </c>
      <c r="L75" s="32" t="s">
        <v>83</v>
      </c>
    </row>
    <row r="76">
      <c r="A76" s="32" t="s">
        <v>76</v>
      </c>
      <c r="B76" s="31">
        <v>0.07383636957613834</v>
      </c>
      <c r="C76" s="31">
        <v>0.07288900642009463</v>
      </c>
      <c r="D76" s="31">
        <v>0.1060673386201275</v>
      </c>
      <c r="E76" s="31">
        <v>0.11236576559105191</v>
      </c>
      <c r="F76" s="31">
        <v>0.11352603116557144</v>
      </c>
      <c r="G76" s="31">
        <v>0.09855186571477402</v>
      </c>
      <c r="H76" s="31">
        <v>0.08007078012558544</v>
      </c>
      <c r="I76" s="31">
        <v>0.16671903255153106</v>
      </c>
      <c r="J76" s="31">
        <v>0.08457627365091037</v>
      </c>
      <c r="K76" s="31">
        <v>0.09139753658421526</v>
      </c>
      <c r="L76" s="31">
        <f>SUM(B76:K76)</f>
        <v>1</v>
      </c>
    </row>
    <row r="77">
      <c r="A77" s="32" t="s">
        <v>85</v>
      </c>
      <c r="B77" s="31">
        <f t="shared" ref="B77:K77" si="22">RANK(B76,$B$76:$K$76,0)</f>
        <v>9</v>
      </c>
      <c r="C77" s="31">
        <f t="shared" si="22"/>
        <v>10</v>
      </c>
      <c r="D77" s="31">
        <f t="shared" si="22"/>
        <v>4</v>
      </c>
      <c r="E77" s="31">
        <f t="shared" si="22"/>
        <v>3</v>
      </c>
      <c r="F77" s="31">
        <f t="shared" si="22"/>
        <v>2</v>
      </c>
      <c r="G77" s="31">
        <f t="shared" si="22"/>
        <v>5</v>
      </c>
      <c r="H77" s="31">
        <f t="shared" si="22"/>
        <v>8</v>
      </c>
      <c r="I77" s="31">
        <f t="shared" si="22"/>
        <v>1</v>
      </c>
      <c r="J77" s="31">
        <f t="shared" si="22"/>
        <v>7</v>
      </c>
      <c r="K77" s="31">
        <f t="shared" si="22"/>
        <v>6</v>
      </c>
      <c r="L77" s="31"/>
    </row>
    <row r="78">
      <c r="S78" s="26"/>
    </row>
    <row r="106">
      <c r="S106" s="27"/>
      <c r="T106" s="27"/>
      <c r="U106" s="27"/>
    </row>
    <row r="107">
      <c r="S107" s="27"/>
      <c r="T107" s="27"/>
      <c r="U107" s="27"/>
    </row>
    <row r="108">
      <c r="S108" s="27"/>
      <c r="T108" s="27"/>
      <c r="U108" s="27"/>
    </row>
    <row r="110">
      <c r="S110" s="27"/>
      <c r="T110" s="27"/>
      <c r="U110" s="27"/>
    </row>
    <row r="111">
      <c r="S111" s="27"/>
      <c r="T111" s="27"/>
      <c r="U111" s="27"/>
    </row>
    <row r="113">
      <c r="S113" s="27"/>
      <c r="T113" s="27"/>
      <c r="U113" s="27"/>
    </row>
    <row r="119">
      <c r="S119" s="27"/>
      <c r="T119" s="27"/>
      <c r="U119" s="27"/>
    </row>
    <row r="122">
      <c r="S122" s="27"/>
      <c r="T122" s="27"/>
      <c r="U122" s="27"/>
    </row>
    <row r="123">
      <c r="S123" s="27"/>
      <c r="T123" s="27"/>
      <c r="U123" s="27"/>
    </row>
    <row r="125">
      <c r="S125" s="27"/>
      <c r="T125" s="27"/>
      <c r="U125" s="27"/>
    </row>
    <row r="126">
      <c r="S126" s="27"/>
      <c r="T126" s="27"/>
      <c r="U126" s="27"/>
    </row>
    <row r="128">
      <c r="S128" s="27"/>
      <c r="T128" s="27"/>
      <c r="U128" s="27"/>
    </row>
    <row r="129">
      <c r="S129" s="27"/>
      <c r="T129" s="27"/>
      <c r="U129" s="27"/>
    </row>
    <row r="130">
      <c r="S130" s="27"/>
      <c r="T130" s="27"/>
      <c r="U130" s="27"/>
    </row>
    <row r="131">
      <c r="S131" s="27"/>
      <c r="T131" s="27"/>
      <c r="U131" s="27"/>
    </row>
    <row r="133">
      <c r="S133" s="27"/>
      <c r="T133" s="27"/>
      <c r="U133" s="27"/>
    </row>
    <row r="134">
      <c r="S134" s="27"/>
      <c r="T134" s="27"/>
      <c r="U134" s="27"/>
    </row>
    <row r="136">
      <c r="S136" s="27"/>
      <c r="T136" s="27"/>
      <c r="U136" s="27"/>
    </row>
    <row r="137">
      <c r="S137" s="27"/>
      <c r="T137" s="27"/>
      <c r="U137" s="27"/>
    </row>
    <row r="139">
      <c r="T139" s="27"/>
      <c r="U139" s="27"/>
    </row>
    <row r="140">
      <c r="T140" s="27"/>
      <c r="U140" s="27"/>
    </row>
    <row r="142">
      <c r="S142" s="27"/>
      <c r="T142" s="27"/>
      <c r="U142" s="27"/>
    </row>
    <row r="143">
      <c r="S143" s="27"/>
      <c r="T143" s="27"/>
      <c r="U143" s="27"/>
    </row>
    <row r="145">
      <c r="S145" s="27"/>
      <c r="T145" s="27"/>
      <c r="U145" s="27"/>
    </row>
    <row r="146">
      <c r="S146" s="27"/>
      <c r="T146" s="27"/>
      <c r="U146" s="27"/>
    </row>
    <row r="148">
      <c r="S148" s="27"/>
      <c r="T148" s="27"/>
      <c r="U148" s="27"/>
    </row>
    <row r="149">
      <c r="S149" s="27"/>
      <c r="T149" s="27"/>
      <c r="U149" s="27"/>
    </row>
    <row r="151">
      <c r="S151" s="27"/>
      <c r="T151" s="27"/>
      <c r="U151" s="27"/>
    </row>
    <row r="152">
      <c r="S152" s="27"/>
      <c r="T152" s="27"/>
      <c r="U152" s="27"/>
    </row>
    <row r="154">
      <c r="S154" s="27"/>
      <c r="T154" s="27"/>
      <c r="U154" s="27"/>
    </row>
    <row r="155">
      <c r="S155" s="27"/>
      <c r="T155" s="27"/>
      <c r="U155" s="27"/>
    </row>
    <row r="157">
      <c r="S157" s="27"/>
      <c r="T157" s="27"/>
      <c r="U157" s="27"/>
    </row>
    <row r="158">
      <c r="S158" s="27"/>
      <c r="T158" s="27"/>
      <c r="U158" s="27"/>
    </row>
    <row r="160">
      <c r="S160" s="27"/>
      <c r="T160" s="27"/>
      <c r="U160" s="27"/>
    </row>
    <row r="161">
      <c r="S161" s="27"/>
      <c r="T161" s="27"/>
      <c r="U161" s="27"/>
    </row>
    <row r="163">
      <c r="S163" s="27"/>
      <c r="T163" s="27"/>
      <c r="U163" s="27"/>
    </row>
    <row r="164">
      <c r="S164" s="27"/>
      <c r="T164" s="27"/>
      <c r="U164" s="27"/>
    </row>
    <row r="166">
      <c r="S166" s="27"/>
      <c r="T166" s="27"/>
      <c r="U166" s="27"/>
    </row>
    <row r="167">
      <c r="S167" s="27"/>
      <c r="T167" s="27"/>
      <c r="U167" s="27"/>
    </row>
    <row r="169">
      <c r="S169" s="27"/>
      <c r="T169" s="27"/>
      <c r="U169" s="27"/>
    </row>
    <row r="170">
      <c r="S170" s="27"/>
      <c r="T170" s="27"/>
      <c r="U170" s="27"/>
    </row>
    <row r="172">
      <c r="S172" s="27"/>
      <c r="T172" s="27"/>
      <c r="U172" s="27"/>
    </row>
    <row r="173">
      <c r="S173" s="27"/>
      <c r="T173" s="27"/>
      <c r="U173" s="27"/>
    </row>
    <row r="175">
      <c r="S175" s="27"/>
      <c r="T175" s="27"/>
      <c r="U175" s="27"/>
    </row>
    <row r="176">
      <c r="S176" s="27"/>
      <c r="T176" s="27"/>
      <c r="U176" s="27"/>
    </row>
    <row r="178">
      <c r="S178" s="27"/>
      <c r="T178" s="27"/>
      <c r="U178" s="27"/>
    </row>
    <row r="179">
      <c r="S179" s="27"/>
      <c r="T179" s="27"/>
      <c r="U179" s="27"/>
    </row>
    <row r="181">
      <c r="S181" s="27"/>
      <c r="T181" s="27"/>
      <c r="U181" s="27"/>
    </row>
    <row r="182">
      <c r="S182" s="27"/>
      <c r="T182" s="27"/>
      <c r="U182" s="27"/>
    </row>
    <row r="184">
      <c r="S184" s="27"/>
      <c r="T184" s="27"/>
      <c r="U184" s="27"/>
    </row>
    <row r="185">
      <c r="S185" s="27"/>
      <c r="T185" s="27"/>
      <c r="U185" s="27"/>
    </row>
    <row r="187">
      <c r="S187" s="27"/>
      <c r="T187" s="27"/>
      <c r="U187" s="27"/>
    </row>
    <row r="188">
      <c r="S188" s="27"/>
      <c r="T188" s="27"/>
      <c r="U188" s="27"/>
    </row>
    <row r="190">
      <c r="S190" s="27"/>
      <c r="T190" s="27"/>
      <c r="U190" s="27"/>
    </row>
    <row r="191">
      <c r="S191" s="27"/>
      <c r="T191" s="27"/>
      <c r="U191" s="27"/>
    </row>
    <row r="193">
      <c r="S193" s="27"/>
      <c r="T193" s="27"/>
      <c r="U193" s="27"/>
    </row>
    <row r="194">
      <c r="S194" s="27"/>
      <c r="T194" s="27"/>
      <c r="U194" s="27"/>
    </row>
    <row r="199">
      <c r="U199" s="27"/>
    </row>
    <row r="200">
      <c r="U200" s="27"/>
    </row>
    <row r="202">
      <c r="S202" s="27"/>
      <c r="T202" s="27"/>
      <c r="U202" s="27"/>
    </row>
    <row r="205">
      <c r="S205" s="33"/>
      <c r="T205" s="27"/>
      <c r="U205" s="33"/>
    </row>
    <row r="206">
      <c r="S206" s="27"/>
      <c r="T206" s="27"/>
      <c r="U206" s="27"/>
    </row>
    <row r="208">
      <c r="S208" s="27"/>
      <c r="T208" s="27"/>
      <c r="U208" s="27"/>
    </row>
    <row r="209">
      <c r="S209" s="27"/>
      <c r="T209" s="27"/>
      <c r="U209" s="27"/>
    </row>
    <row r="213">
      <c r="S213" s="27"/>
      <c r="T213" s="27"/>
      <c r="U213" s="27"/>
    </row>
    <row r="214">
      <c r="S214" s="27"/>
      <c r="T214" s="27"/>
      <c r="U214" s="27"/>
    </row>
    <row r="216">
      <c r="S216" s="27"/>
      <c r="T216" s="27"/>
      <c r="U216" s="27"/>
    </row>
    <row r="217">
      <c r="S217" s="27"/>
      <c r="T217" s="27"/>
      <c r="U217" s="27"/>
    </row>
    <row r="219">
      <c r="U219" s="26"/>
    </row>
    <row r="227">
      <c r="S227" s="27"/>
      <c r="T227" s="27"/>
      <c r="U227" s="27"/>
    </row>
    <row r="229">
      <c r="S229" s="27"/>
      <c r="T229" s="27"/>
      <c r="U229" s="27"/>
    </row>
    <row r="232">
      <c r="S232" s="27"/>
      <c r="T232" s="27"/>
      <c r="U232" s="27"/>
    </row>
    <row r="235">
      <c r="S235" s="27"/>
      <c r="T235" s="27"/>
      <c r="U235" s="27"/>
    </row>
    <row r="236">
      <c r="S236" s="27"/>
      <c r="T236" s="27"/>
      <c r="U236" s="27"/>
    </row>
    <row r="238">
      <c r="S238" s="27"/>
      <c r="T238" s="27"/>
      <c r="U238" s="27"/>
    </row>
    <row r="239">
      <c r="S239" s="27"/>
      <c r="T239" s="27"/>
      <c r="U239" s="27"/>
    </row>
    <row r="241">
      <c r="S241" s="27"/>
      <c r="T241" s="33"/>
      <c r="U241" s="27"/>
    </row>
    <row r="242">
      <c r="S242" s="27"/>
      <c r="T242" s="27"/>
      <c r="U242" s="27"/>
    </row>
    <row r="244">
      <c r="S244" s="27"/>
      <c r="T244" s="27"/>
      <c r="U244" s="27"/>
    </row>
    <row r="245">
      <c r="S245" s="26"/>
      <c r="T245" s="26"/>
      <c r="U245" s="26"/>
    </row>
    <row r="247">
      <c r="S247" s="27"/>
      <c r="T247" s="27"/>
      <c r="U247" s="27"/>
    </row>
    <row r="248">
      <c r="S248" s="27"/>
      <c r="T248" s="27"/>
      <c r="U248" s="27"/>
    </row>
    <row r="253">
      <c r="S253" s="27"/>
      <c r="T253" s="27"/>
      <c r="U253" s="27"/>
    </row>
    <row r="254">
      <c r="S254" s="27"/>
      <c r="T254" s="27"/>
      <c r="U254" s="27"/>
    </row>
    <row r="256">
      <c r="T256" s="27"/>
      <c r="U256" s="27"/>
    </row>
    <row r="257">
      <c r="T257" s="27"/>
      <c r="U257" s="27"/>
    </row>
    <row r="259">
      <c r="S259" s="27"/>
      <c r="T259" s="27"/>
      <c r="U259" s="27"/>
    </row>
    <row r="260">
      <c r="S260" s="27"/>
      <c r="T260" s="27"/>
      <c r="U260" s="27"/>
    </row>
    <row r="262">
      <c r="S262" s="27"/>
      <c r="T262" s="33"/>
      <c r="U262" s="33"/>
    </row>
    <row r="265">
      <c r="S265" s="27"/>
      <c r="T265" s="27"/>
      <c r="U265" s="27"/>
    </row>
    <row r="266">
      <c r="S266" s="27"/>
      <c r="T266" s="27"/>
      <c r="U266" s="27"/>
    </row>
    <row r="268">
      <c r="S268" s="27"/>
      <c r="T268" s="27"/>
      <c r="U268" s="27"/>
    </row>
    <row r="271">
      <c r="S271" s="27"/>
      <c r="T271" s="27"/>
      <c r="U271" s="27"/>
    </row>
    <row r="272">
      <c r="S272" s="27"/>
      <c r="T272" s="27"/>
      <c r="U272" s="27"/>
    </row>
    <row r="274">
      <c r="S274" s="27"/>
      <c r="T274" s="27"/>
      <c r="U274" s="27"/>
    </row>
    <row r="275">
      <c r="T275" s="26"/>
      <c r="U275" s="26"/>
    </row>
    <row r="277">
      <c r="S277" s="27"/>
      <c r="T277" s="27"/>
      <c r="U277" s="27"/>
    </row>
    <row r="278">
      <c r="S278" s="27"/>
      <c r="T278" s="27"/>
      <c r="U278" s="27"/>
    </row>
    <row r="280">
      <c r="S280" s="27"/>
      <c r="T280" s="27"/>
      <c r="U280" s="27"/>
    </row>
    <row r="281">
      <c r="S281" s="27"/>
      <c r="T281" s="27"/>
      <c r="U281" s="27"/>
    </row>
    <row r="283">
      <c r="S283" s="27"/>
      <c r="T283" s="27"/>
      <c r="U283" s="27"/>
    </row>
    <row r="284">
      <c r="S284" s="27"/>
      <c r="T284" s="27"/>
      <c r="U284" s="27"/>
    </row>
    <row r="286">
      <c r="S286" s="27"/>
      <c r="T286" s="27"/>
      <c r="U286" s="27"/>
    </row>
    <row r="287">
      <c r="S287" s="27"/>
      <c r="T287" s="27"/>
      <c r="U287" s="27"/>
    </row>
    <row r="292">
      <c r="S292" s="27"/>
      <c r="T292" s="27"/>
      <c r="U292" s="27"/>
    </row>
    <row r="293">
      <c r="S293" s="27"/>
      <c r="T293" s="27"/>
      <c r="U293" s="27"/>
    </row>
    <row r="295">
      <c r="S295" s="27"/>
      <c r="T295" s="27"/>
      <c r="U295" s="27"/>
    </row>
    <row r="296">
      <c r="S296" s="27"/>
      <c r="T296" s="27"/>
      <c r="U296" s="27"/>
    </row>
    <row r="298">
      <c r="S298" s="27"/>
      <c r="U298" s="27"/>
    </row>
    <row r="299">
      <c r="S299" s="26"/>
      <c r="T299" s="26"/>
      <c r="U299" s="26"/>
    </row>
    <row r="302">
      <c r="S302" s="27"/>
      <c r="T302" s="27"/>
      <c r="U302" s="27"/>
    </row>
    <row r="304">
      <c r="S304" s="27"/>
      <c r="T304" s="27"/>
      <c r="U304" s="27"/>
    </row>
    <row r="305">
      <c r="S305" s="27"/>
      <c r="T305" s="27"/>
      <c r="U305" s="27"/>
    </row>
    <row r="307">
      <c r="S307" s="27"/>
      <c r="T307" s="27"/>
      <c r="U307" s="27"/>
    </row>
    <row r="308">
      <c r="S308" s="27"/>
      <c r="T308" s="27"/>
      <c r="U308" s="27"/>
    </row>
    <row r="310">
      <c r="S310" s="27"/>
    </row>
    <row r="311">
      <c r="S311" s="26"/>
      <c r="T311" s="26"/>
      <c r="U311" s="26"/>
    </row>
    <row r="313">
      <c r="S313" s="27"/>
      <c r="T313" s="27"/>
      <c r="U313" s="27"/>
    </row>
    <row r="314">
      <c r="S314" s="27"/>
      <c r="T314" s="27"/>
      <c r="U314" s="27"/>
    </row>
    <row r="316">
      <c r="S316" s="26"/>
      <c r="T316" s="26"/>
      <c r="U316" s="26"/>
    </row>
    <row r="319">
      <c r="S319" s="27"/>
      <c r="T319" s="27"/>
      <c r="U319" s="27"/>
    </row>
    <row r="322">
      <c r="S322" s="27"/>
      <c r="T322" s="27"/>
      <c r="U322" s="27"/>
    </row>
    <row r="323">
      <c r="S323" s="27"/>
      <c r="T323" s="27"/>
      <c r="U323" s="27"/>
    </row>
    <row r="325">
      <c r="S325" s="27"/>
      <c r="T325" s="27"/>
      <c r="U325" s="27"/>
    </row>
    <row r="326">
      <c r="S326" s="27"/>
      <c r="T326" s="27"/>
      <c r="U326" s="27"/>
    </row>
    <row r="328">
      <c r="S328" s="27"/>
      <c r="T328" s="27"/>
      <c r="U328" s="27"/>
    </row>
    <row r="329">
      <c r="S329" s="27"/>
      <c r="T329" s="27"/>
      <c r="U329" s="27"/>
    </row>
    <row r="331">
      <c r="S331" s="26"/>
      <c r="T331" s="26"/>
    </row>
    <row r="332">
      <c r="S332" s="26"/>
      <c r="T332" s="26"/>
    </row>
    <row r="335">
      <c r="S335" s="27"/>
      <c r="T335" s="27"/>
      <c r="U335" s="27"/>
    </row>
    <row r="336">
      <c r="S336" s="27"/>
      <c r="T336" s="27"/>
      <c r="U336" s="27"/>
    </row>
    <row r="338">
      <c r="S338" s="27"/>
      <c r="T338" s="27"/>
      <c r="U338" s="27"/>
    </row>
    <row r="339">
      <c r="S339" s="27"/>
      <c r="T339" s="27"/>
      <c r="U339" s="27"/>
    </row>
    <row r="341">
      <c r="S341" s="27"/>
      <c r="T341" s="27"/>
      <c r="U341" s="27"/>
    </row>
    <row r="342">
      <c r="S342" s="27"/>
      <c r="T342" s="27"/>
      <c r="U342" s="27"/>
    </row>
    <row r="344">
      <c r="S344" s="27"/>
      <c r="T344" s="27"/>
      <c r="U344" s="27"/>
    </row>
    <row r="345">
      <c r="S345" s="27"/>
      <c r="T345" s="27"/>
      <c r="U345" s="27"/>
    </row>
    <row r="347">
      <c r="S347" s="27"/>
      <c r="T347" s="27"/>
      <c r="U347" s="27"/>
    </row>
    <row r="348">
      <c r="S348" s="27"/>
      <c r="T348" s="27"/>
      <c r="U348" s="27"/>
    </row>
    <row r="350">
      <c r="S350" s="27"/>
      <c r="T350" s="27"/>
      <c r="U350" s="27"/>
    </row>
    <row r="351">
      <c r="S351" s="27"/>
      <c r="T351" s="27"/>
      <c r="U351" s="27"/>
    </row>
    <row r="353">
      <c r="S353" s="27"/>
      <c r="T353" s="27"/>
      <c r="U353" s="27"/>
    </row>
    <row r="354">
      <c r="S354" s="27"/>
      <c r="T354" s="27"/>
      <c r="U354" s="27"/>
    </row>
    <row r="356">
      <c r="S356" s="27"/>
      <c r="T356" s="27"/>
      <c r="U356" s="27"/>
    </row>
    <row r="357">
      <c r="S357" s="27"/>
      <c r="T357" s="27"/>
      <c r="U357" s="27"/>
    </row>
    <row r="359">
      <c r="S359" s="27"/>
      <c r="T359" s="27"/>
      <c r="U359" s="27"/>
    </row>
    <row r="360">
      <c r="S360" s="27"/>
      <c r="T360" s="27"/>
      <c r="U360" s="27"/>
    </row>
    <row r="362">
      <c r="S362" s="27"/>
      <c r="T362" s="27"/>
      <c r="U362" s="27"/>
    </row>
    <row r="363">
      <c r="S363" s="27"/>
      <c r="T363" s="27"/>
      <c r="U363" s="27"/>
    </row>
    <row r="365">
      <c r="S365" s="27"/>
      <c r="T365" s="27"/>
      <c r="U365" s="27"/>
    </row>
    <row r="366">
      <c r="S366" s="27"/>
      <c r="T366" s="27"/>
      <c r="U366" s="27"/>
    </row>
    <row r="368">
      <c r="S368" s="27"/>
      <c r="T368" s="27"/>
      <c r="U368" s="27"/>
    </row>
    <row r="369">
      <c r="S369" s="27"/>
      <c r="T369" s="27"/>
      <c r="U369" s="27"/>
    </row>
    <row r="371">
      <c r="S371" s="27"/>
      <c r="T371" s="27"/>
      <c r="U371" s="27"/>
    </row>
    <row r="372">
      <c r="S372" s="27"/>
      <c r="T372" s="27"/>
      <c r="U372" s="27"/>
    </row>
    <row r="374">
      <c r="S374" s="27"/>
      <c r="T374" s="27"/>
      <c r="U374" s="27"/>
    </row>
    <row r="375">
      <c r="S375" s="27"/>
      <c r="T375" s="27"/>
      <c r="U375" s="27"/>
    </row>
    <row r="377">
      <c r="S377" s="27"/>
      <c r="T377" s="27"/>
      <c r="U377" s="27"/>
    </row>
    <row r="378">
      <c r="S378" s="27"/>
      <c r="T378" s="27"/>
      <c r="U378" s="27"/>
    </row>
    <row r="380">
      <c r="S380" s="27"/>
      <c r="T380" s="27"/>
      <c r="U380" s="27"/>
    </row>
    <row r="381">
      <c r="S381" s="27"/>
      <c r="T381" s="27"/>
      <c r="U381" s="27"/>
    </row>
    <row r="383">
      <c r="S383" s="27"/>
      <c r="T383" s="27"/>
      <c r="U383" s="27"/>
    </row>
    <row r="384">
      <c r="S384" s="27"/>
      <c r="T384" s="27"/>
      <c r="U384" s="27"/>
    </row>
    <row r="386">
      <c r="S386" s="27"/>
      <c r="T386" s="27"/>
      <c r="U386" s="27"/>
    </row>
    <row r="387">
      <c r="S387" s="27"/>
      <c r="T387" s="27"/>
      <c r="U387" s="27"/>
    </row>
    <row r="389">
      <c r="S389" s="27"/>
      <c r="T389" s="27"/>
      <c r="U389" s="27"/>
    </row>
    <row r="390">
      <c r="S390" s="27"/>
      <c r="T390" s="27"/>
      <c r="U390" s="27"/>
    </row>
    <row r="392">
      <c r="S392" s="27"/>
      <c r="T392" s="27"/>
      <c r="U392" s="27"/>
    </row>
    <row r="393">
      <c r="S393" s="27"/>
      <c r="T393" s="27"/>
      <c r="U393" s="27"/>
    </row>
    <row r="395">
      <c r="S395" s="27"/>
      <c r="T395" s="27"/>
      <c r="U395" s="27"/>
    </row>
    <row r="396">
      <c r="S396" s="27"/>
      <c r="T396" s="27"/>
      <c r="U396" s="27"/>
    </row>
    <row r="398">
      <c r="S398" s="27"/>
      <c r="T398" s="27"/>
      <c r="U398" s="27"/>
    </row>
    <row r="399">
      <c r="S399" s="27"/>
      <c r="T399" s="27"/>
      <c r="U399" s="27"/>
    </row>
    <row r="401">
      <c r="S401" s="27"/>
      <c r="T401" s="27"/>
      <c r="U401" s="27"/>
    </row>
    <row r="402">
      <c r="S402" s="27"/>
      <c r="T402" s="27"/>
      <c r="U402" s="27"/>
    </row>
    <row r="404">
      <c r="S404" s="27"/>
      <c r="T404" s="27"/>
      <c r="U404" s="27"/>
    </row>
    <row r="405">
      <c r="S405" s="27"/>
      <c r="T405" s="27"/>
      <c r="U405" s="27"/>
    </row>
    <row r="407">
      <c r="S407" s="27"/>
      <c r="T407" s="27"/>
      <c r="U407" s="27"/>
    </row>
    <row r="408">
      <c r="S408" s="27"/>
      <c r="T408" s="27"/>
      <c r="U408" s="27"/>
    </row>
    <row r="410">
      <c r="S410" s="27"/>
      <c r="T410" s="27"/>
      <c r="U410" s="27"/>
    </row>
    <row r="411">
      <c r="S411" s="27"/>
      <c r="T411" s="27"/>
      <c r="U411" s="27"/>
    </row>
    <row r="413">
      <c r="S413" s="27"/>
      <c r="T413" s="27"/>
      <c r="U413" s="27"/>
    </row>
    <row r="414">
      <c r="S414" s="27"/>
      <c r="T414" s="27"/>
      <c r="U414" s="27"/>
    </row>
    <row r="416">
      <c r="S416" s="27"/>
      <c r="T416" s="27"/>
      <c r="U416" s="27"/>
    </row>
    <row r="417">
      <c r="S417" s="27"/>
      <c r="T417" s="27"/>
      <c r="U417" s="27"/>
    </row>
    <row r="419">
      <c r="S419" s="27"/>
      <c r="T419" s="27"/>
      <c r="U419" s="27"/>
    </row>
    <row r="420">
      <c r="S420" s="27"/>
      <c r="T420" s="27"/>
      <c r="U420" s="27"/>
    </row>
    <row r="422">
      <c r="S422" s="27"/>
      <c r="T422" s="27"/>
      <c r="U422" s="27"/>
    </row>
    <row r="423">
      <c r="S423" s="27"/>
      <c r="T423" s="27"/>
      <c r="U423" s="27"/>
    </row>
    <row r="425">
      <c r="S425" s="27"/>
      <c r="T425" s="27"/>
      <c r="U425" s="27"/>
    </row>
    <row r="427">
      <c r="S427" s="27"/>
      <c r="T427" s="27"/>
      <c r="U427" s="27"/>
    </row>
    <row r="428">
      <c r="S428" s="27"/>
      <c r="T428" s="27"/>
      <c r="U428" s="27"/>
    </row>
    <row r="430">
      <c r="S430" s="27"/>
      <c r="T430" s="27"/>
      <c r="U430" s="27"/>
    </row>
    <row r="431">
      <c r="S431" s="27"/>
      <c r="T431" s="27"/>
      <c r="U431" s="27"/>
    </row>
    <row r="433">
      <c r="S433" s="27"/>
      <c r="T433" s="27"/>
      <c r="U433" s="27"/>
    </row>
    <row r="434">
      <c r="S434" s="27"/>
      <c r="T434" s="27"/>
      <c r="U434" s="27"/>
    </row>
    <row r="436">
      <c r="S436" s="27"/>
      <c r="T436" s="27"/>
      <c r="U436" s="27"/>
    </row>
    <row r="437">
      <c r="S437" s="27"/>
      <c r="T437" s="27"/>
      <c r="U437" s="27"/>
    </row>
    <row r="439">
      <c r="S439" s="27"/>
      <c r="T439" s="27"/>
      <c r="U439" s="27"/>
    </row>
    <row r="440">
      <c r="S440" s="27"/>
      <c r="T440" s="27"/>
      <c r="U440" s="27"/>
    </row>
    <row r="442">
      <c r="S442" s="27"/>
      <c r="T442" s="27"/>
      <c r="U442" s="27"/>
    </row>
    <row r="443">
      <c r="S443" s="27"/>
      <c r="T443" s="27"/>
      <c r="U443" s="27"/>
    </row>
    <row r="445">
      <c r="S445" s="27"/>
      <c r="T445" s="27"/>
      <c r="U445" s="27"/>
    </row>
    <row r="446">
      <c r="S446" s="27"/>
      <c r="T446" s="27"/>
      <c r="U446" s="27"/>
    </row>
    <row r="448">
      <c r="S448" s="27"/>
      <c r="T448" s="27"/>
      <c r="U448" s="27"/>
    </row>
    <row r="450">
      <c r="S450" s="27"/>
      <c r="T450" s="27"/>
      <c r="U450" s="27"/>
    </row>
    <row r="452">
      <c r="S452" s="27"/>
      <c r="T452" s="27"/>
      <c r="U452" s="27"/>
    </row>
    <row r="454">
      <c r="S454" s="27"/>
      <c r="T454" s="27"/>
      <c r="U454" s="27"/>
    </row>
    <row r="456">
      <c r="S456" s="27"/>
      <c r="T456" s="27"/>
      <c r="U456" s="27"/>
    </row>
    <row r="457">
      <c r="S457" s="27"/>
      <c r="T457" s="27"/>
      <c r="U457" s="27"/>
    </row>
    <row r="459">
      <c r="S459" s="27"/>
      <c r="T459" s="27"/>
      <c r="U459" s="27"/>
    </row>
    <row r="460">
      <c r="S460" s="27"/>
      <c r="T460" s="27"/>
      <c r="U460" s="27"/>
    </row>
    <row r="462">
      <c r="S462" s="27"/>
      <c r="T462" s="27"/>
      <c r="U462" s="27"/>
    </row>
    <row r="463">
      <c r="S463" s="27"/>
      <c r="T463" s="27"/>
      <c r="U463" s="27"/>
    </row>
    <row r="465">
      <c r="S465" s="27"/>
      <c r="T465" s="27"/>
      <c r="U465" s="27"/>
    </row>
    <row r="466">
      <c r="S466" s="27"/>
      <c r="T466" s="27"/>
      <c r="U466" s="27"/>
    </row>
    <row r="468">
      <c r="S468" s="27"/>
      <c r="T468" s="27"/>
      <c r="U468" s="27"/>
    </row>
    <row r="469">
      <c r="S469" s="27"/>
      <c r="T469" s="27"/>
      <c r="U469" s="27"/>
    </row>
    <row r="472">
      <c r="S472" s="27"/>
      <c r="T472" s="27"/>
      <c r="U472" s="27"/>
    </row>
    <row r="473">
      <c r="S473" s="27"/>
      <c r="T473" s="27"/>
      <c r="U473" s="27"/>
    </row>
    <row r="475">
      <c r="U475" s="26"/>
    </row>
    <row r="478">
      <c r="S478" s="27"/>
      <c r="T478" s="27"/>
      <c r="U478" s="27"/>
    </row>
    <row r="481">
      <c r="S481" s="27"/>
      <c r="T481" s="27"/>
      <c r="U481" s="27"/>
    </row>
    <row r="482">
      <c r="S482" s="27"/>
      <c r="T482" s="27"/>
      <c r="U482" s="27"/>
    </row>
    <row r="484">
      <c r="S484" s="27"/>
      <c r="T484" s="27"/>
      <c r="U484" s="27"/>
    </row>
    <row r="485">
      <c r="S485" s="27"/>
      <c r="T485" s="27"/>
      <c r="U485" s="27"/>
    </row>
    <row r="487">
      <c r="S487" s="27"/>
      <c r="T487" s="27"/>
      <c r="U487" s="27"/>
    </row>
    <row r="488">
      <c r="S488" s="27"/>
      <c r="T488" s="27"/>
      <c r="U488" s="27"/>
    </row>
    <row r="490">
      <c r="S490" s="26"/>
      <c r="T490" s="26"/>
    </row>
    <row r="493">
      <c r="S493" s="27"/>
      <c r="T493" s="27"/>
      <c r="U493" s="27"/>
    </row>
    <row r="494">
      <c r="S494" s="27"/>
      <c r="T494" s="27"/>
      <c r="U494" s="27"/>
    </row>
    <row r="496">
      <c r="S496" s="27"/>
      <c r="T496" s="27"/>
      <c r="U496" s="27"/>
    </row>
    <row r="497">
      <c r="S497" s="27"/>
      <c r="T497" s="27"/>
      <c r="U497" s="27"/>
    </row>
    <row r="499">
      <c r="S499" s="27"/>
      <c r="T499" s="27"/>
      <c r="U499" s="27"/>
    </row>
    <row r="500">
      <c r="S500" s="27"/>
      <c r="T500" s="27"/>
      <c r="U500" s="27"/>
    </row>
    <row r="505">
      <c r="S505" s="26"/>
      <c r="T505" s="26"/>
      <c r="U505" s="26"/>
    </row>
    <row r="506">
      <c r="T506" s="26"/>
      <c r="U506" s="26"/>
    </row>
    <row r="508">
      <c r="S508" s="27"/>
      <c r="T508" s="27"/>
      <c r="U508" s="27"/>
    </row>
    <row r="509">
      <c r="S509" s="27"/>
      <c r="T509" s="27"/>
      <c r="U509" s="27"/>
    </row>
    <row r="511">
      <c r="S511" s="27"/>
      <c r="T511" s="27"/>
      <c r="U511" s="27"/>
    </row>
    <row r="512">
      <c r="S512" s="27"/>
      <c r="T512" s="27"/>
      <c r="U512" s="27"/>
    </row>
    <row r="514">
      <c r="S514" s="26"/>
      <c r="T514" s="26"/>
      <c r="U514" s="26"/>
    </row>
    <row r="520">
      <c r="S520" s="27"/>
      <c r="T520" s="27"/>
      <c r="U520" s="27"/>
    </row>
    <row r="523">
      <c r="S523" s="27"/>
      <c r="T523" s="27"/>
      <c r="U523" s="27"/>
    </row>
    <row r="524">
      <c r="S524" s="27"/>
      <c r="T524" s="27"/>
      <c r="U524" s="27"/>
    </row>
    <row r="526">
      <c r="S526" s="27"/>
      <c r="T526" s="27"/>
      <c r="U526" s="27"/>
    </row>
    <row r="527">
      <c r="S527" s="27"/>
      <c r="T527" s="27"/>
      <c r="U527" s="27"/>
    </row>
    <row r="529">
      <c r="S529" s="27"/>
      <c r="T529" s="27"/>
      <c r="U529" s="27"/>
    </row>
    <row r="530">
      <c r="S530" s="27"/>
      <c r="T530" s="27"/>
      <c r="U530" s="27"/>
    </row>
    <row r="532">
      <c r="S532" s="27"/>
      <c r="T532" s="27"/>
      <c r="U532" s="27"/>
    </row>
    <row r="533">
      <c r="S533" s="27"/>
      <c r="T533" s="27"/>
      <c r="U533" s="27"/>
    </row>
    <row r="535">
      <c r="S535" s="27"/>
      <c r="T535" s="27"/>
      <c r="U535" s="27"/>
    </row>
    <row r="536">
      <c r="S536" s="27"/>
      <c r="T536" s="27"/>
      <c r="U536" s="27"/>
    </row>
    <row r="538">
      <c r="S538" s="27"/>
      <c r="T538" s="27"/>
      <c r="U538" s="27"/>
    </row>
    <row r="539">
      <c r="S539" s="27"/>
      <c r="T539" s="27"/>
      <c r="U539" s="27"/>
    </row>
    <row r="541">
      <c r="S541" s="27"/>
      <c r="T541" s="27"/>
      <c r="U541" s="27"/>
    </row>
    <row r="542">
      <c r="S542" s="27"/>
      <c r="T542" s="27"/>
      <c r="U542" s="27"/>
    </row>
    <row r="544">
      <c r="S544" s="27"/>
      <c r="T544" s="27"/>
      <c r="U544" s="27"/>
    </row>
    <row r="545">
      <c r="S545" s="27"/>
      <c r="T545" s="27"/>
      <c r="U545" s="27"/>
    </row>
    <row r="547">
      <c r="S547" s="27"/>
      <c r="T547" s="27"/>
      <c r="U547" s="27"/>
    </row>
    <row r="548">
      <c r="S548" s="27"/>
      <c r="T548" s="27"/>
      <c r="U548" s="27"/>
    </row>
    <row r="550">
      <c r="S550" s="27"/>
      <c r="T550" s="27"/>
      <c r="U550" s="27"/>
    </row>
    <row r="551">
      <c r="S551" s="27"/>
      <c r="T551" s="27"/>
      <c r="U551" s="27"/>
    </row>
    <row r="553">
      <c r="S553" s="27"/>
      <c r="T553" s="27"/>
      <c r="U553" s="27"/>
    </row>
    <row r="554">
      <c r="S554" s="27"/>
      <c r="T554" s="27"/>
      <c r="U554" s="27"/>
    </row>
    <row r="556">
      <c r="S556" s="27"/>
      <c r="T556" s="27"/>
      <c r="U556" s="27"/>
    </row>
    <row r="557">
      <c r="S557" s="27"/>
      <c r="T557" s="27"/>
      <c r="U557" s="27"/>
    </row>
    <row r="562">
      <c r="S562" s="27"/>
      <c r="T562" s="27"/>
      <c r="U562" s="27"/>
    </row>
    <row r="563">
      <c r="S563" s="27"/>
      <c r="T563" s="27"/>
      <c r="U563" s="27"/>
    </row>
    <row r="565">
      <c r="S565" s="27"/>
      <c r="T565" s="27"/>
      <c r="U565" s="27"/>
    </row>
    <row r="566">
      <c r="S566" s="27"/>
      <c r="T566" s="27"/>
      <c r="U566" s="27"/>
    </row>
    <row r="568">
      <c r="S568" s="27"/>
      <c r="T568" s="27"/>
      <c r="U568" s="27"/>
    </row>
    <row r="569">
      <c r="S569" s="27"/>
      <c r="T569" s="27"/>
      <c r="U569" s="27"/>
    </row>
    <row r="571">
      <c r="S571" s="27"/>
      <c r="T571" s="27"/>
      <c r="U571" s="27"/>
    </row>
    <row r="572">
      <c r="S572" s="27"/>
      <c r="T572" s="27"/>
      <c r="U572" s="27"/>
    </row>
    <row r="574">
      <c r="S574" s="27"/>
      <c r="T574" s="27"/>
      <c r="U574" s="27"/>
    </row>
    <row r="575">
      <c r="S575" s="27"/>
      <c r="T575" s="27"/>
      <c r="U575" s="27"/>
    </row>
    <row r="577">
      <c r="S577" s="27"/>
      <c r="T577" s="27"/>
      <c r="U577" s="27"/>
    </row>
    <row r="578">
      <c r="S578" s="27"/>
      <c r="T578" s="27"/>
      <c r="U578" s="27"/>
    </row>
    <row r="580">
      <c r="S580" s="27"/>
      <c r="T580" s="27"/>
      <c r="U580" s="27"/>
    </row>
    <row r="581">
      <c r="S581" s="27"/>
      <c r="T581" s="27"/>
      <c r="U581" s="27"/>
    </row>
    <row r="583">
      <c r="S583" s="27"/>
      <c r="T583" s="27"/>
      <c r="U583" s="33"/>
    </row>
    <row r="584">
      <c r="S584" s="27"/>
      <c r="T584" s="27"/>
      <c r="U584" s="33"/>
    </row>
    <row r="586">
      <c r="S586" s="27"/>
      <c r="T586" s="27"/>
      <c r="U586" s="27"/>
    </row>
    <row r="587">
      <c r="S587" s="27"/>
      <c r="T587" s="27"/>
      <c r="U587" s="27"/>
    </row>
    <row r="589">
      <c r="S589" s="27"/>
      <c r="T589" s="27"/>
      <c r="U589" s="27"/>
    </row>
    <row r="590">
      <c r="S590" s="27"/>
      <c r="T590" s="27"/>
      <c r="U590" s="27"/>
    </row>
    <row r="592">
      <c r="S592" s="27"/>
      <c r="T592" s="27"/>
      <c r="U592" s="27"/>
    </row>
    <row r="593">
      <c r="S593" s="27"/>
      <c r="T593" s="27"/>
      <c r="U593" s="27"/>
    </row>
    <row r="598">
      <c r="S598" s="27"/>
      <c r="T598" s="27"/>
      <c r="U598" s="27"/>
    </row>
    <row r="599">
      <c r="U599" s="27"/>
    </row>
    <row r="601">
      <c r="S601" s="27"/>
      <c r="T601" s="27"/>
      <c r="U601" s="27"/>
    </row>
    <row r="604">
      <c r="S604" s="33"/>
      <c r="T604" s="33"/>
    </row>
    <row r="605">
      <c r="S605" s="27"/>
      <c r="T605" s="27"/>
    </row>
    <row r="607">
      <c r="S607" s="27"/>
      <c r="T607" s="27"/>
      <c r="U607" s="27"/>
    </row>
    <row r="608">
      <c r="S608" s="27"/>
      <c r="T608" s="27"/>
      <c r="U608" s="27"/>
    </row>
    <row r="610">
      <c r="S610" s="27"/>
      <c r="T610" s="27"/>
      <c r="U610" s="27"/>
    </row>
    <row r="611">
      <c r="S611" s="26"/>
      <c r="T611" s="26"/>
      <c r="U611" s="26"/>
    </row>
    <row r="614">
      <c r="S614" s="27"/>
      <c r="T614" s="27"/>
      <c r="U614" s="27"/>
    </row>
    <row r="615">
      <c r="S615" s="27"/>
      <c r="T615" s="27"/>
      <c r="U615" s="27"/>
    </row>
    <row r="617">
      <c r="S617" s="27"/>
      <c r="T617" s="27"/>
      <c r="U617" s="27"/>
    </row>
    <row r="618">
      <c r="S618" s="27"/>
      <c r="T618" s="27"/>
      <c r="U618" s="27"/>
    </row>
    <row r="620">
      <c r="T620" s="26"/>
      <c r="U620" s="26"/>
    </row>
    <row r="623">
      <c r="S623" s="26"/>
      <c r="T623" s="26"/>
      <c r="U623" s="26"/>
    </row>
    <row r="626">
      <c r="U626" s="27"/>
    </row>
    <row r="628">
      <c r="S628" s="27"/>
      <c r="T628" s="27"/>
      <c r="U628" s="27"/>
    </row>
    <row r="630">
      <c r="S630" s="26"/>
      <c r="T630" s="26"/>
      <c r="U630" s="26"/>
    </row>
    <row r="633">
      <c r="S633" s="27"/>
      <c r="T633" s="27"/>
      <c r="U633" s="27"/>
    </row>
    <row r="636">
      <c r="S636" s="27"/>
      <c r="T636" s="27"/>
      <c r="U636" s="27"/>
    </row>
    <row r="637">
      <c r="S637" s="27"/>
      <c r="T637" s="27"/>
      <c r="U637" s="27"/>
    </row>
    <row r="639">
      <c r="S639" s="27"/>
      <c r="T639" s="27"/>
      <c r="U639" s="27"/>
    </row>
    <row r="640">
      <c r="S640" s="27"/>
      <c r="T640" s="27"/>
      <c r="U640" s="27"/>
    </row>
    <row r="642">
      <c r="S642" s="27"/>
      <c r="T642" s="27"/>
      <c r="U642" s="27"/>
    </row>
    <row r="643">
      <c r="T643" s="27"/>
      <c r="U643" s="27"/>
    </row>
    <row r="645">
      <c r="S645" s="27"/>
      <c r="T645" s="27"/>
      <c r="U645" s="27"/>
    </row>
    <row r="646">
      <c r="S646" s="26"/>
      <c r="T646" s="27"/>
      <c r="U646" s="26"/>
    </row>
    <row r="648">
      <c r="S648" s="27"/>
      <c r="T648" s="27"/>
      <c r="U648" s="27"/>
    </row>
    <row r="649">
      <c r="S649" s="27"/>
      <c r="T649" s="27"/>
      <c r="U649" s="27"/>
    </row>
    <row r="651">
      <c r="T651" s="26"/>
      <c r="U651" s="26"/>
    </row>
    <row r="652">
      <c r="T652" s="26"/>
      <c r="U652" s="26"/>
    </row>
    <row r="654">
      <c r="S654" s="27"/>
      <c r="T654" s="27"/>
      <c r="U654" s="27"/>
    </row>
    <row r="655">
      <c r="S655" s="27"/>
      <c r="T655" s="27"/>
      <c r="U655" s="27"/>
    </row>
    <row r="657">
      <c r="S657" s="27"/>
      <c r="T657" s="27"/>
      <c r="U657" s="27"/>
    </row>
    <row r="658">
      <c r="T658" s="27"/>
      <c r="U658" s="27"/>
    </row>
    <row r="660">
      <c r="S660" s="27"/>
      <c r="T660" s="27"/>
      <c r="U660" s="27"/>
    </row>
    <row r="661">
      <c r="S661" s="27"/>
      <c r="T661" s="27"/>
      <c r="U661" s="27"/>
    </row>
    <row r="663">
      <c r="S663" s="33"/>
      <c r="T663" s="27"/>
      <c r="U663" s="33"/>
    </row>
    <row r="669">
      <c r="S669" s="27"/>
      <c r="T669" s="27"/>
      <c r="U669" s="27"/>
    </row>
    <row r="672">
      <c r="S672" s="27"/>
      <c r="T672" s="27"/>
      <c r="U672" s="27"/>
    </row>
    <row r="673">
      <c r="S673" s="33"/>
      <c r="T673" s="33"/>
      <c r="U673" s="33"/>
    </row>
    <row r="675">
      <c r="S675" s="26"/>
      <c r="T675" s="27"/>
      <c r="U675" s="27"/>
    </row>
    <row r="676">
      <c r="T676" s="26"/>
      <c r="U676" s="26"/>
    </row>
    <row r="678">
      <c r="S678" s="27"/>
      <c r="T678" s="27"/>
      <c r="U678" s="27"/>
    </row>
    <row r="679">
      <c r="S679" s="27"/>
      <c r="T679" s="27"/>
      <c r="U679" s="27"/>
    </row>
    <row r="681">
      <c r="S681" s="27"/>
      <c r="T681" s="27"/>
      <c r="U681" s="27"/>
    </row>
    <row r="682">
      <c r="S682" s="27"/>
      <c r="T682" s="27"/>
      <c r="U682" s="27"/>
    </row>
    <row r="684">
      <c r="S684" s="27"/>
      <c r="T684" s="27"/>
      <c r="U684" s="27"/>
    </row>
    <row r="685">
      <c r="S685" s="27"/>
      <c r="T685" s="27"/>
      <c r="U685" s="27"/>
    </row>
    <row r="687">
      <c r="S687" s="27"/>
      <c r="T687" s="27"/>
      <c r="U687" s="27"/>
    </row>
    <row r="688">
      <c r="S688" s="27"/>
      <c r="T688" s="27"/>
      <c r="U688" s="27"/>
    </row>
    <row r="690">
      <c r="S690" s="27"/>
      <c r="T690" s="27"/>
      <c r="U690" s="27"/>
    </row>
    <row r="693">
      <c r="S693" s="27"/>
      <c r="T693" s="27"/>
      <c r="U693" s="27"/>
    </row>
    <row r="694">
      <c r="S694" s="27"/>
      <c r="T694" s="27"/>
      <c r="U694" s="27"/>
    </row>
    <row r="696">
      <c r="S696" s="27"/>
      <c r="T696" s="27"/>
      <c r="U696" s="27"/>
    </row>
    <row r="697">
      <c r="S697" s="27"/>
      <c r="T697" s="27"/>
      <c r="U697" s="27"/>
    </row>
    <row r="699">
      <c r="S699" s="27"/>
      <c r="U699" s="27"/>
    </row>
    <row r="702">
      <c r="T702" s="27"/>
      <c r="U702" s="27"/>
    </row>
    <row r="703">
      <c r="T703" s="27"/>
      <c r="U703" s="27"/>
    </row>
    <row r="705">
      <c r="S705" s="27"/>
    </row>
    <row r="706">
      <c r="S706" s="27"/>
    </row>
    <row r="708">
      <c r="S708" s="27"/>
      <c r="T708" s="27"/>
      <c r="U708" s="27"/>
    </row>
    <row r="709">
      <c r="S709" s="27"/>
      <c r="T709" s="27"/>
      <c r="U709" s="27"/>
    </row>
    <row r="711">
      <c r="S711" s="27"/>
      <c r="T711" s="27"/>
      <c r="U711" s="27"/>
    </row>
    <row r="714">
      <c r="S714" s="27"/>
      <c r="T714" s="27"/>
      <c r="U714" s="27"/>
    </row>
    <row r="715">
      <c r="S715" s="27"/>
      <c r="T715" s="27"/>
      <c r="U715" s="27"/>
    </row>
    <row r="717">
      <c r="S717" s="26"/>
      <c r="T717" s="26"/>
      <c r="U717" s="26"/>
    </row>
    <row r="720">
      <c r="S720" s="27"/>
      <c r="T720" s="27"/>
      <c r="U720" s="27"/>
    </row>
    <row r="723">
      <c r="S723" s="27"/>
      <c r="T723" s="27"/>
      <c r="U723" s="27"/>
    </row>
    <row r="724">
      <c r="S724" s="27"/>
      <c r="T724" s="27"/>
      <c r="U724" s="27"/>
    </row>
    <row r="726">
      <c r="S726" s="27"/>
      <c r="T726" s="27"/>
      <c r="U726" s="27"/>
    </row>
    <row r="727">
      <c r="S727" s="27"/>
      <c r="T727" s="27"/>
      <c r="U727" s="27"/>
    </row>
    <row r="729">
      <c r="S729" s="27"/>
      <c r="T729" s="27"/>
      <c r="U729" s="27"/>
    </row>
    <row r="730">
      <c r="S730" s="27"/>
      <c r="T730" s="27"/>
      <c r="U730" s="27"/>
    </row>
    <row r="732">
      <c r="S732" s="27"/>
    </row>
    <row r="733">
      <c r="T733" s="26"/>
      <c r="U733" s="26"/>
    </row>
    <row r="735">
      <c r="S735" s="27"/>
      <c r="T735" s="27"/>
      <c r="U735" s="27"/>
    </row>
    <row r="736">
      <c r="S736" s="27"/>
      <c r="T736" s="27"/>
      <c r="U736" s="27"/>
    </row>
    <row r="738">
      <c r="S738" s="27"/>
      <c r="T738" s="27"/>
      <c r="U738" s="27"/>
    </row>
    <row r="739">
      <c r="S739" s="27"/>
      <c r="T739" s="27"/>
      <c r="U739" s="27"/>
    </row>
    <row r="741">
      <c r="S741" s="27"/>
      <c r="T741" s="27"/>
      <c r="U741" s="27"/>
    </row>
    <row r="742">
      <c r="S742" s="27"/>
      <c r="T742" s="27"/>
      <c r="U742" s="27"/>
    </row>
    <row r="744">
      <c r="S744" s="27"/>
      <c r="T744" s="27"/>
      <c r="U744" s="27"/>
    </row>
    <row r="745">
      <c r="S745" s="27"/>
      <c r="T745" s="27"/>
      <c r="U745" s="27"/>
    </row>
    <row r="747">
      <c r="S747" s="27"/>
      <c r="T747" s="27"/>
      <c r="U747" s="27"/>
    </row>
    <row r="748">
      <c r="S748" s="27"/>
      <c r="T748" s="27"/>
      <c r="U748" s="27"/>
    </row>
    <row r="750">
      <c r="S750" s="27"/>
      <c r="T750" s="27"/>
      <c r="U750" s="27"/>
    </row>
    <row r="751">
      <c r="S751" s="27"/>
      <c r="T751" s="27"/>
      <c r="U751" s="27"/>
    </row>
    <row r="753">
      <c r="S753" s="27"/>
      <c r="T753" s="27"/>
      <c r="U753" s="27"/>
    </row>
    <row r="754">
      <c r="S754" s="27"/>
      <c r="T754" s="27"/>
      <c r="U754" s="27"/>
    </row>
    <row r="756">
      <c r="S756" s="27"/>
      <c r="T756" s="27"/>
      <c r="U756" s="27"/>
    </row>
    <row r="757">
      <c r="S757" s="27"/>
      <c r="T757" s="27"/>
      <c r="U757" s="27"/>
    </row>
    <row r="759">
      <c r="S759" s="27"/>
      <c r="T759" s="27"/>
      <c r="U759" s="27"/>
    </row>
    <row r="760">
      <c r="S760" s="27"/>
      <c r="T760" s="27"/>
      <c r="U760" s="27"/>
    </row>
    <row r="762">
      <c r="S762" s="27"/>
      <c r="T762" s="27"/>
      <c r="U762" s="27"/>
    </row>
    <row r="763">
      <c r="S763" s="27"/>
      <c r="T763" s="27"/>
      <c r="U763" s="27"/>
    </row>
    <row r="765">
      <c r="S765" s="27"/>
      <c r="T765" s="27"/>
      <c r="U765" s="27"/>
    </row>
    <row r="766">
      <c r="S766" s="27"/>
      <c r="T766" s="27"/>
      <c r="U766" s="27"/>
    </row>
    <row r="768">
      <c r="S768" s="27"/>
      <c r="T768" s="27"/>
      <c r="U768" s="27"/>
    </row>
    <row r="769">
      <c r="S769" s="27"/>
      <c r="T769" s="27"/>
      <c r="U769" s="27"/>
    </row>
    <row r="771">
      <c r="S771" s="27"/>
      <c r="T771" s="27"/>
      <c r="U771" s="27"/>
    </row>
    <row r="772">
      <c r="S772" s="27"/>
      <c r="T772" s="27"/>
      <c r="U772" s="27"/>
    </row>
    <row r="774">
      <c r="S774" s="27"/>
      <c r="T774" s="27"/>
      <c r="U774" s="27"/>
    </row>
    <row r="775">
      <c r="S775" s="27"/>
      <c r="T775" s="27"/>
      <c r="U775" s="27"/>
    </row>
    <row r="777">
      <c r="S777" s="27"/>
      <c r="T777" s="27"/>
      <c r="U777" s="27"/>
    </row>
    <row r="778">
      <c r="S778" s="27"/>
      <c r="T778" s="27"/>
      <c r="U778" s="27"/>
    </row>
    <row r="780">
      <c r="S780" s="27"/>
      <c r="T780" s="27"/>
      <c r="U780" s="27"/>
    </row>
    <row r="781">
      <c r="S781" s="27"/>
      <c r="T781" s="27"/>
      <c r="U781" s="27"/>
    </row>
    <row r="783">
      <c r="S783" s="27"/>
      <c r="T783" s="27"/>
      <c r="U783" s="27"/>
    </row>
    <row r="784">
      <c r="S784" s="27"/>
      <c r="T784" s="27"/>
      <c r="U784" s="27"/>
    </row>
    <row r="786">
      <c r="S786" s="27"/>
      <c r="T786" s="27"/>
      <c r="U786" s="27"/>
    </row>
    <row r="787">
      <c r="S787" s="27"/>
      <c r="T787" s="27"/>
      <c r="U787" s="27"/>
    </row>
    <row r="789">
      <c r="S789" s="27"/>
      <c r="T789" s="27"/>
      <c r="U789" s="27"/>
    </row>
    <row r="790">
      <c r="S790" s="27"/>
      <c r="T790" s="27"/>
      <c r="U790" s="27"/>
    </row>
    <row r="792">
      <c r="S792" s="27"/>
      <c r="T792" s="27"/>
      <c r="U792" s="27"/>
    </row>
    <row r="793">
      <c r="S793" s="27"/>
      <c r="T793" s="27"/>
      <c r="U793" s="27"/>
    </row>
    <row r="795">
      <c r="S795" s="27"/>
      <c r="T795" s="27"/>
      <c r="U795" s="27"/>
    </row>
    <row r="796">
      <c r="S796" s="27"/>
      <c r="T796" s="27"/>
      <c r="U796" s="27"/>
    </row>
    <row r="798">
      <c r="S798" s="27"/>
      <c r="T798" s="27"/>
      <c r="U798" s="27"/>
    </row>
    <row r="799">
      <c r="S799" s="27"/>
      <c r="T799" s="27"/>
      <c r="U799" s="27"/>
    </row>
    <row r="801">
      <c r="S801" s="27"/>
      <c r="T801" s="27"/>
      <c r="U801" s="27"/>
    </row>
    <row r="802">
      <c r="S802" s="27"/>
      <c r="T802" s="27"/>
      <c r="U802" s="27"/>
    </row>
    <row r="804">
      <c r="S804" s="27"/>
      <c r="T804" s="27"/>
      <c r="U804" s="27"/>
    </row>
    <row r="805">
      <c r="S805" s="27"/>
      <c r="T805" s="27"/>
      <c r="U805" s="27"/>
    </row>
    <row r="807">
      <c r="S807" s="27"/>
      <c r="T807" s="27"/>
      <c r="U807" s="27"/>
    </row>
    <row r="808">
      <c r="S808" s="27"/>
      <c r="T808" s="27"/>
      <c r="U808" s="27"/>
    </row>
    <row r="810">
      <c r="S810" s="27"/>
      <c r="T810" s="27"/>
      <c r="U810" s="27"/>
    </row>
    <row r="811">
      <c r="S811" s="27"/>
      <c r="T811" s="27"/>
      <c r="U811" s="27"/>
    </row>
    <row r="813">
      <c r="S813" s="27"/>
      <c r="T813" s="27"/>
      <c r="U813" s="27"/>
    </row>
    <row r="814">
      <c r="S814" s="27"/>
      <c r="T814" s="27"/>
      <c r="U814" s="27"/>
    </row>
    <row r="816">
      <c r="S816" s="27"/>
      <c r="T816" s="27"/>
      <c r="U816" s="27"/>
    </row>
    <row r="817">
      <c r="S817" s="27"/>
      <c r="T817" s="27"/>
      <c r="U817" s="27"/>
    </row>
    <row r="819">
      <c r="S819" s="27"/>
      <c r="T819" s="27"/>
      <c r="U819" s="27"/>
    </row>
    <row r="820">
      <c r="S820" s="27"/>
      <c r="T820" s="27"/>
      <c r="U820" s="27"/>
    </row>
    <row r="822">
      <c r="S822" s="27"/>
      <c r="T822" s="27"/>
      <c r="U822" s="27"/>
    </row>
    <row r="823">
      <c r="S823" s="27"/>
      <c r="T823" s="27"/>
      <c r="U823" s="27"/>
    </row>
    <row r="825">
      <c r="S825" s="27"/>
      <c r="T825" s="27"/>
      <c r="U825" s="27"/>
    </row>
    <row r="826">
      <c r="S826" s="27"/>
      <c r="T826" s="27"/>
      <c r="U826" s="27"/>
    </row>
    <row r="828">
      <c r="S828" s="27"/>
      <c r="T828" s="27"/>
      <c r="U828" s="27"/>
    </row>
    <row r="830">
      <c r="S830" s="27"/>
      <c r="T830" s="27"/>
      <c r="U830" s="27"/>
    </row>
    <row r="831">
      <c r="S831" s="27"/>
      <c r="T831" s="27"/>
      <c r="U831" s="27"/>
    </row>
    <row r="833">
      <c r="S833" s="27"/>
      <c r="T833" s="27"/>
      <c r="U833" s="27"/>
    </row>
    <row r="834">
      <c r="S834" s="27"/>
      <c r="T834" s="27"/>
      <c r="U834" s="27"/>
    </row>
    <row r="836">
      <c r="S836" s="27"/>
      <c r="T836" s="27"/>
      <c r="U836" s="27"/>
    </row>
    <row r="837">
      <c r="S837" s="27"/>
      <c r="T837" s="27"/>
      <c r="U837" s="27"/>
    </row>
    <row r="839">
      <c r="S839" s="27"/>
      <c r="T839" s="27"/>
      <c r="U839" s="27"/>
    </row>
    <row r="840">
      <c r="S840" s="27"/>
      <c r="T840" s="27"/>
      <c r="U840" s="27"/>
    </row>
    <row r="842">
      <c r="S842" s="27"/>
      <c r="T842" s="27"/>
      <c r="U842" s="27"/>
    </row>
    <row r="843">
      <c r="S843" s="27"/>
      <c r="T843" s="27"/>
      <c r="U843" s="27"/>
    </row>
    <row r="845">
      <c r="S845" s="27"/>
      <c r="T845" s="27"/>
      <c r="U845" s="27"/>
    </row>
    <row r="846">
      <c r="S846" s="27"/>
      <c r="T846" s="27"/>
      <c r="U846" s="27"/>
    </row>
    <row r="848">
      <c r="S848" s="27"/>
      <c r="T848" s="27"/>
      <c r="U848" s="27"/>
    </row>
    <row r="849">
      <c r="S849" s="27"/>
      <c r="T849" s="27"/>
      <c r="U849" s="27"/>
    </row>
    <row r="851">
      <c r="S851" s="27"/>
      <c r="T851" s="27"/>
      <c r="U851" s="27"/>
    </row>
    <row r="853">
      <c r="S853" s="27"/>
      <c r="T853" s="27"/>
      <c r="U853" s="27"/>
    </row>
    <row r="855">
      <c r="S855" s="27"/>
      <c r="T855" s="27"/>
      <c r="U855" s="27"/>
    </row>
    <row r="857">
      <c r="S857" s="27"/>
      <c r="T857" s="27"/>
      <c r="U857" s="27"/>
    </row>
    <row r="859">
      <c r="S859" s="27"/>
      <c r="T859" s="27"/>
      <c r="U859" s="27"/>
    </row>
    <row r="860">
      <c r="S860" s="27"/>
      <c r="T860" s="27"/>
      <c r="U860" s="27"/>
    </row>
    <row r="862">
      <c r="S862" s="27"/>
      <c r="T862" s="27"/>
      <c r="U862" s="27"/>
    </row>
    <row r="863">
      <c r="S863" s="27"/>
      <c r="T863" s="27"/>
      <c r="U863" s="27"/>
    </row>
    <row r="865">
      <c r="S865" s="27"/>
      <c r="T865" s="27"/>
      <c r="U865" s="27"/>
    </row>
    <row r="866">
      <c r="S866" s="27"/>
      <c r="T866" s="27"/>
      <c r="U866" s="33"/>
    </row>
    <row r="868">
      <c r="S868" s="27"/>
      <c r="T868" s="27"/>
      <c r="U868" s="27"/>
    </row>
    <row r="869">
      <c r="S869" s="27"/>
      <c r="T869" s="27"/>
      <c r="U869" s="27"/>
    </row>
    <row r="871">
      <c r="S871" s="27"/>
      <c r="T871" s="27"/>
      <c r="U871" s="27"/>
    </row>
    <row r="872">
      <c r="S872" s="27"/>
      <c r="T872" s="27"/>
      <c r="U872" s="27"/>
    </row>
    <row r="874">
      <c r="S874" s="27"/>
      <c r="T874" s="27"/>
      <c r="U874" s="27"/>
    </row>
    <row r="875">
      <c r="S875" s="27"/>
      <c r="T875" s="27"/>
      <c r="U875" s="27"/>
    </row>
    <row r="877">
      <c r="S877" s="27"/>
      <c r="T877" s="27"/>
      <c r="U877" s="27"/>
    </row>
    <row r="878">
      <c r="S878" s="27"/>
      <c r="T878" s="27"/>
      <c r="U878" s="27"/>
    </row>
    <row r="883">
      <c r="S883" s="27"/>
      <c r="T883" s="27"/>
      <c r="U883" s="27"/>
    </row>
    <row r="886">
      <c r="S886" s="27"/>
      <c r="T886" s="27"/>
      <c r="U886" s="27"/>
    </row>
    <row r="887">
      <c r="S887" s="27"/>
      <c r="T887" s="27"/>
      <c r="U887" s="27"/>
    </row>
    <row r="889">
      <c r="S889" s="27"/>
      <c r="T889" s="27"/>
      <c r="U889" s="27"/>
    </row>
    <row r="890">
      <c r="S890" s="27"/>
      <c r="T890" s="27"/>
      <c r="U890" s="27"/>
    </row>
    <row r="892">
      <c r="S892" s="27"/>
      <c r="T892" s="27"/>
      <c r="U892" s="27"/>
    </row>
    <row r="893">
      <c r="S893" s="27"/>
      <c r="T893" s="27"/>
      <c r="U893" s="27"/>
    </row>
    <row r="895">
      <c r="S895" s="26"/>
      <c r="T895" s="26"/>
      <c r="U895" s="27"/>
    </row>
    <row r="898">
      <c r="S898" s="27"/>
      <c r="T898" s="27"/>
      <c r="U898" s="27"/>
    </row>
    <row r="899">
      <c r="S899" s="27"/>
      <c r="T899" s="27"/>
      <c r="U899" s="27"/>
    </row>
    <row r="901">
      <c r="S901" s="27"/>
      <c r="T901" s="27"/>
      <c r="U901" s="27"/>
    </row>
    <row r="902">
      <c r="S902" s="27"/>
      <c r="T902" s="27"/>
      <c r="U902" s="27"/>
    </row>
    <row r="904">
      <c r="S904" s="27"/>
      <c r="T904" s="27"/>
      <c r="U904" s="27"/>
    </row>
    <row r="905">
      <c r="S905" s="27"/>
      <c r="T905" s="27"/>
      <c r="U905" s="27"/>
    </row>
    <row r="907">
      <c r="S907" s="27"/>
      <c r="T907" s="27"/>
    </row>
    <row r="910">
      <c r="S910" s="26"/>
      <c r="T910" s="26"/>
      <c r="U910" s="26"/>
    </row>
    <row r="913">
      <c r="S913" s="27"/>
      <c r="T913" s="27"/>
      <c r="U913" s="27"/>
    </row>
    <row r="914">
      <c r="S914" s="27"/>
      <c r="T914" s="27"/>
      <c r="U914" s="27"/>
    </row>
    <row r="916">
      <c r="S916" s="27"/>
      <c r="T916" s="27"/>
      <c r="U916" s="27"/>
    </row>
    <row r="917">
      <c r="S917" s="27"/>
      <c r="T917" s="27"/>
      <c r="U917" s="27"/>
    </row>
    <row r="919">
      <c r="S919" s="26"/>
      <c r="T919" s="26"/>
      <c r="U919" s="26"/>
    </row>
    <row r="922">
      <c r="S922" s="27"/>
      <c r="T922" s="27"/>
      <c r="U922" s="27"/>
    </row>
    <row r="925">
      <c r="S925" s="27"/>
      <c r="T925" s="27"/>
      <c r="U925" s="27"/>
    </row>
    <row r="928">
      <c r="S928" s="27"/>
      <c r="T928" s="27"/>
      <c r="U928" s="27"/>
    </row>
    <row r="929">
      <c r="S929" s="27"/>
      <c r="T929" s="27"/>
      <c r="U929" s="27"/>
    </row>
    <row r="931">
      <c r="S931" s="27"/>
      <c r="T931" s="27"/>
      <c r="U931" s="27"/>
    </row>
    <row r="932">
      <c r="S932" s="27"/>
      <c r="T932" s="27"/>
      <c r="U932" s="27"/>
    </row>
    <row r="934">
      <c r="S934" s="27"/>
      <c r="T934" s="27"/>
      <c r="U934" s="27"/>
    </row>
    <row r="935">
      <c r="S935" s="27"/>
      <c r="T935" s="27"/>
      <c r="U935" s="27"/>
    </row>
    <row r="937">
      <c r="S937" s="27"/>
      <c r="T937" s="27"/>
      <c r="U937" s="27"/>
    </row>
    <row r="938">
      <c r="S938" s="27"/>
      <c r="T938" s="27"/>
      <c r="U938" s="27"/>
    </row>
    <row r="940">
      <c r="S940" s="27"/>
      <c r="T940" s="27"/>
      <c r="U940" s="27"/>
    </row>
    <row r="941">
      <c r="S941" s="27"/>
      <c r="T941" s="27"/>
      <c r="U941" s="27"/>
    </row>
    <row r="943">
      <c r="S943" s="27"/>
      <c r="T943" s="27"/>
      <c r="U943" s="27"/>
    </row>
    <row r="944">
      <c r="S944" s="27"/>
      <c r="T944" s="27"/>
      <c r="U944" s="27"/>
    </row>
    <row r="946">
      <c r="S946" s="27"/>
      <c r="T946" s="27"/>
      <c r="U946" s="27"/>
    </row>
    <row r="947">
      <c r="S947" s="27"/>
      <c r="T947" s="27"/>
      <c r="U947" s="27"/>
    </row>
    <row r="949">
      <c r="S949" s="27"/>
      <c r="T949" s="27"/>
      <c r="U949" s="27"/>
    </row>
    <row r="950">
      <c r="S950" s="27"/>
      <c r="T950" s="27"/>
      <c r="U950" s="27"/>
    </row>
    <row r="952">
      <c r="S952" s="27"/>
      <c r="T952" s="27"/>
      <c r="U952" s="27"/>
    </row>
    <row r="953">
      <c r="S953" s="27"/>
      <c r="T953" s="27"/>
      <c r="U953" s="27"/>
    </row>
    <row r="955">
      <c r="S955" s="27"/>
      <c r="T955" s="27"/>
      <c r="U955" s="27"/>
    </row>
    <row r="956">
      <c r="S956" s="27"/>
      <c r="T956" s="27"/>
      <c r="U956" s="27"/>
    </row>
    <row r="958">
      <c r="S958" s="27"/>
      <c r="T958" s="27"/>
      <c r="U958" s="27"/>
    </row>
    <row r="959">
      <c r="S959" s="27"/>
      <c r="T959" s="27"/>
      <c r="U959" s="27"/>
    </row>
    <row r="961">
      <c r="S961" s="27"/>
      <c r="T961" s="27"/>
      <c r="U961" s="27"/>
    </row>
    <row r="962">
      <c r="S962" s="27"/>
      <c r="T962" s="27"/>
      <c r="U962" s="27"/>
    </row>
    <row r="964">
      <c r="S964" s="27"/>
      <c r="T964" s="27"/>
      <c r="U964" s="27"/>
    </row>
    <row r="965">
      <c r="S965" s="27"/>
      <c r="T965" s="27"/>
      <c r="U965" s="27"/>
    </row>
    <row r="967">
      <c r="S967" s="27"/>
      <c r="T967" s="27"/>
      <c r="U967" s="27"/>
    </row>
    <row r="968">
      <c r="S968" s="27"/>
      <c r="T968" s="27"/>
      <c r="U968" s="27"/>
    </row>
    <row r="970">
      <c r="S970" s="27"/>
      <c r="T970" s="27"/>
      <c r="U970" s="27"/>
    </row>
    <row r="971">
      <c r="S971" s="27"/>
      <c r="T971" s="27"/>
      <c r="U971" s="27"/>
    </row>
    <row r="973">
      <c r="S973" s="27"/>
      <c r="T973" s="27"/>
      <c r="U973" s="27"/>
    </row>
    <row r="974">
      <c r="S974" s="27"/>
      <c r="T974" s="27"/>
      <c r="U974" s="27"/>
    </row>
    <row r="976">
      <c r="S976" s="27"/>
      <c r="T976" s="27"/>
      <c r="U976" s="27"/>
    </row>
    <row r="977">
      <c r="S977" s="27"/>
      <c r="T977" s="27"/>
      <c r="U977" s="27"/>
    </row>
    <row r="979">
      <c r="S979" s="27"/>
      <c r="T979" s="27"/>
      <c r="U979" s="27"/>
    </row>
    <row r="980">
      <c r="S980" s="27"/>
      <c r="T980" s="27"/>
      <c r="U980" s="27"/>
    </row>
    <row r="982">
      <c r="S982" s="27"/>
      <c r="T982" s="27"/>
      <c r="U982" s="27"/>
    </row>
    <row r="983">
      <c r="S983" s="27"/>
      <c r="T983" s="27"/>
      <c r="U983" s="27"/>
    </row>
    <row r="985">
      <c r="S985" s="27"/>
      <c r="T985" s="27"/>
      <c r="U985" s="27"/>
    </row>
    <row r="986">
      <c r="S986" s="27"/>
      <c r="T986" s="27"/>
      <c r="U986" s="27"/>
    </row>
    <row r="988">
      <c r="S988" s="27"/>
      <c r="T988" s="27"/>
      <c r="U988" s="27"/>
    </row>
    <row r="989">
      <c r="S989" s="27"/>
      <c r="T989" s="27"/>
      <c r="U989" s="27"/>
    </row>
    <row r="991">
      <c r="S991" s="27"/>
      <c r="T991" s="27"/>
      <c r="U991" s="27"/>
    </row>
    <row r="992">
      <c r="S992" s="27"/>
      <c r="T992" s="27"/>
      <c r="U992" s="27"/>
    </row>
    <row r="994">
      <c r="S994" s="27"/>
      <c r="T994" s="27"/>
      <c r="U994" s="27"/>
    </row>
    <row r="995">
      <c r="S995" s="27"/>
      <c r="T995" s="27"/>
      <c r="U995" s="27"/>
    </row>
    <row r="997">
      <c r="S997" s="27"/>
      <c r="T997" s="27"/>
      <c r="U997" s="27"/>
    </row>
    <row r="998">
      <c r="S998" s="27"/>
      <c r="T998" s="27"/>
      <c r="U998" s="27"/>
    </row>
    <row r="1000">
      <c r="S1000" s="27"/>
      <c r="T1000" s="27"/>
      <c r="U1000" s="27"/>
    </row>
    <row r="1001">
      <c r="S1001" s="27"/>
      <c r="T1001" s="27"/>
      <c r="U1001" s="27"/>
    </row>
    <row r="1003">
      <c r="S1003" s="27"/>
      <c r="T1003" s="27"/>
      <c r="U1003" s="27"/>
    </row>
    <row r="1004">
      <c r="S1004" s="27"/>
      <c r="T1004" s="27"/>
      <c r="U1004" s="27"/>
    </row>
    <row r="1006">
      <c r="S1006" s="27"/>
      <c r="T1006" s="27"/>
      <c r="U1006" s="27"/>
    </row>
    <row r="1007">
      <c r="S1007" s="27"/>
      <c r="T1007" s="27"/>
      <c r="U1007" s="27"/>
    </row>
    <row r="1009">
      <c r="S1009" s="27"/>
      <c r="U1009" s="33"/>
    </row>
    <row r="1010">
      <c r="S1010" s="27"/>
      <c r="U1010" s="27"/>
    </row>
    <row r="1012">
      <c r="S1012" s="27"/>
      <c r="T1012" s="27"/>
      <c r="U1012" s="27"/>
    </row>
    <row r="1013">
      <c r="S1013" s="27"/>
      <c r="T1013" s="27"/>
      <c r="U1013" s="27"/>
    </row>
    <row r="1015">
      <c r="S1015" s="27"/>
    </row>
    <row r="1016">
      <c r="S1016" s="26"/>
      <c r="T1016" s="26"/>
      <c r="U1016" s="26"/>
    </row>
    <row r="1018">
      <c r="S1018" s="27"/>
      <c r="T1018" s="27"/>
      <c r="U1018" s="27"/>
    </row>
    <row r="1019">
      <c r="S1019" s="27"/>
      <c r="T1019" s="27"/>
      <c r="U1019" s="27"/>
    </row>
    <row r="1021">
      <c r="S1021" s="27"/>
      <c r="T1021" s="27"/>
      <c r="U1021" s="27"/>
    </row>
    <row r="1022">
      <c r="S1022" s="27"/>
      <c r="T1022" s="27"/>
      <c r="U1022" s="27"/>
    </row>
    <row r="1024">
      <c r="S1024" s="27"/>
      <c r="T1024" s="27"/>
      <c r="U1024" s="27"/>
    </row>
    <row r="1025">
      <c r="S1025" s="27"/>
      <c r="T1025" s="27"/>
      <c r="U1025" s="27"/>
    </row>
    <row r="1027">
      <c r="S1027" s="26"/>
      <c r="T1027" s="26"/>
      <c r="U1027" s="26"/>
    </row>
    <row r="1030">
      <c r="S1030" s="26"/>
      <c r="T1030" s="26"/>
      <c r="U1030" s="26"/>
    </row>
    <row r="1033">
      <c r="S1033" s="27"/>
      <c r="T1033" s="27"/>
    </row>
    <row r="1035">
      <c r="U1035" s="27"/>
    </row>
    <row r="1037">
      <c r="S1037" s="26"/>
      <c r="T1037" s="26"/>
      <c r="U1037" s="26"/>
    </row>
    <row r="1040">
      <c r="S1040" s="27"/>
      <c r="T1040" s="27"/>
      <c r="U1040" s="27"/>
    </row>
    <row r="1043">
      <c r="S1043" s="27"/>
      <c r="T1043" s="27"/>
      <c r="U1043" s="27"/>
    </row>
    <row r="1044">
      <c r="S1044" s="27"/>
      <c r="T1044" s="27"/>
      <c r="U1044" s="27"/>
    </row>
    <row r="1046">
      <c r="S1046" s="27"/>
      <c r="T1046" s="27"/>
      <c r="U1046" s="27"/>
    </row>
    <row r="1047">
      <c r="S1047" s="27"/>
      <c r="T1047" s="27"/>
      <c r="U1047" s="27"/>
    </row>
    <row r="1049">
      <c r="S1049" s="27"/>
      <c r="T1049" s="27"/>
      <c r="U1049" s="27"/>
    </row>
    <row r="1050">
      <c r="S1050" s="27"/>
      <c r="T1050" s="27"/>
      <c r="U1050" s="27"/>
    </row>
    <row r="1052">
      <c r="S1052" s="27"/>
      <c r="T1052" s="27"/>
      <c r="U1052" s="27"/>
    </row>
    <row r="1053">
      <c r="S1053" s="27"/>
      <c r="T1053" s="27"/>
      <c r="U1053" s="26"/>
    </row>
    <row r="1056">
      <c r="S1056" s="27"/>
      <c r="T1056" s="27"/>
      <c r="U1056" s="27"/>
    </row>
    <row r="1061">
      <c r="S1061" s="27"/>
      <c r="T1061" s="27"/>
      <c r="U1061" s="27"/>
    </row>
    <row r="1062">
      <c r="S1062" s="27"/>
      <c r="T1062" s="27"/>
      <c r="U1062" s="27"/>
    </row>
    <row r="1064">
      <c r="S1064" s="27"/>
    </row>
    <row r="1065">
      <c r="S1065" s="27"/>
    </row>
    <row r="1067">
      <c r="S1067" s="27"/>
      <c r="T1067" s="27"/>
      <c r="U1067" s="27"/>
    </row>
    <row r="1068">
      <c r="S1068" s="27"/>
      <c r="T1068" s="27"/>
      <c r="U1068" s="27"/>
    </row>
    <row r="1070">
      <c r="S1070" s="33"/>
      <c r="T1070" s="33"/>
      <c r="U1070" s="33"/>
    </row>
    <row r="1073">
      <c r="U1073" s="27"/>
    </row>
    <row r="1074">
      <c r="U1074" s="27"/>
    </row>
    <row r="1076">
      <c r="S1076" s="27"/>
      <c r="T1076" s="27"/>
      <c r="U1076" s="27"/>
    </row>
    <row r="1079">
      <c r="S1079" s="27"/>
      <c r="T1079" s="27"/>
      <c r="U1079" s="27"/>
    </row>
    <row r="1080">
      <c r="S1080" s="33"/>
      <c r="T1080" s="33"/>
      <c r="U1080" s="33"/>
    </row>
    <row r="1085">
      <c r="S1085" s="27"/>
      <c r="T1085" s="27"/>
      <c r="U1085" s="27"/>
    </row>
    <row r="1086">
      <c r="S1086" s="27"/>
      <c r="T1086" s="27"/>
      <c r="U1086" s="27"/>
    </row>
    <row r="1088">
      <c r="S1088" s="27"/>
      <c r="T1088" s="27"/>
      <c r="U1088" s="27"/>
    </row>
    <row r="1089">
      <c r="S1089" s="27"/>
      <c r="T1089" s="27"/>
      <c r="U1089" s="27"/>
    </row>
    <row r="1091">
      <c r="S1091" s="27"/>
      <c r="T1091" s="27"/>
      <c r="U1091" s="27"/>
    </row>
    <row r="1092">
      <c r="S1092" s="27"/>
      <c r="T1092" s="27"/>
      <c r="U1092" s="27"/>
    </row>
    <row r="1094">
      <c r="S1094" s="27"/>
      <c r="T1094" s="27"/>
      <c r="U1094" s="27"/>
    </row>
    <row r="1095">
      <c r="S1095" s="27"/>
      <c r="T1095" s="27"/>
      <c r="U1095" s="27"/>
    </row>
    <row r="1100">
      <c r="S1100" s="27"/>
      <c r="T1100" s="27"/>
      <c r="U1100" s="27"/>
    </row>
    <row r="1101">
      <c r="S1101" s="27"/>
      <c r="T1101" s="27"/>
      <c r="U1101" s="27"/>
    </row>
    <row r="1103">
      <c r="S1103" s="27"/>
      <c r="T1103" s="27"/>
      <c r="U1103" s="27"/>
    </row>
    <row r="1104">
      <c r="S1104" s="27"/>
      <c r="T1104" s="27"/>
      <c r="U1104" s="27"/>
    </row>
    <row r="1106">
      <c r="S1106" s="27"/>
      <c r="T1106" s="27"/>
      <c r="U1106" s="27"/>
    </row>
    <row r="1109">
      <c r="T1109" s="26"/>
      <c r="U1109" s="26"/>
    </row>
    <row r="1110">
      <c r="S1110" s="27"/>
    </row>
    <row r="1115">
      <c r="S1115" s="27"/>
      <c r="T1115" s="27"/>
      <c r="U1115" s="27"/>
    </row>
    <row r="1116">
      <c r="S1116" s="27"/>
      <c r="T1116" s="27"/>
      <c r="U1116" s="27"/>
    </row>
    <row r="1119">
      <c r="S1119" s="26"/>
      <c r="T1119" s="26"/>
      <c r="U1119" s="26"/>
    </row>
    <row r="1121">
      <c r="S1121" s="27"/>
      <c r="T1121" s="27"/>
      <c r="U1121" s="27"/>
    </row>
    <row r="1122">
      <c r="S1122" s="27"/>
      <c r="T1122" s="27"/>
      <c r="U1122" s="27"/>
    </row>
    <row r="1124">
      <c r="S1124" s="26"/>
      <c r="T1124" s="26"/>
      <c r="U1124" s="26"/>
    </row>
    <row r="1127">
      <c r="S1127" s="27"/>
      <c r="T1127" s="27"/>
      <c r="U1127" s="27"/>
    </row>
    <row r="1130">
      <c r="S1130" s="27"/>
      <c r="T1130" s="27"/>
      <c r="U1130" s="27"/>
    </row>
    <row r="1131">
      <c r="S1131" s="27"/>
      <c r="T1131" s="27"/>
      <c r="U1131" s="27"/>
    </row>
    <row r="1133">
      <c r="S1133" s="27"/>
      <c r="T1133" s="27"/>
      <c r="U1133" s="27"/>
    </row>
    <row r="1134">
      <c r="S1134" s="27"/>
      <c r="T1134" s="27"/>
      <c r="U1134" s="27"/>
    </row>
    <row r="1136">
      <c r="S1136" s="27"/>
    </row>
    <row r="1137">
      <c r="U1137" s="26"/>
    </row>
    <row r="1139">
      <c r="S1139" s="27"/>
      <c r="T1139" s="27"/>
      <c r="U1139" s="27"/>
    </row>
    <row r="1140">
      <c r="S1140" s="27"/>
      <c r="T1140" s="27"/>
      <c r="U1140" s="27"/>
    </row>
    <row r="1142">
      <c r="S1142" s="27"/>
      <c r="T1142" s="27"/>
      <c r="U1142" s="27"/>
    </row>
    <row r="1143">
      <c r="S1143" s="27"/>
      <c r="T1143" s="27"/>
      <c r="U1143" s="27"/>
    </row>
    <row r="1145">
      <c r="S1145" s="27"/>
      <c r="T1145" s="27"/>
      <c r="U1145" s="27"/>
    </row>
    <row r="1148">
      <c r="S1148" s="27"/>
      <c r="T1148" s="27"/>
      <c r="U1148" s="27"/>
    </row>
    <row r="1149">
      <c r="S1149" s="27"/>
      <c r="T1149" s="27"/>
      <c r="U1149" s="27"/>
    </row>
    <row r="1151">
      <c r="S1151" s="27"/>
      <c r="T1151" s="27"/>
      <c r="U1151" s="27"/>
    </row>
    <row r="1152">
      <c r="S1152" s="27"/>
      <c r="T1152" s="27"/>
      <c r="U1152" s="27"/>
    </row>
    <row r="1154">
      <c r="S1154" s="27"/>
      <c r="T1154" s="27"/>
      <c r="U1154" s="27"/>
    </row>
    <row r="1155">
      <c r="S1155" s="27"/>
      <c r="T1155" s="27"/>
      <c r="U1155" s="27"/>
    </row>
    <row r="1157">
      <c r="S1157" s="27"/>
      <c r="T1157" s="27"/>
      <c r="U1157" s="27"/>
    </row>
    <row r="1158">
      <c r="S1158" s="27"/>
      <c r="T1158" s="27"/>
      <c r="U1158" s="27"/>
    </row>
    <row r="1160">
      <c r="S1160" s="27"/>
      <c r="T1160" s="27"/>
      <c r="U1160" s="27"/>
    </row>
    <row r="1161">
      <c r="S1161" s="27"/>
      <c r="T1161" s="27"/>
      <c r="U1161" s="27"/>
    </row>
    <row r="1163">
      <c r="S1163" s="27"/>
      <c r="T1163" s="27"/>
      <c r="U1163" s="27"/>
    </row>
    <row r="1164">
      <c r="S1164" s="27"/>
      <c r="T1164" s="27"/>
      <c r="U1164" s="27"/>
    </row>
    <row r="1166">
      <c r="S1166" s="27"/>
      <c r="T1166" s="27"/>
      <c r="U1166" s="27"/>
    </row>
    <row r="1167">
      <c r="S1167" s="27"/>
      <c r="T1167" s="27"/>
      <c r="U1167" s="27"/>
    </row>
    <row r="1169">
      <c r="S1169" s="27"/>
      <c r="T1169" s="27"/>
      <c r="U1169" s="27"/>
    </row>
    <row r="1170">
      <c r="S1170" s="27"/>
      <c r="T1170" s="27"/>
      <c r="U1170" s="27"/>
    </row>
    <row r="1172">
      <c r="S1172" s="27"/>
      <c r="T1172" s="27"/>
      <c r="U1172" s="27"/>
    </row>
    <row r="1173">
      <c r="S1173" s="27"/>
      <c r="T1173" s="27"/>
      <c r="U1173" s="27"/>
    </row>
    <row r="1175">
      <c r="S1175" s="27"/>
      <c r="T1175" s="27"/>
      <c r="U1175" s="27"/>
    </row>
    <row r="1176">
      <c r="S1176" s="27"/>
      <c r="T1176" s="27"/>
      <c r="U1176" s="27"/>
    </row>
    <row r="1178">
      <c r="S1178" s="27"/>
      <c r="T1178" s="27"/>
      <c r="U1178" s="27"/>
    </row>
    <row r="1179">
      <c r="S1179" s="27"/>
      <c r="T1179" s="27"/>
      <c r="U1179" s="27"/>
    </row>
    <row r="1181">
      <c r="S1181" s="27"/>
      <c r="T1181" s="27"/>
      <c r="U1181" s="27"/>
    </row>
    <row r="1182">
      <c r="S1182" s="27"/>
      <c r="T1182" s="27"/>
      <c r="U1182" s="27"/>
    </row>
    <row r="1184">
      <c r="S1184" s="27"/>
      <c r="T1184" s="27"/>
      <c r="U1184" s="27"/>
    </row>
    <row r="1185">
      <c r="S1185" s="27"/>
      <c r="T1185" s="27"/>
      <c r="U1185" s="27"/>
    </row>
    <row r="1187">
      <c r="S1187" s="27"/>
      <c r="T1187" s="27"/>
      <c r="U1187" s="27"/>
    </row>
    <row r="1188">
      <c r="S1188" s="27"/>
      <c r="T1188" s="27"/>
      <c r="U1188" s="27"/>
    </row>
    <row r="1190">
      <c r="S1190" s="27"/>
      <c r="T1190" s="27"/>
      <c r="U1190" s="27"/>
    </row>
    <row r="1191">
      <c r="S1191" s="27"/>
      <c r="T1191" s="27"/>
      <c r="U1191" s="27"/>
    </row>
    <row r="1193">
      <c r="S1193" s="27"/>
      <c r="T1193" s="27"/>
      <c r="U1193" s="27"/>
    </row>
    <row r="1194">
      <c r="S1194" s="27"/>
      <c r="T1194" s="27"/>
      <c r="U1194" s="27"/>
    </row>
    <row r="1196">
      <c r="S1196" s="27"/>
      <c r="T1196" s="27"/>
      <c r="U1196" s="27"/>
    </row>
    <row r="1197">
      <c r="S1197" s="27"/>
      <c r="T1197" s="27"/>
      <c r="U1197" s="27"/>
    </row>
    <row r="1199">
      <c r="S1199" s="27"/>
      <c r="T1199" s="27"/>
      <c r="U1199" s="27"/>
    </row>
    <row r="1200">
      <c r="S1200" s="27"/>
      <c r="T1200" s="27"/>
      <c r="U1200" s="27"/>
    </row>
    <row r="1202">
      <c r="S1202" s="27"/>
      <c r="T1202" s="27"/>
      <c r="U1202" s="27"/>
    </row>
    <row r="1203">
      <c r="S1203" s="27"/>
      <c r="T1203" s="27"/>
      <c r="U1203" s="27"/>
    </row>
    <row r="1205">
      <c r="S1205" s="27"/>
      <c r="T1205" s="27"/>
      <c r="U1205" s="27"/>
    </row>
    <row r="1206">
      <c r="S1206" s="27"/>
      <c r="T1206" s="27"/>
      <c r="U1206" s="27"/>
    </row>
    <row r="1208">
      <c r="S1208" s="27"/>
      <c r="T1208" s="27"/>
      <c r="U1208" s="27"/>
    </row>
    <row r="1209">
      <c r="S1209" s="27"/>
      <c r="T1209" s="27"/>
      <c r="U1209" s="27"/>
    </row>
    <row r="1211">
      <c r="S1211" s="27"/>
      <c r="T1211" s="27"/>
      <c r="U1211" s="27"/>
    </row>
    <row r="1212">
      <c r="S1212" s="27"/>
      <c r="T1212" s="27"/>
      <c r="U1212" s="27"/>
    </row>
    <row r="1214">
      <c r="S1214" s="27"/>
      <c r="T1214" s="27"/>
      <c r="U1214" s="27"/>
    </row>
    <row r="1215">
      <c r="S1215" s="27"/>
      <c r="T1215" s="27"/>
      <c r="U1215" s="27"/>
    </row>
    <row r="1217">
      <c r="S1217" s="27"/>
      <c r="T1217" s="27"/>
      <c r="U1217" s="27"/>
    </row>
    <row r="1218">
      <c r="S1218" s="27"/>
      <c r="T1218" s="27"/>
      <c r="U1218" s="27"/>
    </row>
    <row r="1220">
      <c r="S1220" s="27"/>
      <c r="T1220" s="27"/>
      <c r="U1220" s="27"/>
    </row>
    <row r="1221">
      <c r="S1221" s="27"/>
      <c r="T1221" s="27"/>
      <c r="U1221" s="27"/>
    </row>
    <row r="1223">
      <c r="S1223" s="27"/>
      <c r="T1223" s="27"/>
      <c r="U1223" s="27"/>
    </row>
    <row r="1224">
      <c r="S1224" s="27"/>
      <c r="T1224" s="27"/>
      <c r="U1224" s="27"/>
    </row>
    <row r="1226">
      <c r="S1226" s="27"/>
      <c r="T1226" s="27"/>
      <c r="U1226" s="27"/>
    </row>
    <row r="1227">
      <c r="S1227" s="27"/>
      <c r="T1227" s="27"/>
      <c r="U1227" s="27"/>
    </row>
    <row r="1229">
      <c r="S1229" s="27"/>
      <c r="T1229" s="27"/>
      <c r="U1229" s="27"/>
    </row>
    <row r="1230">
      <c r="S1230" s="27"/>
      <c r="T1230" s="27"/>
      <c r="U1230" s="27"/>
    </row>
    <row r="1232">
      <c r="S1232" s="27"/>
      <c r="T1232" s="27"/>
      <c r="U1232" s="27"/>
    </row>
    <row r="1233">
      <c r="S1233" s="27"/>
      <c r="T1233" s="27"/>
      <c r="U1233" s="27"/>
    </row>
    <row r="1235">
      <c r="S1235" s="27"/>
      <c r="T1235" s="27"/>
      <c r="U1235" s="27"/>
    </row>
    <row r="1237">
      <c r="S1237" s="27"/>
      <c r="T1237" s="27"/>
      <c r="U1237" s="27"/>
    </row>
    <row r="1238">
      <c r="S1238" s="27"/>
      <c r="T1238" s="27"/>
      <c r="U1238" s="27"/>
    </row>
    <row r="1240">
      <c r="S1240" s="27"/>
      <c r="T1240" s="27"/>
      <c r="U1240" s="27"/>
    </row>
    <row r="1241">
      <c r="S1241" s="27"/>
      <c r="T1241" s="27"/>
      <c r="U1241" s="27"/>
    </row>
    <row r="1243">
      <c r="S1243" s="27"/>
      <c r="T1243" s="27"/>
      <c r="U1243" s="27"/>
    </row>
    <row r="1244">
      <c r="S1244" s="27"/>
      <c r="T1244" s="27"/>
      <c r="U1244" s="27"/>
    </row>
    <row r="1246">
      <c r="S1246" s="27"/>
      <c r="T1246" s="27"/>
      <c r="U1246" s="27"/>
    </row>
    <row r="1247">
      <c r="S1247" s="27"/>
      <c r="T1247" s="27"/>
      <c r="U1247" s="27"/>
    </row>
    <row r="1249">
      <c r="S1249" s="27"/>
      <c r="T1249" s="27"/>
      <c r="U1249" s="27"/>
    </row>
    <row r="1250">
      <c r="S1250" s="27"/>
      <c r="T1250" s="27"/>
      <c r="U1250" s="27"/>
    </row>
    <row r="1252">
      <c r="S1252" s="27"/>
      <c r="T1252" s="27"/>
      <c r="U1252" s="27"/>
    </row>
    <row r="1253">
      <c r="S1253" s="27"/>
      <c r="T1253" s="27"/>
      <c r="U1253" s="27"/>
    </row>
    <row r="1255">
      <c r="S1255" s="27"/>
      <c r="T1255" s="27"/>
      <c r="U1255" s="27"/>
    </row>
    <row r="1256">
      <c r="S1256" s="27"/>
      <c r="T1256" s="27"/>
      <c r="U1256" s="27"/>
    </row>
    <row r="1258">
      <c r="S1258" s="27"/>
      <c r="T1258" s="27"/>
      <c r="U1258" s="27"/>
    </row>
    <row r="1260">
      <c r="S1260" s="27"/>
      <c r="T1260" s="27"/>
      <c r="U1260" s="27"/>
    </row>
    <row r="1262">
      <c r="T1262" s="27"/>
      <c r="U1262" s="27"/>
    </row>
    <row r="1264">
      <c r="S1264" s="27"/>
      <c r="T1264" s="27"/>
      <c r="U1264" s="27"/>
    </row>
    <row r="1267">
      <c r="S1267" s="27"/>
      <c r="T1267" s="27"/>
      <c r="U1267" s="27"/>
    </row>
    <row r="1269">
      <c r="S1269" s="27"/>
      <c r="T1269" s="27"/>
      <c r="U1269" s="27"/>
    </row>
    <row r="1270">
      <c r="S1270" s="27"/>
      <c r="T1270" s="27"/>
      <c r="U1270" s="27"/>
    </row>
    <row r="1272">
      <c r="S1272" s="27"/>
      <c r="T1272" s="27"/>
      <c r="U1272" s="27"/>
    </row>
    <row r="1273">
      <c r="S1273" s="27"/>
      <c r="T1273" s="27"/>
      <c r="U1273" s="33"/>
    </row>
    <row r="1275">
      <c r="S1275" s="27"/>
      <c r="T1275" s="27"/>
      <c r="U1275" s="27"/>
    </row>
    <row r="1276">
      <c r="S1276" s="27"/>
      <c r="T1276" s="27"/>
      <c r="U1276" s="27"/>
    </row>
    <row r="1279">
      <c r="U1279" s="27"/>
    </row>
    <row r="1281">
      <c r="S1281" s="27"/>
      <c r="T1281" s="27"/>
      <c r="U1281" s="27"/>
    </row>
    <row r="1282">
      <c r="S1282" s="27"/>
      <c r="T1282" s="27"/>
      <c r="U1282" s="27"/>
    </row>
    <row r="1287">
      <c r="S1287" s="26"/>
    </row>
    <row r="1290">
      <c r="S1290" s="33"/>
      <c r="T1290" s="33"/>
      <c r="U1290" s="33"/>
    </row>
    <row r="1291">
      <c r="S1291" s="26"/>
      <c r="T1291" s="26"/>
      <c r="U1291" s="26"/>
    </row>
    <row r="1293">
      <c r="S1293" s="27"/>
      <c r="T1293" s="27"/>
      <c r="U1293" s="27"/>
    </row>
    <row r="1294">
      <c r="S1294" s="27"/>
      <c r="T1294" s="27"/>
      <c r="U1294" s="27"/>
    </row>
    <row r="1296">
      <c r="S1296" s="27"/>
      <c r="T1296" s="27"/>
      <c r="U1296" s="27"/>
    </row>
    <row r="1297">
      <c r="S1297" s="27"/>
      <c r="T1297" s="27"/>
      <c r="U1297" s="27"/>
    </row>
    <row r="1299">
      <c r="S1299" s="27"/>
      <c r="T1299" s="27"/>
      <c r="U1299" s="27"/>
    </row>
    <row r="1300">
      <c r="S1300" s="27"/>
      <c r="T1300" s="27"/>
      <c r="U1300" s="27"/>
    </row>
    <row r="1302">
      <c r="U1302" s="27"/>
    </row>
    <row r="1305">
      <c r="S1305" s="27"/>
      <c r="T1305" s="27"/>
      <c r="U1305" s="27"/>
    </row>
    <row r="1306">
      <c r="S1306" s="27"/>
      <c r="T1306" s="27"/>
      <c r="U1306" s="27"/>
    </row>
    <row r="1308">
      <c r="S1308" s="27"/>
      <c r="T1308" s="27"/>
      <c r="U1308" s="27"/>
    </row>
    <row r="1309">
      <c r="S1309" s="27"/>
      <c r="T1309" s="27"/>
      <c r="U1309" s="27"/>
    </row>
    <row r="1311">
      <c r="S1311" s="27"/>
      <c r="T1311" s="27"/>
      <c r="U1311" s="27"/>
    </row>
    <row r="1312">
      <c r="S1312" s="27"/>
    </row>
    <row r="1314">
      <c r="S1314" s="27"/>
      <c r="T1314" s="27"/>
      <c r="U1314" s="27"/>
    </row>
    <row r="1317">
      <c r="S1317" s="26"/>
      <c r="T1317" s="26"/>
      <c r="U1317" s="26"/>
    </row>
    <row r="1320">
      <c r="S1320" s="27"/>
      <c r="T1320" s="27"/>
      <c r="U1320" s="27"/>
    </row>
    <row r="1321">
      <c r="S1321" s="27"/>
      <c r="T1321" s="27"/>
      <c r="U1321" s="27"/>
    </row>
    <row r="1323">
      <c r="S1323" s="27"/>
      <c r="T1323" s="27"/>
      <c r="U1323" s="27"/>
    </row>
    <row r="1324">
      <c r="S1324" s="27"/>
      <c r="T1324" s="27"/>
      <c r="U1324" s="27"/>
    </row>
    <row r="1329">
      <c r="S1329" s="27"/>
    </row>
    <row r="1332">
      <c r="S1332" s="27"/>
      <c r="T1332" s="27"/>
      <c r="U1332" s="27"/>
    </row>
    <row r="1335">
      <c r="S1335" s="27"/>
      <c r="T1335" s="27"/>
      <c r="U1335" s="27"/>
    </row>
    <row r="1336">
      <c r="S1336" s="27"/>
      <c r="T1336" s="27"/>
      <c r="U1336" s="27"/>
    </row>
    <row r="1338">
      <c r="S1338" s="27"/>
      <c r="T1338" s="27"/>
      <c r="U1338" s="27"/>
    </row>
    <row r="1339">
      <c r="S1339" s="27"/>
      <c r="T1339" s="27"/>
      <c r="U1339" s="27"/>
    </row>
    <row r="1341">
      <c r="S1341" s="27"/>
      <c r="T1341" s="27"/>
      <c r="U1341" s="27"/>
    </row>
    <row r="1342">
      <c r="S1342" s="27"/>
      <c r="T1342" s="27"/>
      <c r="U1342" s="27"/>
    </row>
    <row r="1344">
      <c r="S1344" s="27"/>
      <c r="T1344" s="27"/>
      <c r="U1344" s="27"/>
    </row>
    <row r="1345">
      <c r="S1345" s="27"/>
      <c r="T1345" s="27"/>
      <c r="U1345" s="27"/>
    </row>
    <row r="1347">
      <c r="S1347" s="27"/>
      <c r="T1347" s="27"/>
      <c r="U1347" s="27"/>
    </row>
    <row r="1348">
      <c r="S1348" s="27"/>
      <c r="T1348" s="27"/>
      <c r="U1348" s="27"/>
    </row>
    <row r="1350">
      <c r="S1350" s="27"/>
      <c r="T1350" s="27"/>
      <c r="U1350" s="27"/>
    </row>
    <row r="1351">
      <c r="S1351" s="27"/>
      <c r="T1351" s="27"/>
      <c r="U1351" s="27"/>
    </row>
    <row r="1353">
      <c r="S1353" s="27"/>
      <c r="T1353" s="27"/>
      <c r="U1353" s="27"/>
    </row>
    <row r="1354">
      <c r="S1354" s="27"/>
      <c r="T1354" s="27"/>
      <c r="U1354" s="27"/>
    </row>
    <row r="1356">
      <c r="S1356" s="27"/>
      <c r="T1356" s="27"/>
      <c r="U1356" s="27"/>
    </row>
    <row r="1357">
      <c r="S1357" s="27"/>
      <c r="T1357" s="27"/>
      <c r="U1357" s="27"/>
    </row>
    <row r="1359">
      <c r="S1359" s="27"/>
      <c r="T1359" s="27"/>
      <c r="U1359" s="27"/>
    </row>
    <row r="1360">
      <c r="S1360" s="27"/>
      <c r="T1360" s="27"/>
      <c r="U1360" s="27"/>
    </row>
    <row r="1362">
      <c r="S1362" s="27"/>
      <c r="T1362" s="27"/>
      <c r="U1362" s="27"/>
    </row>
    <row r="1363">
      <c r="S1363" s="27"/>
      <c r="T1363" s="27"/>
      <c r="U1363" s="27"/>
    </row>
    <row r="1365">
      <c r="S1365" s="27"/>
      <c r="T1365" s="27"/>
      <c r="U1365" s="27"/>
    </row>
    <row r="1366">
      <c r="S1366" s="27"/>
      <c r="T1366" s="27"/>
      <c r="U1366" s="27"/>
    </row>
    <row r="1368">
      <c r="S1368" s="27"/>
      <c r="T1368" s="27"/>
      <c r="U1368" s="27"/>
    </row>
    <row r="1369">
      <c r="S1369" s="27"/>
      <c r="T1369" s="27"/>
      <c r="U1369" s="27"/>
    </row>
    <row r="1371">
      <c r="S1371" s="27"/>
      <c r="T1371" s="27"/>
      <c r="U1371" s="27"/>
    </row>
    <row r="1372">
      <c r="S1372" s="27"/>
      <c r="T1372" s="27"/>
      <c r="U1372" s="27"/>
    </row>
    <row r="1374">
      <c r="S1374" s="27"/>
      <c r="T1374" s="27"/>
      <c r="U1374" s="27"/>
    </row>
    <row r="1375">
      <c r="S1375" s="27"/>
      <c r="T1375" s="27"/>
      <c r="U1375" s="27"/>
    </row>
    <row r="1377">
      <c r="S1377" s="27"/>
      <c r="T1377" s="27"/>
      <c r="U1377" s="27"/>
    </row>
    <row r="1378">
      <c r="S1378" s="27"/>
      <c r="T1378" s="27"/>
      <c r="U1378" s="27"/>
    </row>
    <row r="1380">
      <c r="S1380" s="27"/>
      <c r="T1380" s="27"/>
      <c r="U1380" s="27"/>
    </row>
    <row r="1381">
      <c r="S1381" s="27"/>
      <c r="T1381" s="27"/>
      <c r="U1381" s="27"/>
    </row>
    <row r="1383">
      <c r="S1383" s="27"/>
      <c r="T1383" s="27"/>
      <c r="U1383" s="27"/>
    </row>
    <row r="1384">
      <c r="S1384" s="27"/>
      <c r="T1384" s="27"/>
      <c r="U1384" s="27"/>
    </row>
    <row r="1386">
      <c r="S1386" s="27"/>
      <c r="T1386" s="27"/>
      <c r="U1386" s="27"/>
    </row>
    <row r="1387">
      <c r="S1387" s="27"/>
      <c r="T1387" s="27"/>
      <c r="U1387" s="27"/>
    </row>
    <row r="1389">
      <c r="S1389" s="27"/>
      <c r="T1389" s="27"/>
      <c r="U1389" s="27"/>
    </row>
    <row r="1390">
      <c r="S1390" s="27"/>
      <c r="T1390" s="27"/>
      <c r="U1390" s="27"/>
    </row>
    <row r="1392">
      <c r="S1392" s="27"/>
      <c r="T1392" s="27"/>
      <c r="U1392" s="27"/>
    </row>
    <row r="1393">
      <c r="S1393" s="27"/>
      <c r="T1393" s="27"/>
      <c r="U1393" s="27"/>
    </row>
    <row r="1395">
      <c r="S1395" s="27"/>
      <c r="T1395" s="27"/>
      <c r="U1395" s="27"/>
    </row>
    <row r="1396">
      <c r="S1396" s="27"/>
      <c r="T1396" s="27"/>
      <c r="U1396" s="27"/>
    </row>
    <row r="1398">
      <c r="S1398" s="27"/>
      <c r="T1398" s="27"/>
      <c r="U1398" s="27"/>
    </row>
    <row r="1399">
      <c r="S1399" s="27"/>
      <c r="T1399" s="27"/>
      <c r="U1399" s="27"/>
    </row>
    <row r="1401">
      <c r="S1401" s="27"/>
      <c r="T1401" s="27"/>
      <c r="U1401" s="27"/>
    </row>
    <row r="1402">
      <c r="S1402" s="27"/>
      <c r="T1402" s="27"/>
      <c r="U1402" s="27"/>
    </row>
    <row r="1404">
      <c r="S1404" s="27"/>
      <c r="T1404" s="27"/>
      <c r="U1404" s="27"/>
    </row>
    <row r="1405">
      <c r="S1405" s="27"/>
      <c r="T1405" s="27"/>
      <c r="U1405" s="27"/>
    </row>
    <row r="1407">
      <c r="S1407" s="27"/>
      <c r="T1407" s="27"/>
      <c r="U1407" s="27"/>
    </row>
    <row r="1408">
      <c r="S1408" s="27"/>
      <c r="T1408" s="27"/>
      <c r="U1408" s="27"/>
    </row>
    <row r="1410">
      <c r="S1410" s="27"/>
      <c r="T1410" s="27"/>
      <c r="U1410" s="27"/>
    </row>
    <row r="1411">
      <c r="S1411" s="27"/>
      <c r="T1411" s="27"/>
      <c r="U1411" s="27"/>
    </row>
    <row r="1413">
      <c r="S1413" s="27"/>
      <c r="T1413" s="27"/>
      <c r="U1413" s="27"/>
    </row>
    <row r="1414">
      <c r="S1414" s="27"/>
    </row>
    <row r="1416">
      <c r="S1416" s="27"/>
      <c r="T1416" s="33"/>
      <c r="U1416" s="27"/>
    </row>
    <row r="1417">
      <c r="T1417" s="27"/>
      <c r="U1417" s="27"/>
    </row>
    <row r="1419">
      <c r="S1419" s="27"/>
      <c r="T1419" s="27"/>
      <c r="U1419" s="27"/>
    </row>
    <row r="1420">
      <c r="S1420" s="27"/>
      <c r="T1420" s="27"/>
      <c r="U1420" s="27"/>
    </row>
    <row r="1422">
      <c r="S1422" s="27"/>
      <c r="T1422" s="27"/>
      <c r="U1422" s="27"/>
    </row>
    <row r="1423">
      <c r="T1423" s="27"/>
      <c r="U1423" s="27"/>
    </row>
    <row r="1425">
      <c r="S1425" s="27"/>
      <c r="T1425" s="27"/>
      <c r="U1425" s="27"/>
    </row>
    <row r="1426">
      <c r="S1426" s="27"/>
      <c r="T1426" s="27"/>
      <c r="U1426" s="27"/>
    </row>
    <row r="1428">
      <c r="S1428" s="27"/>
      <c r="T1428" s="27"/>
      <c r="U1428" s="27"/>
    </row>
    <row r="1429">
      <c r="S1429" s="27"/>
      <c r="T1429" s="27"/>
      <c r="U1429" s="27"/>
    </row>
    <row r="1431">
      <c r="S1431" s="27"/>
      <c r="T1431" s="27"/>
      <c r="U1431" s="27"/>
    </row>
    <row r="1432">
      <c r="S1432" s="27"/>
      <c r="T1432" s="27"/>
      <c r="U1432" s="27"/>
    </row>
    <row r="1434">
      <c r="T1434" s="26"/>
    </row>
    <row r="1437">
      <c r="S1437" s="26"/>
      <c r="T1437" s="26"/>
      <c r="U1437" s="26"/>
    </row>
    <row r="1440">
      <c r="S1440" s="27"/>
      <c r="T1440" s="27"/>
      <c r="U1440" s="27"/>
    </row>
    <row r="1442">
      <c r="S1442" s="27"/>
      <c r="T1442" s="27"/>
      <c r="U1442" s="27"/>
    </row>
    <row r="1444">
      <c r="S1444" s="27"/>
      <c r="T1444" s="26"/>
      <c r="U1444" s="26"/>
    </row>
    <row r="1447">
      <c r="S1447" s="27"/>
      <c r="T1447" s="27"/>
      <c r="U1447" s="27"/>
    </row>
    <row r="1450">
      <c r="S1450" s="27"/>
      <c r="T1450" s="27"/>
      <c r="U1450" s="27"/>
    </row>
    <row r="1451">
      <c r="S1451" s="27"/>
      <c r="T1451" s="27"/>
      <c r="U1451" s="27"/>
    </row>
    <row r="1453">
      <c r="S1453" s="27"/>
      <c r="T1453" s="27"/>
      <c r="U1453" s="27"/>
    </row>
    <row r="1454">
      <c r="S1454" s="27"/>
      <c r="T1454" s="27"/>
      <c r="U1454" s="27"/>
    </row>
    <row r="1456">
      <c r="S1456" s="27"/>
      <c r="T1456" s="27"/>
      <c r="U1456" s="27"/>
    </row>
    <row r="1457">
      <c r="U1457" s="27"/>
    </row>
    <row r="1459">
      <c r="S1459" s="27"/>
      <c r="T1459" s="27"/>
    </row>
    <row r="1460">
      <c r="S1460" s="27"/>
      <c r="T1460" s="27"/>
      <c r="U1460" s="27"/>
    </row>
    <row r="1462">
      <c r="S1462" s="27"/>
      <c r="T1462" s="27"/>
      <c r="U1462" s="27"/>
    </row>
    <row r="1463">
      <c r="S1463" s="27"/>
      <c r="T1463" s="27"/>
      <c r="U1463" s="27"/>
    </row>
    <row r="1468">
      <c r="S1468" s="27"/>
      <c r="T1468" s="27"/>
      <c r="U1468" s="27"/>
    </row>
    <row r="1469">
      <c r="S1469" s="27"/>
      <c r="T1469" s="27"/>
      <c r="U1469" s="27"/>
    </row>
    <row r="1471">
      <c r="S1471" s="27"/>
      <c r="T1471" s="27"/>
      <c r="U1471" s="27"/>
    </row>
    <row r="1472">
      <c r="S1472" s="27"/>
      <c r="T1472" s="27"/>
      <c r="U1472" s="27"/>
    </row>
    <row r="1474">
      <c r="S1474" s="27"/>
      <c r="T1474" s="27"/>
      <c r="U1474" s="27"/>
    </row>
    <row r="1475">
      <c r="S1475" s="27"/>
      <c r="T1475" s="27"/>
      <c r="U1475" s="27"/>
    </row>
    <row r="1477">
      <c r="S1477" s="33"/>
      <c r="T1477" s="33"/>
      <c r="U1477" s="33"/>
    </row>
    <row r="1483">
      <c r="S1483" s="27"/>
      <c r="T1483" s="27"/>
      <c r="U1483" s="27"/>
    </row>
    <row r="1486">
      <c r="S1486" s="27"/>
      <c r="T1486" s="27"/>
      <c r="U1486" s="27"/>
    </row>
    <row r="1487">
      <c r="S1487" s="33"/>
      <c r="T1487" s="33"/>
      <c r="U1487" s="33"/>
    </row>
    <row r="1489">
      <c r="S1489" s="27"/>
      <c r="T1489" s="26"/>
      <c r="U1489" s="26"/>
    </row>
    <row r="1490">
      <c r="S1490" s="26"/>
      <c r="T1490" s="26"/>
      <c r="U1490" s="26"/>
    </row>
    <row r="1492">
      <c r="S1492" s="27"/>
      <c r="T1492" s="27"/>
      <c r="U1492" s="27"/>
    </row>
    <row r="1493">
      <c r="S1493" s="27"/>
      <c r="T1493" s="27"/>
      <c r="U1493" s="27"/>
    </row>
    <row r="1495">
      <c r="S1495" s="27"/>
      <c r="T1495" s="27"/>
      <c r="U1495" s="27"/>
    </row>
    <row r="1496">
      <c r="S1496" s="27"/>
      <c r="T1496" s="27"/>
      <c r="U1496" s="27"/>
    </row>
    <row r="1498">
      <c r="S1498" s="27"/>
      <c r="T1498" s="27"/>
      <c r="U1498" s="27"/>
    </row>
    <row r="1499">
      <c r="S1499" s="27"/>
      <c r="T1499" s="27"/>
      <c r="U1499" s="27"/>
    </row>
    <row r="1501">
      <c r="S1501" s="27"/>
      <c r="T1501" s="27"/>
      <c r="U1501" s="27"/>
    </row>
    <row r="1502">
      <c r="S1502" s="27"/>
      <c r="T1502" s="27"/>
      <c r="U1502" s="27"/>
    </row>
    <row r="1504">
      <c r="T1504" s="27"/>
      <c r="U1504" s="27"/>
    </row>
    <row r="1507">
      <c r="S1507" s="27"/>
      <c r="T1507" s="27"/>
      <c r="U1507" s="33"/>
    </row>
    <row r="1508">
      <c r="S1508" s="27"/>
      <c r="T1508" s="27"/>
      <c r="U1508" s="27"/>
    </row>
    <row r="1510">
      <c r="S1510" s="27"/>
      <c r="T1510" s="27"/>
      <c r="U1510" s="27"/>
    </row>
    <row r="1511">
      <c r="S1511" s="27"/>
      <c r="T1511" s="27"/>
      <c r="U1511" s="27"/>
    </row>
    <row r="1513">
      <c r="S1513" s="27"/>
      <c r="T1513" s="27"/>
      <c r="U1513" s="27"/>
    </row>
    <row r="1516">
      <c r="S1516" s="26"/>
      <c r="T1516" s="26"/>
      <c r="U1516" s="27"/>
    </row>
    <row r="1517">
      <c r="U1517" s="27"/>
    </row>
    <row r="1519">
      <c r="S1519" s="27"/>
      <c r="T1519" s="27"/>
      <c r="U1519" s="27"/>
    </row>
    <row r="1520">
      <c r="S1520" s="27"/>
      <c r="T1520" s="27"/>
      <c r="U1520" s="27"/>
    </row>
    <row r="1522">
      <c r="S1522" s="27"/>
      <c r="T1522" s="27"/>
      <c r="U1522" s="27"/>
    </row>
    <row r="1523">
      <c r="S1523" s="27"/>
      <c r="T1523" s="27"/>
      <c r="U1523" s="27"/>
    </row>
    <row r="1525">
      <c r="S1525" s="27"/>
      <c r="T1525" s="27"/>
      <c r="U1525" s="27"/>
    </row>
    <row r="1528">
      <c r="S1528" s="27"/>
      <c r="T1528" s="27"/>
      <c r="U1528" s="27"/>
    </row>
    <row r="1529">
      <c r="S1529" s="27"/>
      <c r="T1529" s="27"/>
      <c r="U1529" s="27"/>
    </row>
    <row r="1534">
      <c r="S1534" s="27"/>
      <c r="T1534" s="27"/>
      <c r="U1534" s="27"/>
    </row>
    <row r="1537">
      <c r="S1537" s="27"/>
      <c r="T1537" s="27"/>
      <c r="U1537" s="27"/>
    </row>
    <row r="1538">
      <c r="S1538" s="27"/>
      <c r="T1538" s="27"/>
      <c r="U1538" s="27"/>
    </row>
    <row r="1540">
      <c r="S1540" s="27"/>
      <c r="T1540" s="27"/>
      <c r="U1540" s="27"/>
    </row>
    <row r="1541">
      <c r="S1541" s="27"/>
      <c r="T1541" s="27"/>
      <c r="U1541" s="27"/>
    </row>
    <row r="1543">
      <c r="S1543" s="27"/>
      <c r="T1543" s="27"/>
      <c r="U1543" s="27"/>
    </row>
    <row r="1544">
      <c r="S1544" s="27"/>
      <c r="T1544" s="27"/>
      <c r="U1544" s="27"/>
    </row>
    <row r="1546">
      <c r="S1546" s="27"/>
    </row>
    <row r="1547">
      <c r="T1547" s="26"/>
      <c r="U1547" s="26"/>
    </row>
    <row r="1549">
      <c r="S1549" s="27"/>
      <c r="T1549" s="27"/>
      <c r="U1549" s="27"/>
    </row>
    <row r="1550">
      <c r="S1550" s="27"/>
      <c r="T1550" s="27"/>
      <c r="U1550" s="27"/>
    </row>
    <row r="1552">
      <c r="S1552" s="27"/>
      <c r="T1552" s="27"/>
      <c r="U1552" s="27"/>
    </row>
    <row r="1553">
      <c r="S1553" s="27"/>
      <c r="T1553" s="27"/>
      <c r="U1553" s="27"/>
    </row>
    <row r="1555">
      <c r="S1555" s="27"/>
      <c r="T1555" s="27"/>
      <c r="U1555" s="27"/>
    </row>
    <row r="1556">
      <c r="S1556" s="27"/>
      <c r="T1556" s="27"/>
      <c r="U1556" s="27"/>
    </row>
    <row r="1558">
      <c r="S1558" s="27"/>
      <c r="T1558" s="27"/>
      <c r="U1558" s="27"/>
    </row>
    <row r="1559">
      <c r="S1559" s="27"/>
      <c r="T1559" s="27"/>
      <c r="U1559" s="27"/>
    </row>
    <row r="1561">
      <c r="S1561" s="27"/>
      <c r="T1561" s="27"/>
      <c r="U1561" s="27"/>
    </row>
    <row r="1562">
      <c r="S1562" s="27"/>
      <c r="T1562" s="27"/>
      <c r="U1562" s="27"/>
    </row>
    <row r="1564">
      <c r="S1564" s="27"/>
      <c r="T1564" s="27"/>
      <c r="U1564" s="27"/>
    </row>
    <row r="1565">
      <c r="S1565" s="27"/>
      <c r="T1565" s="27"/>
      <c r="U1565" s="27"/>
    </row>
    <row r="1567">
      <c r="S1567" s="27"/>
      <c r="T1567" s="27"/>
      <c r="U1567" s="27"/>
    </row>
    <row r="1568">
      <c r="S1568" s="27"/>
      <c r="T1568" s="27"/>
      <c r="U1568" s="27"/>
    </row>
    <row r="1570">
      <c r="S1570" s="27"/>
      <c r="T1570" s="27"/>
      <c r="U1570" s="27"/>
    </row>
    <row r="1571">
      <c r="S1571" s="27"/>
      <c r="T1571" s="27"/>
      <c r="U1571" s="27"/>
    </row>
    <row r="1573">
      <c r="S1573" s="27"/>
      <c r="T1573" s="27"/>
      <c r="U1573" s="27"/>
    </row>
    <row r="1574">
      <c r="S1574" s="27"/>
      <c r="T1574" s="27"/>
      <c r="U1574" s="27"/>
    </row>
    <row r="1576">
      <c r="S1576" s="27"/>
      <c r="T1576" s="27"/>
      <c r="U1576" s="27"/>
    </row>
    <row r="1577">
      <c r="S1577" s="27"/>
      <c r="T1577" s="27"/>
      <c r="U1577" s="27"/>
    </row>
    <row r="1579">
      <c r="S1579" s="27"/>
      <c r="T1579" s="27"/>
      <c r="U1579" s="27"/>
    </row>
    <row r="1580">
      <c r="S1580" s="27"/>
      <c r="T1580" s="27"/>
      <c r="U1580" s="27"/>
    </row>
    <row r="1582">
      <c r="S1582" s="27"/>
      <c r="T1582" s="27"/>
      <c r="U1582" s="27"/>
    </row>
    <row r="1583">
      <c r="S1583" s="27"/>
      <c r="T1583" s="27"/>
      <c r="U1583" s="27"/>
    </row>
    <row r="1585">
      <c r="S1585" s="27"/>
      <c r="T1585" s="27"/>
      <c r="U1585" s="27"/>
    </row>
    <row r="1586">
      <c r="S1586" s="27"/>
      <c r="T1586" s="27"/>
      <c r="U1586" s="27"/>
    </row>
    <row r="1588">
      <c r="S1588" s="27"/>
      <c r="T1588" s="27"/>
      <c r="U1588" s="27"/>
    </row>
    <row r="1589">
      <c r="S1589" s="27"/>
      <c r="T1589" s="27"/>
      <c r="U1589" s="27"/>
    </row>
    <row r="1591">
      <c r="S1591" s="27"/>
      <c r="T1591" s="27"/>
      <c r="U1591" s="27"/>
    </row>
    <row r="1592">
      <c r="S1592" s="27"/>
      <c r="T1592" s="27"/>
      <c r="U1592" s="27"/>
    </row>
    <row r="1594">
      <c r="S1594" s="27"/>
      <c r="T1594" s="27"/>
      <c r="U1594" s="27"/>
    </row>
    <row r="1595">
      <c r="S1595" s="27"/>
      <c r="T1595" s="27"/>
      <c r="U1595" s="27"/>
    </row>
    <row r="1597">
      <c r="S1597" s="27"/>
      <c r="T1597" s="27"/>
      <c r="U1597" s="27"/>
    </row>
    <row r="1598">
      <c r="S1598" s="27"/>
      <c r="T1598" s="27"/>
      <c r="U1598" s="27"/>
    </row>
    <row r="1600">
      <c r="S1600" s="27"/>
      <c r="T1600" s="27"/>
      <c r="U1600" s="27"/>
    </row>
    <row r="1601">
      <c r="S1601" s="27"/>
      <c r="T1601" s="27"/>
      <c r="U1601" s="27"/>
    </row>
    <row r="1603">
      <c r="S1603" s="27"/>
      <c r="T1603" s="27"/>
      <c r="U1603" s="27"/>
    </row>
    <row r="1604">
      <c r="S1604" s="27"/>
      <c r="T1604" s="27"/>
      <c r="U1604" s="27"/>
    </row>
    <row r="1606">
      <c r="S1606" s="27"/>
      <c r="T1606" s="27"/>
      <c r="U1606" s="27"/>
    </row>
    <row r="1607">
      <c r="S1607" s="27"/>
      <c r="T1607" s="27"/>
      <c r="U1607" s="27"/>
    </row>
    <row r="1609">
      <c r="S1609" s="27"/>
      <c r="T1609" s="27"/>
      <c r="U1609" s="27"/>
    </row>
    <row r="1610">
      <c r="S1610" s="27"/>
      <c r="T1610" s="27"/>
      <c r="U1610" s="27"/>
    </row>
    <row r="1612">
      <c r="S1612" s="27"/>
      <c r="T1612" s="27"/>
      <c r="U1612" s="27"/>
    </row>
    <row r="1613">
      <c r="S1613" s="27"/>
      <c r="T1613" s="27"/>
      <c r="U1613" s="27"/>
    </row>
    <row r="1615">
      <c r="S1615" s="27"/>
      <c r="T1615" s="27"/>
      <c r="U1615" s="27"/>
    </row>
    <row r="1616">
      <c r="S1616" s="27"/>
      <c r="T1616" s="27"/>
      <c r="U1616" s="27"/>
    </row>
    <row r="1618">
      <c r="S1618" s="27"/>
      <c r="T1618" s="27"/>
      <c r="U1618" s="27"/>
    </row>
    <row r="1619">
      <c r="S1619" s="27"/>
      <c r="T1619" s="27"/>
      <c r="U1619" s="27"/>
    </row>
    <row r="1621">
      <c r="S1621" s="27"/>
      <c r="T1621" s="27"/>
      <c r="U1621" s="27"/>
    </row>
    <row r="1622">
      <c r="S1622" s="27"/>
      <c r="T1622" s="27"/>
      <c r="U1622" s="27"/>
    </row>
    <row r="1624">
      <c r="S1624" s="27"/>
      <c r="T1624" s="27"/>
      <c r="U1624" s="27"/>
    </row>
    <row r="1625">
      <c r="S1625" s="27"/>
      <c r="T1625" s="27"/>
      <c r="U1625" s="27"/>
    </row>
    <row r="1627">
      <c r="S1627" s="27"/>
      <c r="T1627" s="27"/>
      <c r="U1627" s="27"/>
    </row>
    <row r="1628">
      <c r="S1628" s="27"/>
      <c r="T1628" s="27"/>
      <c r="U1628" s="27"/>
    </row>
    <row r="1630">
      <c r="S1630" s="27"/>
      <c r="T1630" s="27"/>
      <c r="U1630" s="27"/>
    </row>
    <row r="1631">
      <c r="S1631" s="27"/>
      <c r="T1631" s="27"/>
      <c r="U1631" s="27"/>
    </row>
    <row r="1633">
      <c r="S1633" s="27"/>
      <c r="T1633" s="27"/>
      <c r="U1633" s="27"/>
    </row>
    <row r="1634">
      <c r="S1634" s="27"/>
      <c r="T1634" s="27"/>
      <c r="U1634" s="27"/>
    </row>
    <row r="1636">
      <c r="S1636" s="27"/>
      <c r="T1636" s="27"/>
      <c r="U1636" s="27"/>
    </row>
    <row r="1637">
      <c r="S1637" s="27"/>
      <c r="T1637" s="27"/>
      <c r="U1637" s="27"/>
    </row>
    <row r="1639">
      <c r="S1639" s="27"/>
      <c r="T1639" s="27"/>
      <c r="U1639" s="27"/>
    </row>
    <row r="1640">
      <c r="S1640" s="27"/>
      <c r="T1640" s="27"/>
      <c r="U1640" s="27"/>
    </row>
    <row r="1642">
      <c r="S1642" s="27"/>
      <c r="T1642" s="27"/>
      <c r="U1642" s="27"/>
    </row>
    <row r="1643">
      <c r="S1643" s="27"/>
      <c r="T1643" s="27"/>
      <c r="U1643" s="27"/>
    </row>
    <row r="1645">
      <c r="S1645" s="27"/>
      <c r="T1645" s="27"/>
      <c r="U1645" s="27"/>
    </row>
    <row r="1647">
      <c r="S1647" s="27"/>
      <c r="T1647" s="27"/>
      <c r="U1647" s="27"/>
    </row>
    <row r="1648">
      <c r="S1648" s="27"/>
      <c r="T1648" s="27"/>
      <c r="U1648" s="27"/>
    </row>
    <row r="1650">
      <c r="S1650" s="27"/>
      <c r="T1650" s="27"/>
      <c r="U1650" s="27"/>
    </row>
    <row r="1651">
      <c r="S1651" s="27"/>
      <c r="T1651" s="27"/>
      <c r="U1651" s="27"/>
    </row>
    <row r="1653">
      <c r="S1653" s="27"/>
      <c r="T1653" s="27"/>
      <c r="U1653" s="27"/>
    </row>
    <row r="1654">
      <c r="S1654" s="27"/>
      <c r="T1654" s="27"/>
      <c r="U1654" s="27"/>
    </row>
    <row r="1656">
      <c r="S1656" s="27"/>
      <c r="T1656" s="27"/>
      <c r="U1656" s="27"/>
    </row>
    <row r="1657">
      <c r="S1657" s="27"/>
      <c r="T1657" s="27"/>
      <c r="U1657" s="27"/>
    </row>
    <row r="1659">
      <c r="S1659" s="27"/>
      <c r="T1659" s="27"/>
      <c r="U1659" s="27"/>
    </row>
    <row r="1660">
      <c r="S1660" s="27"/>
      <c r="T1660" s="27"/>
      <c r="U1660" s="27"/>
    </row>
    <row r="1662">
      <c r="S1662" s="27"/>
      <c r="T1662" s="27"/>
      <c r="U1662" s="27"/>
    </row>
    <row r="1663">
      <c r="S1663" s="27"/>
      <c r="T1663" s="27"/>
      <c r="U1663" s="27"/>
    </row>
    <row r="1665">
      <c r="S1665" s="27"/>
      <c r="T1665" s="27"/>
      <c r="U1665" s="27"/>
    </row>
    <row r="1666">
      <c r="S1666" s="27"/>
      <c r="T1666" s="27"/>
      <c r="U1666" s="27"/>
    </row>
    <row r="1668">
      <c r="S1668" s="27"/>
      <c r="T1668" s="27"/>
      <c r="U1668" s="27"/>
    </row>
    <row r="1670">
      <c r="S1670" s="27"/>
      <c r="T1670" s="27"/>
      <c r="U1670" s="27"/>
    </row>
    <row r="1672">
      <c r="T1672" s="27"/>
      <c r="U1672" s="27"/>
    </row>
    <row r="1674">
      <c r="S1674" s="27"/>
      <c r="T1674" s="27"/>
      <c r="U1674" s="27"/>
    </row>
    <row r="1676">
      <c r="S1676" s="27"/>
      <c r="T1676" s="27"/>
      <c r="U1676" s="27"/>
    </row>
    <row r="1677">
      <c r="S1677" s="27"/>
      <c r="T1677" s="27"/>
      <c r="U1677" s="27"/>
    </row>
    <row r="1679">
      <c r="S1679" s="27"/>
      <c r="T1679" s="27"/>
      <c r="U1679" s="27"/>
    </row>
    <row r="1680">
      <c r="S1680" s="27"/>
      <c r="T1680" s="27"/>
      <c r="U1680" s="27"/>
    </row>
    <row r="1682">
      <c r="S1682" s="27"/>
      <c r="T1682" s="27"/>
      <c r="U1682" s="27"/>
    </row>
    <row r="1683">
      <c r="S1683" s="33"/>
      <c r="T1683" s="33"/>
      <c r="U1683" s="27"/>
    </row>
    <row r="1685">
      <c r="S1685" s="27"/>
      <c r="T1685" s="27"/>
      <c r="U1685" s="27"/>
    </row>
    <row r="1686">
      <c r="S1686" s="27"/>
      <c r="T1686" s="27"/>
      <c r="U1686" s="27"/>
    </row>
    <row r="1688">
      <c r="S1688" s="27"/>
      <c r="T1688" s="27"/>
      <c r="U1688" s="27"/>
    </row>
    <row r="1689">
      <c r="S1689" s="27"/>
      <c r="T1689" s="27"/>
      <c r="U1689" s="27"/>
    </row>
    <row r="1691">
      <c r="S1691" s="27"/>
      <c r="T1691" s="27"/>
      <c r="U1691" s="27"/>
    </row>
    <row r="1692">
      <c r="S1692" s="27"/>
      <c r="T1692" s="27"/>
      <c r="U1692" s="27"/>
    </row>
    <row r="1700">
      <c r="S1700" s="27"/>
      <c r="T1700" s="27"/>
      <c r="U1700" s="27"/>
    </row>
    <row r="1703">
      <c r="S1703" s="27"/>
      <c r="T1703" s="27"/>
      <c r="U1703" s="27"/>
    </row>
    <row r="1704">
      <c r="S1704" s="27"/>
      <c r="T1704" s="27"/>
      <c r="U1704" s="27"/>
    </row>
    <row r="1706">
      <c r="S1706" s="27"/>
      <c r="T1706" s="27"/>
      <c r="U1706" s="27"/>
    </row>
    <row r="1707">
      <c r="S1707" s="27"/>
      <c r="T1707" s="27"/>
      <c r="U1707" s="27"/>
    </row>
    <row r="1709">
      <c r="S1709" s="27"/>
      <c r="T1709" s="27"/>
      <c r="U1709" s="27"/>
    </row>
    <row r="1710">
      <c r="S1710" s="27"/>
      <c r="T1710" s="27"/>
      <c r="U1710" s="27"/>
    </row>
    <row r="1712">
      <c r="U1712" s="26"/>
    </row>
    <row r="1715">
      <c r="S1715" s="27"/>
      <c r="T1715" s="27"/>
      <c r="U1715" s="27"/>
    </row>
    <row r="1716">
      <c r="S1716" s="27"/>
      <c r="T1716" s="27"/>
      <c r="U1716" s="27"/>
    </row>
    <row r="1718">
      <c r="S1718" s="27"/>
      <c r="T1718" s="27"/>
      <c r="U1718" s="27"/>
    </row>
    <row r="1719">
      <c r="S1719" s="27"/>
      <c r="T1719" s="27"/>
      <c r="U1719" s="27"/>
    </row>
    <row r="1721">
      <c r="S1721" s="27"/>
      <c r="T1721" s="27"/>
      <c r="U1721" s="27"/>
    </row>
    <row r="1722">
      <c r="T1722" s="27"/>
      <c r="U1722" s="27"/>
    </row>
    <row r="1727">
      <c r="S1727" s="26"/>
      <c r="T1727" s="26"/>
      <c r="U1727" s="26"/>
    </row>
    <row r="1730">
      <c r="S1730" s="27"/>
      <c r="T1730" s="27"/>
      <c r="U1730" s="27"/>
    </row>
    <row r="1731">
      <c r="S1731" s="27"/>
      <c r="T1731" s="27"/>
      <c r="U1731" s="27"/>
    </row>
    <row r="1733">
      <c r="S1733" s="27"/>
      <c r="T1733" s="27"/>
      <c r="U1733" s="27"/>
    </row>
    <row r="1734">
      <c r="S1734" s="27"/>
      <c r="T1734" s="27"/>
      <c r="U1734" s="27"/>
    </row>
    <row r="1742">
      <c r="S1742" s="27"/>
      <c r="T1742" s="27"/>
      <c r="U1742" s="27"/>
    </row>
    <row r="1745">
      <c r="S1745" s="27"/>
      <c r="T1745" s="27"/>
      <c r="U1745" s="27"/>
    </row>
    <row r="1746">
      <c r="S1746" s="27"/>
      <c r="T1746" s="27"/>
      <c r="U1746" s="27"/>
    </row>
    <row r="1748">
      <c r="S1748" s="27"/>
      <c r="T1748" s="27"/>
      <c r="U1748" s="27"/>
    </row>
    <row r="1749">
      <c r="S1749" s="27"/>
      <c r="T1749" s="27"/>
      <c r="U1749" s="27"/>
    </row>
    <row r="1751">
      <c r="S1751" s="27"/>
      <c r="T1751" s="27"/>
      <c r="U1751" s="27"/>
    </row>
    <row r="1752">
      <c r="S1752" s="27"/>
      <c r="T1752" s="27"/>
      <c r="U1752" s="27"/>
    </row>
    <row r="1754">
      <c r="S1754" s="27"/>
      <c r="T1754" s="27"/>
      <c r="U1754" s="27"/>
    </row>
    <row r="1755">
      <c r="S1755" s="27"/>
      <c r="T1755" s="27"/>
      <c r="U1755" s="27"/>
    </row>
    <row r="1757">
      <c r="S1757" s="27"/>
      <c r="T1757" s="27"/>
      <c r="U1757" s="27"/>
    </row>
    <row r="1758">
      <c r="S1758" s="27"/>
      <c r="T1758" s="27"/>
      <c r="U1758" s="27"/>
    </row>
    <row r="1760">
      <c r="S1760" s="27"/>
      <c r="T1760" s="27"/>
      <c r="U1760" s="27"/>
    </row>
    <row r="1761">
      <c r="S1761" s="27"/>
      <c r="T1761" s="27"/>
      <c r="U1761" s="27"/>
    </row>
    <row r="1763">
      <c r="S1763" s="27"/>
      <c r="T1763" s="27"/>
      <c r="U1763" s="27"/>
    </row>
    <row r="1764">
      <c r="S1764" s="27"/>
      <c r="T1764" s="27"/>
      <c r="U1764" s="27"/>
    </row>
    <row r="1766">
      <c r="S1766" s="27"/>
      <c r="T1766" s="27"/>
      <c r="U1766" s="27"/>
    </row>
    <row r="1767">
      <c r="S1767" s="27"/>
      <c r="T1767" s="27"/>
      <c r="U1767" s="27"/>
    </row>
    <row r="1769">
      <c r="S1769" s="27"/>
      <c r="T1769" s="27"/>
      <c r="U1769" s="27"/>
    </row>
    <row r="1770">
      <c r="S1770" s="27"/>
      <c r="T1770" s="27"/>
      <c r="U1770" s="27"/>
    </row>
    <row r="1772">
      <c r="S1772" s="27"/>
      <c r="T1772" s="27"/>
      <c r="U1772" s="27"/>
    </row>
    <row r="1773">
      <c r="S1773" s="27"/>
      <c r="T1773" s="27"/>
      <c r="U1773" s="27"/>
    </row>
    <row r="1775">
      <c r="S1775" s="27"/>
      <c r="T1775" s="27"/>
      <c r="U1775" s="27"/>
    </row>
    <row r="1776">
      <c r="S1776" s="27"/>
      <c r="T1776" s="27"/>
      <c r="U1776" s="27"/>
    </row>
    <row r="1778">
      <c r="S1778" s="27"/>
      <c r="T1778" s="27"/>
      <c r="U1778" s="27"/>
    </row>
    <row r="1779">
      <c r="S1779" s="27"/>
      <c r="T1779" s="27"/>
      <c r="U1779" s="27"/>
    </row>
    <row r="1781">
      <c r="S1781" s="27"/>
      <c r="T1781" s="27"/>
      <c r="U1781" s="27"/>
    </row>
    <row r="1782">
      <c r="S1782" s="27"/>
      <c r="T1782" s="27"/>
      <c r="U1782" s="27"/>
    </row>
    <row r="1784">
      <c r="S1784" s="27"/>
      <c r="T1784" s="27"/>
      <c r="U1784" s="27"/>
    </row>
    <row r="1785">
      <c r="S1785" s="27"/>
      <c r="T1785" s="27"/>
      <c r="U1785" s="27"/>
    </row>
    <row r="1787">
      <c r="S1787" s="27"/>
      <c r="T1787" s="27"/>
      <c r="U1787" s="27"/>
    </row>
    <row r="1788">
      <c r="S1788" s="27"/>
      <c r="T1788" s="27"/>
      <c r="U1788" s="27"/>
    </row>
    <row r="1790">
      <c r="S1790" s="27"/>
      <c r="T1790" s="27"/>
      <c r="U1790" s="27"/>
    </row>
    <row r="1791">
      <c r="S1791" s="27"/>
      <c r="T1791" s="27"/>
      <c r="U1791" s="27"/>
    </row>
    <row r="1793">
      <c r="S1793" s="27"/>
      <c r="T1793" s="27"/>
      <c r="U1793" s="27"/>
    </row>
    <row r="1794">
      <c r="S1794" s="27"/>
      <c r="T1794" s="27"/>
      <c r="U1794" s="27"/>
    </row>
    <row r="1796">
      <c r="S1796" s="27"/>
      <c r="T1796" s="27"/>
      <c r="U1796" s="27"/>
    </row>
    <row r="1797">
      <c r="S1797" s="27"/>
      <c r="T1797" s="27"/>
      <c r="U1797" s="27"/>
    </row>
    <row r="1799">
      <c r="U1799" s="27"/>
    </row>
    <row r="1800">
      <c r="U1800" s="27"/>
    </row>
    <row r="1802">
      <c r="S1802" s="27"/>
      <c r="T1802" s="27"/>
      <c r="U1802" s="27"/>
    </row>
    <row r="1803">
      <c r="S1803" s="27"/>
      <c r="T1803" s="27"/>
      <c r="U1803" s="27"/>
    </row>
    <row r="1805">
      <c r="S1805" s="27"/>
      <c r="T1805" s="27"/>
      <c r="U1805" s="27"/>
    </row>
    <row r="1806">
      <c r="S1806" s="27"/>
      <c r="T1806" s="27"/>
      <c r="U1806" s="27"/>
    </row>
    <row r="1808">
      <c r="S1808" s="27"/>
      <c r="T1808" s="27"/>
      <c r="U1808" s="27"/>
    </row>
    <row r="1809">
      <c r="S1809" s="27"/>
      <c r="T1809" s="27"/>
      <c r="U1809" s="27"/>
    </row>
    <row r="1811">
      <c r="S1811" s="27"/>
      <c r="T1811" s="27"/>
      <c r="U1811" s="27"/>
    </row>
    <row r="1812">
      <c r="S1812" s="27"/>
      <c r="T1812" s="27"/>
      <c r="U1812" s="27"/>
    </row>
    <row r="1814">
      <c r="S1814" s="27"/>
      <c r="T1814" s="27"/>
      <c r="U1814" s="27"/>
    </row>
    <row r="1815">
      <c r="S1815" s="27"/>
      <c r="T1815" s="27"/>
      <c r="U1815" s="27"/>
    </row>
    <row r="1820">
      <c r="S1820" s="27"/>
      <c r="T1820" s="27"/>
    </row>
    <row r="1823">
      <c r="S1823" s="27"/>
      <c r="T1823" s="27"/>
      <c r="U1823" s="27"/>
    </row>
    <row r="1826">
      <c r="S1826" s="33"/>
      <c r="T1826" s="27"/>
    </row>
    <row r="1827">
      <c r="S1827" s="27"/>
    </row>
    <row r="1829">
      <c r="S1829" s="27"/>
      <c r="T1829" s="27"/>
      <c r="U1829" s="27"/>
    </row>
    <row r="1830">
      <c r="S1830" s="27"/>
      <c r="T1830" s="27"/>
      <c r="U1830" s="27"/>
    </row>
    <row r="1832">
      <c r="S1832" s="26"/>
      <c r="T1832" s="26"/>
      <c r="U1832" s="26"/>
    </row>
    <row r="1835">
      <c r="S1835" s="27"/>
      <c r="U1835" s="27"/>
    </row>
    <row r="1836">
      <c r="S1836" s="27"/>
      <c r="T1836" s="27"/>
      <c r="U1836" s="27"/>
    </row>
    <row r="1838">
      <c r="S1838" s="27"/>
      <c r="T1838" s="27"/>
      <c r="U1838" s="27"/>
    </row>
    <row r="1839">
      <c r="S1839" s="27"/>
      <c r="T1839" s="27"/>
      <c r="U1839" s="27"/>
    </row>
    <row r="1841">
      <c r="S1841" s="27"/>
      <c r="T1841" s="27"/>
      <c r="U1841" s="27"/>
    </row>
    <row r="1842">
      <c r="S1842" s="27"/>
      <c r="T1842" s="27"/>
      <c r="U1842" s="27"/>
    </row>
    <row r="1847">
      <c r="T1847" s="26"/>
      <c r="U1847" s="26"/>
    </row>
    <row r="1850">
      <c r="S1850" s="27"/>
      <c r="T1850" s="27"/>
      <c r="U1850" s="27"/>
    </row>
    <row r="1852">
      <c r="S1852" s="27"/>
      <c r="T1852" s="27"/>
      <c r="U1852" s="27"/>
    </row>
    <row r="1854">
      <c r="S1854" s="26"/>
      <c r="T1854" s="26"/>
      <c r="U1854" s="26"/>
    </row>
    <row r="1857">
      <c r="U1857" s="27"/>
    </row>
    <row r="1860">
      <c r="S1860" s="27"/>
      <c r="T1860" s="27"/>
      <c r="U1860" s="27"/>
    </row>
    <row r="1861">
      <c r="S1861" s="27"/>
      <c r="T1861" s="27"/>
      <c r="U1861" s="27"/>
    </row>
    <row r="1863">
      <c r="S1863" s="27"/>
      <c r="T1863" s="27"/>
      <c r="U1863" s="27"/>
    </row>
    <row r="1864">
      <c r="S1864" s="27"/>
      <c r="T1864" s="27"/>
      <c r="U1864" s="27"/>
    </row>
    <row r="1866">
      <c r="S1866" s="27"/>
      <c r="T1866" s="33"/>
      <c r="U1866" s="27"/>
    </row>
    <row r="1867">
      <c r="S1867" s="27"/>
      <c r="T1867" s="27"/>
      <c r="U1867" s="27"/>
    </row>
    <row r="1870">
      <c r="S1870" s="26"/>
      <c r="T1870" s="26"/>
      <c r="U1870" s="27"/>
    </row>
    <row r="1872">
      <c r="S1872" s="27"/>
      <c r="T1872" s="27"/>
      <c r="U1872" s="27"/>
    </row>
    <row r="1873">
      <c r="S1873" s="27"/>
      <c r="T1873" s="27"/>
      <c r="U1873" s="27"/>
    </row>
    <row r="1878">
      <c r="S1878" s="27"/>
      <c r="T1878" s="27"/>
      <c r="U1878" s="27"/>
    </row>
    <row r="1879">
      <c r="S1879" s="27"/>
      <c r="T1879" s="27"/>
      <c r="U1879" s="27"/>
    </row>
    <row r="1881">
      <c r="S1881" s="27"/>
      <c r="T1881" s="27"/>
      <c r="U1881" s="27"/>
    </row>
    <row r="1882">
      <c r="S1882" s="27"/>
      <c r="T1882" s="27"/>
      <c r="U1882" s="27"/>
    </row>
    <row r="1884">
      <c r="S1884" s="27"/>
      <c r="T1884" s="27"/>
      <c r="U1884" s="27"/>
    </row>
    <row r="1885">
      <c r="S1885" s="27"/>
      <c r="T1885" s="27"/>
      <c r="U1885" s="27"/>
    </row>
    <row r="1887">
      <c r="S1887" s="27"/>
      <c r="T1887" s="27"/>
      <c r="U1887" s="27"/>
    </row>
    <row r="1888">
      <c r="S1888" s="27"/>
      <c r="T1888" s="27"/>
      <c r="U1888" s="27"/>
    </row>
    <row r="1890">
      <c r="S1890" s="27"/>
      <c r="T1890" s="27"/>
      <c r="U1890" s="27"/>
    </row>
    <row r="1893">
      <c r="S1893" s="27"/>
      <c r="T1893" s="27"/>
      <c r="U1893" s="27"/>
    </row>
    <row r="1894">
      <c r="S1894" s="33"/>
      <c r="T1894" s="33"/>
      <c r="U1894" s="33"/>
    </row>
    <row r="1896">
      <c r="S1896" s="27"/>
      <c r="T1896" s="27"/>
      <c r="U1896" s="27"/>
    </row>
    <row r="1899">
      <c r="S1899" s="27"/>
      <c r="T1899" s="27"/>
      <c r="U1899" s="27"/>
    </row>
    <row r="1900">
      <c r="S1900" s="27"/>
      <c r="T1900" s="27"/>
      <c r="U1900" s="27"/>
    </row>
    <row r="1902">
      <c r="S1902" s="27"/>
      <c r="T1902" s="27"/>
      <c r="U1902" s="27"/>
    </row>
    <row r="1903">
      <c r="S1903" s="27"/>
      <c r="T1903" s="27"/>
      <c r="U1903" s="27"/>
    </row>
    <row r="1905">
      <c r="S1905" s="27"/>
      <c r="T1905" s="27"/>
      <c r="U1905" s="27"/>
    </row>
    <row r="1906">
      <c r="S1906" s="27"/>
      <c r="T1906" s="27"/>
      <c r="U1906" s="27"/>
    </row>
    <row r="1908">
      <c r="S1908" s="27"/>
      <c r="T1908" s="27"/>
      <c r="U1908" s="27"/>
    </row>
    <row r="1909">
      <c r="S1909" s="27"/>
      <c r="T1909" s="27"/>
      <c r="U1909" s="27"/>
    </row>
    <row r="1911">
      <c r="T1911" s="26"/>
    </row>
    <row r="1914">
      <c r="S1914" s="27"/>
      <c r="T1914" s="27"/>
      <c r="U1914" s="27"/>
    </row>
    <row r="1915">
      <c r="S1915" s="27"/>
      <c r="T1915" s="27"/>
      <c r="U1915" s="27"/>
    </row>
    <row r="1917">
      <c r="S1917" s="27"/>
      <c r="T1917" s="27"/>
      <c r="U1917" s="27"/>
    </row>
    <row r="1918">
      <c r="S1918" s="27"/>
      <c r="T1918" s="27"/>
      <c r="U1918" s="27"/>
    </row>
    <row r="1920">
      <c r="S1920" s="27"/>
    </row>
    <row r="1923">
      <c r="S1923" s="27"/>
      <c r="T1923" s="27"/>
    </row>
    <row r="1924">
      <c r="S1924" s="27"/>
      <c r="T1924" s="27"/>
      <c r="U1924" s="27"/>
    </row>
    <row r="1926">
      <c r="S1926" s="27"/>
      <c r="T1926" s="27"/>
      <c r="U1926" s="27"/>
    </row>
    <row r="1927">
      <c r="S1927" s="27"/>
      <c r="T1927" s="27"/>
      <c r="U1927" s="27"/>
    </row>
    <row r="1929">
      <c r="S1929" s="27"/>
      <c r="T1929" s="27"/>
      <c r="U1929" s="27"/>
    </row>
    <row r="1930">
      <c r="S1930" s="27"/>
      <c r="T1930" s="27"/>
      <c r="U1930" s="27"/>
    </row>
    <row r="1932">
      <c r="S1932" s="27"/>
      <c r="T1932" s="27"/>
      <c r="U1932" s="27"/>
    </row>
    <row r="1935">
      <c r="S1935" s="27"/>
      <c r="T1935" s="27"/>
      <c r="U1935" s="27"/>
    </row>
    <row r="1936">
      <c r="S1936" s="27"/>
      <c r="T1936" s="27"/>
      <c r="U1936" s="27"/>
    </row>
    <row r="1941">
      <c r="S1941" s="27"/>
      <c r="T1941" s="27"/>
      <c r="U1941" s="27"/>
    </row>
    <row r="1944">
      <c r="S1944" s="27"/>
      <c r="T1944" s="27"/>
      <c r="U1944" s="27"/>
    </row>
    <row r="1945">
      <c r="S1945" s="27"/>
      <c r="T1945" s="27"/>
      <c r="U1945" s="27"/>
    </row>
    <row r="1947">
      <c r="S1947" s="33"/>
      <c r="T1947" s="27"/>
      <c r="U1947" s="27"/>
    </row>
    <row r="1948">
      <c r="S1948" s="26"/>
      <c r="T1948" s="27"/>
      <c r="U1948" s="27"/>
    </row>
    <row r="1950">
      <c r="S1950" s="27"/>
      <c r="T1950" s="27"/>
      <c r="U1950" s="27"/>
    </row>
    <row r="1951">
      <c r="S1951" s="27"/>
      <c r="T1951" s="27"/>
      <c r="U1951" s="27"/>
    </row>
    <row r="1953">
      <c r="S1953" s="27"/>
    </row>
    <row r="1954">
      <c r="T1954" s="26"/>
      <c r="U1954" s="26"/>
    </row>
    <row r="1956">
      <c r="S1956" s="27"/>
      <c r="T1956" s="27"/>
      <c r="U1956" s="27"/>
    </row>
    <row r="1957">
      <c r="S1957" s="27"/>
      <c r="T1957" s="27"/>
      <c r="U1957" s="27"/>
    </row>
    <row r="1959">
      <c r="S1959" s="27"/>
      <c r="T1959" s="27"/>
      <c r="U1959" s="27"/>
    </row>
    <row r="1960">
      <c r="S1960" s="27"/>
      <c r="T1960" s="27"/>
      <c r="U1960" s="27"/>
    </row>
    <row r="1962">
      <c r="S1962" s="27"/>
      <c r="T1962" s="27"/>
      <c r="U1962" s="27"/>
    </row>
    <row r="1963">
      <c r="S1963" s="27"/>
      <c r="T1963" s="27"/>
      <c r="U1963" s="27"/>
    </row>
    <row r="1965">
      <c r="S1965" s="27"/>
      <c r="T1965" s="27"/>
      <c r="U1965" s="27"/>
    </row>
    <row r="1966">
      <c r="S1966" s="27"/>
      <c r="T1966" s="27"/>
      <c r="U1966" s="27"/>
    </row>
    <row r="1968">
      <c r="S1968" s="27"/>
      <c r="T1968" s="27"/>
      <c r="U1968" s="27"/>
    </row>
    <row r="1969">
      <c r="S1969" s="27"/>
      <c r="T1969" s="27"/>
      <c r="U1969" s="27"/>
    </row>
    <row r="1971">
      <c r="S1971" s="27"/>
      <c r="T1971" s="27"/>
      <c r="U1971" s="27"/>
    </row>
    <row r="1972">
      <c r="S1972" s="27"/>
      <c r="T1972" s="27"/>
      <c r="U1972" s="27"/>
    </row>
    <row r="1974">
      <c r="S1974" s="27"/>
      <c r="T1974" s="27"/>
      <c r="U1974" s="27"/>
    </row>
    <row r="1975">
      <c r="S1975" s="27"/>
      <c r="T1975" s="27"/>
      <c r="U1975" s="27"/>
    </row>
    <row r="1977">
      <c r="S1977" s="27"/>
      <c r="T1977" s="27"/>
      <c r="U1977" s="27"/>
    </row>
    <row r="1978">
      <c r="S1978" s="27"/>
      <c r="T1978" s="27"/>
      <c r="U1978" s="27"/>
    </row>
    <row r="1980">
      <c r="S1980" s="27"/>
      <c r="T1980" s="27"/>
      <c r="U1980" s="27"/>
    </row>
    <row r="1981">
      <c r="S1981" s="27"/>
      <c r="T1981" s="27"/>
      <c r="U1981" s="27"/>
    </row>
    <row r="1983">
      <c r="S1983" s="27"/>
      <c r="T1983" s="27"/>
      <c r="U1983" s="27"/>
    </row>
    <row r="1984">
      <c r="S1984" s="27"/>
      <c r="T1984" s="27"/>
      <c r="U1984" s="27"/>
    </row>
    <row r="1986">
      <c r="S1986" s="27"/>
      <c r="T1986" s="27"/>
      <c r="U1986" s="27"/>
    </row>
    <row r="1987">
      <c r="S1987" s="27"/>
      <c r="T1987" s="27"/>
      <c r="U1987" s="27"/>
    </row>
    <row r="1989">
      <c r="S1989" s="27"/>
      <c r="T1989" s="27"/>
      <c r="U1989" s="27"/>
    </row>
    <row r="1990">
      <c r="S1990" s="27"/>
      <c r="T1990" s="27"/>
      <c r="U1990" s="27"/>
    </row>
    <row r="1992">
      <c r="S1992" s="27"/>
      <c r="T1992" s="27"/>
      <c r="U1992" s="27"/>
    </row>
    <row r="1993">
      <c r="S1993" s="27"/>
      <c r="T1993" s="27"/>
      <c r="U1993" s="27"/>
    </row>
    <row r="1995">
      <c r="S1995" s="27"/>
      <c r="T1995" s="27"/>
      <c r="U1995" s="27"/>
    </row>
    <row r="1996">
      <c r="S1996" s="27"/>
      <c r="T1996" s="27"/>
      <c r="U1996" s="27"/>
    </row>
    <row r="1998">
      <c r="S1998" s="27"/>
      <c r="T1998" s="27"/>
      <c r="U1998" s="27"/>
    </row>
    <row r="1999">
      <c r="S1999" s="27"/>
      <c r="T1999" s="27"/>
      <c r="U1999" s="27"/>
    </row>
    <row r="2001">
      <c r="S2001" s="27"/>
      <c r="T2001" s="27"/>
      <c r="U2001" s="27"/>
    </row>
    <row r="2002">
      <c r="S2002" s="27"/>
      <c r="T2002" s="27"/>
      <c r="U2002" s="27"/>
    </row>
    <row r="2004">
      <c r="S2004" s="27"/>
      <c r="T2004" s="27"/>
      <c r="U2004" s="27"/>
    </row>
    <row r="2005">
      <c r="S2005" s="27"/>
      <c r="T2005" s="27"/>
      <c r="U2005" s="27"/>
    </row>
    <row r="2007">
      <c r="S2007" s="27"/>
      <c r="T2007" s="27"/>
      <c r="U2007" s="27"/>
    </row>
    <row r="2008">
      <c r="S2008" s="27"/>
      <c r="T2008" s="27"/>
      <c r="U2008" s="27"/>
    </row>
    <row r="2010">
      <c r="S2010" s="27"/>
      <c r="T2010" s="27"/>
      <c r="U2010" s="27"/>
    </row>
    <row r="2011">
      <c r="S2011" s="27"/>
      <c r="T2011" s="27"/>
      <c r="U2011" s="27"/>
    </row>
    <row r="2013">
      <c r="S2013" s="27"/>
      <c r="T2013" s="27"/>
      <c r="U2013" s="27"/>
    </row>
    <row r="2014">
      <c r="S2014" s="27"/>
      <c r="T2014" s="27"/>
      <c r="U2014" s="27"/>
    </row>
    <row r="2016">
      <c r="S2016" s="27"/>
      <c r="T2016" s="27"/>
      <c r="U2016" s="27"/>
    </row>
    <row r="2017">
      <c r="S2017" s="27"/>
      <c r="T2017" s="27"/>
      <c r="U2017" s="27"/>
    </row>
    <row r="2019">
      <c r="S2019" s="27"/>
      <c r="T2019" s="27"/>
      <c r="U2019" s="27"/>
    </row>
    <row r="2020">
      <c r="S2020" s="27"/>
      <c r="T2020" s="27"/>
      <c r="U2020" s="27"/>
    </row>
    <row r="2022">
      <c r="S2022" s="27"/>
      <c r="T2022" s="27"/>
      <c r="U2022" s="27"/>
    </row>
    <row r="2023">
      <c r="S2023" s="27"/>
      <c r="T2023" s="27"/>
      <c r="U2023" s="27"/>
    </row>
    <row r="2025">
      <c r="S2025" s="27"/>
      <c r="T2025" s="27"/>
      <c r="U2025" s="27"/>
    </row>
    <row r="2026">
      <c r="S2026" s="27"/>
      <c r="T2026" s="27"/>
      <c r="U2026" s="27"/>
    </row>
    <row r="2028">
      <c r="S2028" s="27"/>
      <c r="T2028" s="27"/>
      <c r="U2028" s="27"/>
    </row>
    <row r="2029">
      <c r="S2029" s="27"/>
      <c r="T2029" s="27"/>
      <c r="U2029" s="27"/>
    </row>
    <row r="2031">
      <c r="S2031" s="27"/>
      <c r="T2031" s="27"/>
      <c r="U2031" s="27"/>
    </row>
    <row r="2032">
      <c r="S2032" s="27"/>
      <c r="T2032" s="27"/>
      <c r="U2032" s="27"/>
    </row>
    <row r="2034">
      <c r="S2034" s="27"/>
      <c r="T2034" s="27"/>
      <c r="U2034" s="27"/>
    </row>
    <row r="2035">
      <c r="S2035" s="27"/>
      <c r="T2035" s="27"/>
      <c r="U2035" s="27"/>
    </row>
    <row r="2037">
      <c r="S2037" s="27"/>
      <c r="T2037" s="27"/>
      <c r="U2037" s="27"/>
    </row>
    <row r="2038">
      <c r="S2038" s="27"/>
      <c r="T2038" s="27"/>
      <c r="U2038" s="27"/>
    </row>
    <row r="2040">
      <c r="S2040" s="27"/>
      <c r="T2040" s="27"/>
      <c r="U2040" s="27"/>
    </row>
    <row r="2041">
      <c r="S2041" s="27"/>
      <c r="T2041" s="27"/>
      <c r="U2041" s="27"/>
    </row>
    <row r="2043">
      <c r="S2043" s="27"/>
      <c r="T2043" s="27"/>
      <c r="U2043" s="27"/>
    </row>
    <row r="2044">
      <c r="S2044" s="27"/>
      <c r="T2044" s="27"/>
      <c r="U2044" s="27"/>
    </row>
    <row r="2046">
      <c r="S2046" s="27"/>
      <c r="T2046" s="27"/>
      <c r="U2046" s="27"/>
    </row>
    <row r="2047">
      <c r="S2047" s="27"/>
      <c r="T2047" s="27"/>
      <c r="U2047" s="27"/>
    </row>
    <row r="2049">
      <c r="S2049" s="27"/>
      <c r="T2049" s="27"/>
      <c r="U2049" s="27"/>
    </row>
    <row r="2050">
      <c r="S2050" s="27"/>
      <c r="T2050" s="27"/>
      <c r="U2050" s="27"/>
    </row>
    <row r="2052">
      <c r="S2052" s="27"/>
      <c r="T2052" s="27"/>
      <c r="U2052" s="27"/>
    </row>
    <row r="2054">
      <c r="S2054" s="27"/>
      <c r="T2054" s="27"/>
      <c r="U2054" s="27"/>
    </row>
    <row r="2055">
      <c r="S2055" s="27"/>
      <c r="T2055" s="27"/>
      <c r="U2055" s="27"/>
    </row>
    <row r="2057">
      <c r="S2057" s="27"/>
      <c r="T2057" s="27"/>
      <c r="U2057" s="27"/>
    </row>
    <row r="2058">
      <c r="S2058" s="27"/>
      <c r="T2058" s="27"/>
      <c r="U2058" s="27"/>
    </row>
    <row r="2060">
      <c r="S2060" s="27"/>
      <c r="T2060" s="27"/>
      <c r="U2060" s="27"/>
    </row>
    <row r="2061">
      <c r="S2061" s="27"/>
      <c r="T2061" s="27"/>
      <c r="U2061" s="27"/>
    </row>
    <row r="2063">
      <c r="S2063" s="27"/>
      <c r="T2063" s="27"/>
      <c r="U2063" s="27"/>
    </row>
    <row r="2064">
      <c r="S2064" s="27"/>
      <c r="T2064" s="27"/>
      <c r="U2064" s="27"/>
    </row>
    <row r="2066">
      <c r="S2066" s="27"/>
      <c r="T2066" s="27"/>
      <c r="U2066" s="27"/>
    </row>
    <row r="2067">
      <c r="S2067" s="27"/>
      <c r="T2067" s="27"/>
      <c r="U2067" s="27"/>
    </row>
    <row r="2069">
      <c r="S2069" s="27"/>
      <c r="T2069" s="27"/>
      <c r="U2069" s="27"/>
    </row>
    <row r="2070">
      <c r="S2070" s="27"/>
      <c r="T2070" s="27"/>
      <c r="U2070" s="27"/>
    </row>
    <row r="2072">
      <c r="S2072" s="27"/>
      <c r="T2072" s="27"/>
      <c r="U2072" s="27"/>
    </row>
    <row r="2073">
      <c r="S2073" s="27"/>
      <c r="T2073" s="27"/>
      <c r="U2073" s="27"/>
    </row>
    <row r="2075">
      <c r="S2075" s="27"/>
      <c r="T2075" s="27"/>
      <c r="U2075" s="27"/>
    </row>
    <row r="2077">
      <c r="S2077" s="27"/>
      <c r="T2077" s="27"/>
      <c r="U2077" s="27"/>
    </row>
    <row r="2079">
      <c r="S2079" s="27"/>
      <c r="T2079" s="27"/>
      <c r="U2079" s="27"/>
    </row>
    <row r="2081">
      <c r="S2081" s="27"/>
      <c r="T2081" s="27"/>
      <c r="U2081" s="27"/>
    </row>
    <row r="2083">
      <c r="S2083" s="27"/>
      <c r="T2083" s="27"/>
      <c r="U2083" s="27"/>
    </row>
    <row r="2084">
      <c r="S2084" s="27"/>
      <c r="T2084" s="27"/>
      <c r="U2084" s="27"/>
    </row>
    <row r="2086">
      <c r="S2086" s="27"/>
    </row>
    <row r="2087">
      <c r="S2087" s="27"/>
      <c r="T2087" s="27"/>
      <c r="U2087" s="27"/>
    </row>
    <row r="2089">
      <c r="S2089" s="27"/>
      <c r="T2089" s="27"/>
      <c r="U2089" s="27"/>
    </row>
    <row r="2090">
      <c r="U2090" s="27"/>
    </row>
    <row r="2092">
      <c r="S2092" s="27"/>
      <c r="T2092" s="27"/>
      <c r="U2092" s="27"/>
    </row>
    <row r="2093">
      <c r="S2093" s="27"/>
      <c r="T2093" s="27"/>
      <c r="U2093" s="27"/>
    </row>
    <row r="2095">
      <c r="S2095" s="27"/>
      <c r="T2095" s="27"/>
      <c r="U2095" s="27"/>
    </row>
    <row r="2096">
      <c r="S2096" s="27"/>
      <c r="T2096" s="27"/>
      <c r="U2096" s="27"/>
    </row>
    <row r="2098">
      <c r="S2098" s="27"/>
      <c r="T2098" s="27"/>
      <c r="U2098" s="27"/>
    </row>
    <row r="2099">
      <c r="S2099" s="27"/>
      <c r="T2099" s="27"/>
      <c r="U2099" s="27"/>
    </row>
    <row r="2107">
      <c r="S2107" s="27"/>
      <c r="T2107" s="27"/>
      <c r="U2107" s="27"/>
    </row>
    <row r="2110">
      <c r="S2110" s="27"/>
      <c r="T2110" s="27"/>
      <c r="U2110" s="27"/>
    </row>
    <row r="2111">
      <c r="S2111" s="27"/>
      <c r="T2111" s="27"/>
      <c r="U2111" s="27"/>
    </row>
    <row r="2113">
      <c r="S2113" s="27"/>
      <c r="T2113" s="27"/>
      <c r="U2113" s="27"/>
    </row>
    <row r="2114">
      <c r="S2114" s="27"/>
      <c r="T2114" s="27"/>
      <c r="U2114" s="27"/>
    </row>
    <row r="2116">
      <c r="S2116" s="27"/>
      <c r="T2116" s="27"/>
      <c r="U2116" s="27"/>
    </row>
    <row r="2117">
      <c r="S2117" s="27"/>
      <c r="T2117" s="27"/>
      <c r="U2117" s="27"/>
    </row>
    <row r="2119">
      <c r="S2119" s="27"/>
      <c r="T2119" s="27"/>
      <c r="U2119" s="26"/>
    </row>
    <row r="2122">
      <c r="S2122" s="27"/>
      <c r="T2122" s="27"/>
      <c r="U2122" s="27"/>
    </row>
    <row r="2123">
      <c r="S2123" s="27"/>
      <c r="T2123" s="27"/>
      <c r="U2123" s="27"/>
    </row>
    <row r="2125">
      <c r="S2125" s="27"/>
      <c r="T2125" s="27"/>
      <c r="U2125" s="27"/>
    </row>
    <row r="2126">
      <c r="S2126" s="27"/>
      <c r="T2126" s="27"/>
      <c r="U2126" s="27"/>
    </row>
    <row r="2128">
      <c r="S2128" s="27"/>
      <c r="T2128" s="27"/>
      <c r="U2128" s="27"/>
    </row>
    <row r="2129">
      <c r="S2129" s="27"/>
      <c r="T2129" s="27"/>
      <c r="U2129" s="27"/>
    </row>
    <row r="2131">
      <c r="S2131" s="27"/>
      <c r="U2131" s="27"/>
    </row>
    <row r="2134">
      <c r="T2134" s="26"/>
      <c r="U2134" s="26"/>
    </row>
    <row r="2137">
      <c r="S2137" s="27"/>
      <c r="T2137" s="27"/>
      <c r="U2137" s="27"/>
    </row>
    <row r="2138">
      <c r="S2138" s="27"/>
      <c r="T2138" s="27"/>
      <c r="U2138" s="27"/>
    </row>
    <row r="2140">
      <c r="S2140" s="27"/>
      <c r="T2140" s="27"/>
      <c r="U2140" s="27"/>
    </row>
    <row r="2141">
      <c r="S2141" s="27"/>
      <c r="T2141" s="27"/>
      <c r="U2141" s="27"/>
    </row>
    <row r="2146">
      <c r="T2146" s="26"/>
      <c r="U2146" s="26"/>
    </row>
    <row r="2149">
      <c r="S2149" s="27"/>
      <c r="T2149" s="27"/>
      <c r="U2149" s="27"/>
    </row>
    <row r="2152">
      <c r="S2152" s="27"/>
      <c r="T2152" s="27"/>
      <c r="U2152" s="27"/>
    </row>
    <row r="2153">
      <c r="S2153" s="27"/>
      <c r="T2153" s="27"/>
      <c r="U2153" s="27"/>
    </row>
    <row r="2155">
      <c r="S2155" s="27"/>
      <c r="T2155" s="27"/>
      <c r="U2155" s="27"/>
    </row>
    <row r="2156">
      <c r="S2156" s="27"/>
      <c r="T2156" s="27"/>
      <c r="U2156" s="27"/>
    </row>
    <row r="2158">
      <c r="S2158" s="27"/>
      <c r="T2158" s="27"/>
      <c r="U2158" s="27"/>
    </row>
    <row r="2159">
      <c r="S2159" s="27"/>
      <c r="T2159" s="27"/>
      <c r="U2159" s="27"/>
    </row>
    <row r="2161">
      <c r="S2161" s="27"/>
      <c r="T2161" s="27"/>
      <c r="U2161" s="27"/>
    </row>
    <row r="2162">
      <c r="S2162" s="27"/>
      <c r="T2162" s="27"/>
      <c r="U2162" s="27"/>
    </row>
    <row r="2164">
      <c r="S2164" s="27"/>
      <c r="T2164" s="27"/>
      <c r="U2164" s="27"/>
    </row>
    <row r="2165">
      <c r="S2165" s="27"/>
      <c r="T2165" s="27"/>
      <c r="U2165" s="27"/>
    </row>
    <row r="2167">
      <c r="S2167" s="27"/>
      <c r="T2167" s="27"/>
      <c r="U2167" s="27"/>
    </row>
    <row r="2168">
      <c r="S2168" s="27"/>
      <c r="T2168" s="27"/>
      <c r="U2168" s="27"/>
    </row>
    <row r="2170">
      <c r="S2170" s="27"/>
      <c r="T2170" s="27"/>
      <c r="U2170" s="27"/>
    </row>
    <row r="2171">
      <c r="S2171" s="27"/>
      <c r="T2171" s="27"/>
      <c r="U2171" s="27"/>
    </row>
    <row r="2173">
      <c r="S2173" s="27"/>
      <c r="T2173" s="27"/>
      <c r="U2173" s="27"/>
    </row>
    <row r="2174">
      <c r="S2174" s="27"/>
      <c r="T2174" s="27"/>
      <c r="U2174" s="27"/>
    </row>
    <row r="2176">
      <c r="S2176" s="27"/>
      <c r="T2176" s="27"/>
      <c r="U2176" s="27"/>
    </row>
    <row r="2177">
      <c r="S2177" s="27"/>
      <c r="T2177" s="27"/>
      <c r="U2177" s="27"/>
    </row>
    <row r="2179">
      <c r="S2179" s="27"/>
      <c r="T2179" s="27"/>
      <c r="U2179" s="27"/>
    </row>
    <row r="2180">
      <c r="S2180" s="27"/>
      <c r="T2180" s="27"/>
      <c r="U2180" s="27"/>
    </row>
    <row r="2182">
      <c r="S2182" s="27"/>
      <c r="T2182" s="27"/>
      <c r="U2182" s="27"/>
    </row>
    <row r="2183">
      <c r="S2183" s="27"/>
      <c r="T2183" s="27"/>
      <c r="U2183" s="27"/>
    </row>
    <row r="2185">
      <c r="S2185" s="27"/>
      <c r="T2185" s="27"/>
      <c r="U2185" s="27"/>
    </row>
    <row r="2186">
      <c r="S2186" s="27"/>
      <c r="T2186" s="27"/>
      <c r="U2186" s="27"/>
    </row>
    <row r="2188">
      <c r="S2188" s="27"/>
      <c r="T2188" s="27"/>
      <c r="U2188" s="27"/>
    </row>
    <row r="2189">
      <c r="S2189" s="27"/>
      <c r="T2189" s="27"/>
      <c r="U2189" s="27"/>
    </row>
    <row r="2191">
      <c r="U2191" s="27"/>
    </row>
    <row r="2192">
      <c r="U2192" s="27"/>
    </row>
    <row r="2194">
      <c r="S2194" s="27"/>
      <c r="T2194" s="27"/>
      <c r="U2194" s="27"/>
    </row>
    <row r="2195">
      <c r="S2195" s="27"/>
      <c r="T2195" s="27"/>
      <c r="U2195" s="27"/>
    </row>
    <row r="2197">
      <c r="S2197" s="27"/>
      <c r="T2197" s="27"/>
      <c r="U2197" s="27"/>
    </row>
    <row r="2198">
      <c r="S2198" s="27"/>
      <c r="T2198" s="27"/>
      <c r="U2198" s="27"/>
    </row>
    <row r="2200">
      <c r="S2200" s="27"/>
      <c r="T2200" s="27"/>
      <c r="U2200" s="27"/>
    </row>
    <row r="2201">
      <c r="S2201" s="27"/>
      <c r="T2201" s="27"/>
      <c r="U2201" s="27"/>
    </row>
    <row r="2203">
      <c r="S2203" s="27"/>
      <c r="T2203" s="27"/>
      <c r="U2203" s="27"/>
    </row>
    <row r="2204">
      <c r="S2204" s="27"/>
      <c r="T2204" s="27"/>
      <c r="U2204" s="27"/>
    </row>
    <row r="2206">
      <c r="S2206" s="27"/>
      <c r="T2206" s="27"/>
      <c r="U2206" s="27"/>
    </row>
    <row r="2207">
      <c r="S2207" s="27"/>
      <c r="T2207" s="27"/>
      <c r="U2207" s="27"/>
    </row>
    <row r="2209">
      <c r="S2209" s="27"/>
      <c r="T2209" s="27"/>
      <c r="U2209" s="27"/>
    </row>
    <row r="2210">
      <c r="S2210" s="27"/>
      <c r="T2210" s="27"/>
      <c r="U2210" s="27"/>
    </row>
    <row r="2212">
      <c r="S2212" s="27"/>
      <c r="T2212" s="27"/>
      <c r="U2212" s="27"/>
    </row>
    <row r="2213">
      <c r="S2213" s="27"/>
      <c r="T2213" s="27"/>
      <c r="U2213" s="27"/>
    </row>
    <row r="2215">
      <c r="S2215" s="27"/>
      <c r="T2215" s="27"/>
      <c r="U2215" s="27"/>
    </row>
    <row r="2216">
      <c r="S2216" s="27"/>
      <c r="T2216" s="27"/>
      <c r="U2216" s="27"/>
    </row>
    <row r="2218">
      <c r="S2218" s="27"/>
      <c r="T2218" s="27"/>
      <c r="U2218" s="27"/>
    </row>
    <row r="2219">
      <c r="S2219" s="27"/>
      <c r="T2219" s="27"/>
      <c r="U2219" s="27"/>
    </row>
    <row r="2221">
      <c r="S2221" s="27"/>
      <c r="T2221" s="27"/>
      <c r="U2221" s="27"/>
    </row>
    <row r="2222">
      <c r="S2222" s="27"/>
      <c r="T2222" s="27"/>
      <c r="U2222" s="27"/>
    </row>
    <row r="2224">
      <c r="S2224" s="27"/>
      <c r="T2224" s="27"/>
      <c r="U2224" s="27"/>
    </row>
    <row r="2225">
      <c r="S2225" s="27"/>
      <c r="T2225" s="27"/>
      <c r="U2225" s="27"/>
    </row>
    <row r="2227">
      <c r="S2227" s="27"/>
      <c r="T2227" s="27"/>
      <c r="U2227" s="27"/>
    </row>
    <row r="2228">
      <c r="S2228" s="27"/>
      <c r="T2228" s="27"/>
      <c r="U2228" s="27"/>
    </row>
    <row r="2230">
      <c r="T2230" s="27"/>
      <c r="U2230" s="27"/>
    </row>
    <row r="2231">
      <c r="S2231" s="26"/>
      <c r="T2231" s="26"/>
      <c r="U2231" s="26"/>
    </row>
    <row r="2233">
      <c r="S2233" s="33"/>
      <c r="T2233" s="33"/>
      <c r="U2233" s="27"/>
    </row>
    <row r="2234">
      <c r="S2234" s="27"/>
      <c r="T2234" s="27"/>
    </row>
    <row r="2236">
      <c r="S2236" s="27"/>
      <c r="T2236" s="27"/>
      <c r="U2236" s="27"/>
    </row>
    <row r="2237">
      <c r="S2237" s="27"/>
      <c r="T2237" s="27"/>
      <c r="U2237" s="27"/>
    </row>
    <row r="2239">
      <c r="S2239" s="26"/>
      <c r="T2239" s="26"/>
      <c r="U2239" s="26"/>
    </row>
    <row r="2242">
      <c r="S2242" s="27"/>
      <c r="T2242" s="27"/>
      <c r="U2242" s="27"/>
    </row>
    <row r="2243">
      <c r="S2243" s="27"/>
      <c r="T2243" s="27"/>
      <c r="U2243" s="27"/>
    </row>
    <row r="2245">
      <c r="S2245" s="27"/>
      <c r="T2245" s="27"/>
      <c r="U2245" s="27"/>
    </row>
    <row r="2246">
      <c r="S2246" s="27"/>
      <c r="T2246" s="27"/>
      <c r="U2246" s="27"/>
    </row>
    <row r="2248">
      <c r="S2248" s="27"/>
      <c r="T2248" s="27"/>
      <c r="U2248" s="27"/>
    </row>
    <row r="2249">
      <c r="S2249" s="27"/>
      <c r="T2249" s="27"/>
      <c r="U2249" s="27"/>
    </row>
    <row r="2251">
      <c r="S2251" s="27"/>
    </row>
    <row r="2259">
      <c r="S2259" s="27"/>
      <c r="T2259" s="27"/>
      <c r="U2259" s="27"/>
    </row>
    <row r="2261">
      <c r="S2261" s="26"/>
      <c r="T2261" s="26"/>
      <c r="U2261" s="26"/>
    </row>
    <row r="2267">
      <c r="S2267" s="27"/>
      <c r="T2267" s="27"/>
      <c r="U2267" s="27"/>
    </row>
    <row r="2268">
      <c r="S2268" s="27"/>
      <c r="T2268" s="27"/>
      <c r="U2268" s="27"/>
    </row>
    <row r="2270">
      <c r="S2270" s="27"/>
      <c r="T2270" s="27"/>
      <c r="U2270" s="27"/>
    </row>
    <row r="2271">
      <c r="S2271" s="27"/>
      <c r="T2271" s="27"/>
      <c r="U2271" s="27"/>
    </row>
    <row r="2273">
      <c r="S2273" s="27"/>
      <c r="T2273" s="27"/>
      <c r="U2273" s="27"/>
    </row>
    <row r="2276">
      <c r="S2276" s="27"/>
      <c r="T2276" s="27"/>
    </row>
    <row r="2277">
      <c r="S2277" s="27"/>
      <c r="T2277" s="27"/>
      <c r="U2277" s="27"/>
    </row>
    <row r="2280">
      <c r="S2280" s="27"/>
      <c r="T2280" s="27"/>
      <c r="U2280" s="27"/>
    </row>
    <row r="2285">
      <c r="S2285" s="27"/>
      <c r="T2285" s="27"/>
      <c r="U2285" s="27"/>
    </row>
    <row r="2286">
      <c r="S2286" s="27"/>
      <c r="T2286" s="27"/>
      <c r="U2286" s="27"/>
    </row>
    <row r="2288">
      <c r="S2288" s="33"/>
      <c r="T2288" s="27"/>
      <c r="U2288" s="33"/>
    </row>
    <row r="2289">
      <c r="T2289" s="27"/>
    </row>
    <row r="2291">
      <c r="S2291" s="27"/>
      <c r="T2291" s="27"/>
      <c r="U2291" s="27"/>
    </row>
    <row r="2292">
      <c r="S2292" s="27"/>
      <c r="T2292" s="27"/>
      <c r="U2292" s="27"/>
    </row>
    <row r="2294">
      <c r="S2294" s="33"/>
      <c r="T2294" s="33"/>
      <c r="U2294" s="27"/>
    </row>
    <row r="2297">
      <c r="S2297" s="27"/>
      <c r="T2297" s="27"/>
      <c r="U2297" s="27"/>
    </row>
    <row r="2298">
      <c r="S2298" s="27"/>
      <c r="T2298" s="27"/>
      <c r="U2298" s="27"/>
    </row>
    <row r="2300">
      <c r="S2300" s="27"/>
      <c r="T2300" s="27"/>
      <c r="U2300" s="27"/>
    </row>
    <row r="2303">
      <c r="S2303" s="27"/>
      <c r="T2303" s="27"/>
      <c r="U2303" s="27"/>
    </row>
    <row r="2304">
      <c r="S2304" s="33"/>
      <c r="T2304" s="33"/>
      <c r="U2304" s="33"/>
    </row>
    <row r="2306">
      <c r="S2306" s="27"/>
    </row>
    <row r="2309">
      <c r="S2309" s="27"/>
      <c r="T2309" s="27"/>
      <c r="U2309" s="27"/>
    </row>
    <row r="2310">
      <c r="S2310" s="27"/>
      <c r="T2310" s="27"/>
      <c r="U2310" s="27"/>
    </row>
    <row r="2312">
      <c r="S2312" s="27"/>
      <c r="T2312" s="27"/>
      <c r="U2312" s="27"/>
    </row>
    <row r="2313">
      <c r="S2313" s="27"/>
      <c r="T2313" s="27"/>
      <c r="U2313" s="27"/>
    </row>
    <row r="2316">
      <c r="S2316" s="27"/>
      <c r="T2316" s="27"/>
      <c r="U2316" s="27"/>
    </row>
    <row r="2318">
      <c r="S2318" s="27"/>
      <c r="T2318" s="27"/>
      <c r="U2318" s="27"/>
    </row>
    <row r="2319">
      <c r="S2319" s="27"/>
      <c r="T2319" s="27"/>
      <c r="U2319" s="27"/>
    </row>
    <row r="2321">
      <c r="S2321" s="27"/>
      <c r="U2321" s="34"/>
    </row>
    <row r="2324">
      <c r="S2324" s="27"/>
      <c r="T2324" s="27"/>
      <c r="U2324" s="27"/>
    </row>
    <row r="2325">
      <c r="S2325" s="27"/>
      <c r="T2325" s="27"/>
      <c r="U2325" s="27"/>
    </row>
    <row r="2327">
      <c r="S2327" s="27"/>
      <c r="T2327" s="27"/>
      <c r="U2327" s="27"/>
    </row>
    <row r="2328">
      <c r="S2328" s="27"/>
      <c r="T2328" s="27"/>
      <c r="U2328" s="27"/>
    </row>
    <row r="2330">
      <c r="S2330" s="27"/>
      <c r="T2330" s="27"/>
      <c r="U2330" s="27"/>
    </row>
    <row r="2333">
      <c r="T2333" s="27"/>
      <c r="U2333" s="27"/>
    </row>
    <row r="2334">
      <c r="S2334" s="27"/>
      <c r="U2334" s="27"/>
    </row>
    <row r="2339">
      <c r="S2339" s="27"/>
      <c r="T2339" s="27"/>
      <c r="U2339" s="27"/>
    </row>
    <row r="2340">
      <c r="S2340" s="27"/>
      <c r="T2340" s="27"/>
      <c r="U2340" s="27"/>
    </row>
    <row r="2345">
      <c r="S2345" s="27"/>
      <c r="T2345" s="27"/>
      <c r="U2345" s="27"/>
    </row>
    <row r="2346">
      <c r="S2346" s="27"/>
      <c r="T2346" s="27"/>
      <c r="U2346" s="27"/>
    </row>
    <row r="2351">
      <c r="S2351" s="27"/>
      <c r="T2351" s="27"/>
      <c r="U2351" s="27"/>
    </row>
    <row r="2354">
      <c r="S2354" s="27"/>
      <c r="T2354" s="27"/>
      <c r="U2354" s="27"/>
    </row>
    <row r="2355">
      <c r="S2355" s="27"/>
      <c r="T2355" s="27"/>
      <c r="U2355" s="27"/>
    </row>
    <row r="2357">
      <c r="S2357" s="27"/>
      <c r="T2357" s="27"/>
      <c r="U2357" s="27"/>
    </row>
    <row r="2358">
      <c r="S2358" s="27"/>
      <c r="T2358" s="27"/>
      <c r="U2358" s="27"/>
    </row>
    <row r="2360">
      <c r="S2360" s="27"/>
    </row>
    <row r="2361">
      <c r="S2361" s="27"/>
      <c r="T2361" s="27"/>
      <c r="U2361" s="27"/>
    </row>
    <row r="2363">
      <c r="S2363" s="27"/>
    </row>
    <row r="2364">
      <c r="S2364" s="26"/>
      <c r="T2364" s="26"/>
      <c r="U2364" s="26"/>
    </row>
    <row r="2366">
      <c r="S2366" s="27"/>
      <c r="T2366" s="27"/>
      <c r="U2366" s="27"/>
    </row>
    <row r="2367">
      <c r="S2367" s="27"/>
      <c r="T2367" s="27"/>
      <c r="U2367" s="27"/>
    </row>
    <row r="2369">
      <c r="S2369" s="27"/>
      <c r="T2369" s="27"/>
      <c r="U2369" s="27"/>
    </row>
    <row r="2370">
      <c r="S2370" s="27"/>
      <c r="T2370" s="27"/>
      <c r="U2370" s="27"/>
    </row>
    <row r="2372">
      <c r="S2372" s="27"/>
      <c r="T2372" s="27"/>
      <c r="U2372" s="27"/>
    </row>
    <row r="2373">
      <c r="S2373" s="27"/>
      <c r="T2373" s="27"/>
      <c r="U2373" s="27"/>
    </row>
    <row r="2375">
      <c r="S2375" s="27"/>
      <c r="T2375" s="27"/>
      <c r="U2375" s="27"/>
    </row>
    <row r="2376">
      <c r="S2376" s="27"/>
      <c r="T2376" s="27"/>
      <c r="U2376" s="27"/>
    </row>
    <row r="2378">
      <c r="S2378" s="27"/>
      <c r="T2378" s="27"/>
      <c r="U2378" s="27"/>
    </row>
    <row r="2379">
      <c r="S2379" s="27"/>
      <c r="T2379" s="27"/>
      <c r="U2379" s="27"/>
    </row>
    <row r="2381">
      <c r="S2381" s="27"/>
      <c r="T2381" s="27"/>
      <c r="U2381" s="27"/>
    </row>
    <row r="2382">
      <c r="S2382" s="27"/>
      <c r="T2382" s="27"/>
      <c r="U2382" s="27"/>
    </row>
    <row r="2384">
      <c r="S2384" s="27"/>
      <c r="T2384" s="27"/>
      <c r="U2384" s="27"/>
    </row>
    <row r="2385">
      <c r="S2385" s="27"/>
      <c r="T2385" s="27"/>
      <c r="U2385" s="27"/>
    </row>
    <row r="2387">
      <c r="S2387" s="27"/>
      <c r="T2387" s="27"/>
      <c r="U2387" s="27"/>
    </row>
    <row r="2388">
      <c r="S2388" s="27"/>
      <c r="T2388" s="27"/>
      <c r="U2388" s="27"/>
    </row>
    <row r="2390">
      <c r="S2390" s="27"/>
      <c r="T2390" s="27"/>
      <c r="U2390" s="27"/>
    </row>
    <row r="2391">
      <c r="S2391" s="27"/>
      <c r="T2391" s="27"/>
      <c r="U2391" s="27"/>
    </row>
    <row r="2393">
      <c r="S2393" s="27"/>
      <c r="T2393" s="27"/>
      <c r="U2393" s="27"/>
    </row>
    <row r="2394">
      <c r="S2394" s="27"/>
      <c r="T2394" s="27"/>
      <c r="U2394" s="27"/>
    </row>
    <row r="2396">
      <c r="S2396" s="27"/>
      <c r="T2396" s="27"/>
      <c r="U2396" s="27"/>
    </row>
    <row r="2397">
      <c r="S2397" s="27"/>
      <c r="T2397" s="27"/>
      <c r="U2397" s="27"/>
    </row>
    <row r="2399">
      <c r="S2399" s="27"/>
      <c r="T2399" s="27"/>
      <c r="U2399" s="27"/>
    </row>
    <row r="2400">
      <c r="S2400" s="27"/>
      <c r="T2400" s="27"/>
      <c r="U2400" s="27"/>
    </row>
    <row r="2402">
      <c r="S2402" s="27"/>
      <c r="T2402" s="27"/>
      <c r="U2402" s="27"/>
    </row>
    <row r="2403">
      <c r="S2403" s="27"/>
      <c r="T2403" s="27"/>
      <c r="U2403" s="27"/>
    </row>
    <row r="2405">
      <c r="S2405" s="27"/>
      <c r="T2405" s="27"/>
      <c r="U2405" s="27"/>
    </row>
    <row r="2406">
      <c r="S2406" s="27"/>
      <c r="T2406" s="27"/>
      <c r="U2406" s="27"/>
    </row>
    <row r="2408">
      <c r="S2408" s="27"/>
      <c r="T2408" s="27"/>
      <c r="U2408" s="27"/>
    </row>
    <row r="2409">
      <c r="S2409" s="27"/>
      <c r="T2409" s="27"/>
      <c r="U2409" s="27"/>
    </row>
    <row r="2411">
      <c r="S2411" s="27"/>
      <c r="T2411" s="27"/>
      <c r="U2411" s="27"/>
    </row>
    <row r="2412">
      <c r="S2412" s="27"/>
      <c r="T2412" s="27"/>
      <c r="U2412" s="27"/>
    </row>
    <row r="2414">
      <c r="S2414" s="27"/>
      <c r="T2414" s="27"/>
      <c r="U2414" s="27"/>
    </row>
    <row r="2415">
      <c r="S2415" s="27"/>
      <c r="T2415" s="27"/>
      <c r="U2415" s="27"/>
    </row>
    <row r="2417">
      <c r="S2417" s="27"/>
      <c r="T2417" s="27"/>
      <c r="U2417" s="27"/>
    </row>
    <row r="2418">
      <c r="S2418" s="27"/>
      <c r="T2418" s="27"/>
      <c r="U2418" s="27"/>
    </row>
    <row r="2420">
      <c r="S2420" s="27"/>
      <c r="T2420" s="27"/>
      <c r="U2420" s="27"/>
    </row>
    <row r="2421">
      <c r="S2421" s="27"/>
      <c r="T2421" s="27"/>
      <c r="U2421" s="27"/>
    </row>
    <row r="2423">
      <c r="S2423" s="27"/>
      <c r="T2423" s="27"/>
      <c r="U2423" s="27"/>
    </row>
    <row r="2424">
      <c r="S2424" s="27"/>
      <c r="T2424" s="27"/>
      <c r="U2424" s="27"/>
    </row>
    <row r="2426">
      <c r="S2426" s="27"/>
      <c r="T2426" s="27"/>
      <c r="U2426" s="27"/>
    </row>
    <row r="2427">
      <c r="S2427" s="27"/>
      <c r="T2427" s="27"/>
      <c r="U2427" s="27"/>
    </row>
    <row r="2429">
      <c r="S2429" s="27"/>
      <c r="T2429" s="27"/>
      <c r="U2429" s="27"/>
    </row>
    <row r="2430">
      <c r="S2430" s="27"/>
      <c r="T2430" s="27"/>
      <c r="U2430" s="27"/>
    </row>
    <row r="2432">
      <c r="S2432" s="27"/>
      <c r="T2432" s="27"/>
      <c r="U2432" s="27"/>
    </row>
    <row r="2433">
      <c r="S2433" s="27"/>
      <c r="T2433" s="27"/>
      <c r="U2433" s="27"/>
    </row>
    <row r="2435">
      <c r="S2435" s="27"/>
      <c r="T2435" s="27"/>
      <c r="U2435" s="27"/>
    </row>
    <row r="2436">
      <c r="S2436" s="27"/>
      <c r="T2436" s="27"/>
      <c r="U2436" s="27"/>
    </row>
    <row r="2438">
      <c r="S2438" s="27"/>
      <c r="T2438" s="27"/>
      <c r="U2438" s="27"/>
    </row>
    <row r="2439">
      <c r="S2439" s="27"/>
      <c r="T2439" s="27"/>
      <c r="U2439" s="27"/>
    </row>
    <row r="2441">
      <c r="S2441" s="27"/>
      <c r="T2441" s="27"/>
      <c r="U2441" s="27"/>
    </row>
    <row r="2442">
      <c r="S2442" s="27"/>
      <c r="T2442" s="27"/>
      <c r="U2442" s="27"/>
    </row>
    <row r="2444">
      <c r="S2444" s="27"/>
      <c r="T2444" s="27"/>
      <c r="U2444" s="27"/>
    </row>
    <row r="2445">
      <c r="S2445" s="27"/>
      <c r="T2445" s="27"/>
      <c r="U2445" s="27"/>
    </row>
    <row r="2447">
      <c r="S2447" s="27"/>
      <c r="T2447" s="27"/>
      <c r="U2447" s="27"/>
    </row>
    <row r="2448">
      <c r="S2448" s="27"/>
      <c r="T2448" s="27"/>
      <c r="U2448" s="27"/>
    </row>
    <row r="2450">
      <c r="S2450" s="27"/>
      <c r="T2450" s="27"/>
      <c r="U2450" s="27"/>
    </row>
    <row r="2451">
      <c r="S2451" s="27"/>
      <c r="T2451" s="27"/>
      <c r="U2451" s="27"/>
    </row>
    <row r="2453">
      <c r="S2453" s="27"/>
      <c r="T2453" s="27"/>
      <c r="U2453" s="27"/>
    </row>
    <row r="2454">
      <c r="S2454" s="27"/>
      <c r="T2454" s="27"/>
      <c r="U2454" s="27"/>
    </row>
    <row r="2456">
      <c r="S2456" s="27"/>
      <c r="T2456" s="27"/>
      <c r="U2456" s="27"/>
    </row>
    <row r="2457">
      <c r="S2457" s="27"/>
      <c r="T2457" s="27"/>
      <c r="U2457" s="27"/>
    </row>
    <row r="2459">
      <c r="S2459" s="27"/>
      <c r="T2459" s="27"/>
      <c r="U2459" s="27"/>
    </row>
    <row r="2460">
      <c r="S2460" s="27"/>
      <c r="T2460" s="27"/>
      <c r="U2460" s="27"/>
    </row>
    <row r="2462">
      <c r="S2462" s="27"/>
      <c r="T2462" s="27"/>
      <c r="U2462" s="27"/>
    </row>
    <row r="2464">
      <c r="S2464" s="27"/>
      <c r="T2464" s="27"/>
      <c r="U2464" s="27"/>
    </row>
    <row r="2465">
      <c r="S2465" s="27"/>
      <c r="T2465" s="27"/>
      <c r="U2465" s="27"/>
    </row>
    <row r="2467">
      <c r="S2467" s="27"/>
      <c r="T2467" s="27"/>
      <c r="U2467" s="27"/>
    </row>
    <row r="2468">
      <c r="S2468" s="27"/>
      <c r="T2468" s="27"/>
      <c r="U2468" s="27"/>
    </row>
    <row r="2470">
      <c r="S2470" s="27"/>
      <c r="T2470" s="27"/>
    </row>
    <row r="2471">
      <c r="S2471" s="27"/>
      <c r="T2471" s="27"/>
      <c r="U2471" s="27"/>
    </row>
    <row r="2473">
      <c r="S2473" s="27"/>
      <c r="T2473" s="27"/>
      <c r="U2473" s="27"/>
    </row>
    <row r="2474">
      <c r="S2474" s="27"/>
      <c r="T2474" s="27"/>
      <c r="U2474" s="27"/>
    </row>
    <row r="2476">
      <c r="S2476" s="27"/>
      <c r="T2476" s="27"/>
      <c r="U2476" s="27"/>
    </row>
    <row r="2477">
      <c r="S2477" s="27"/>
      <c r="T2477" s="27"/>
      <c r="U2477" s="27"/>
    </row>
    <row r="2479">
      <c r="S2479" s="27"/>
      <c r="T2479" s="27"/>
      <c r="U2479" s="27"/>
    </row>
    <row r="2480">
      <c r="S2480" s="27"/>
      <c r="T2480" s="27"/>
      <c r="U2480" s="27"/>
    </row>
    <row r="2482">
      <c r="S2482" s="27"/>
      <c r="T2482" s="27"/>
      <c r="U2482" s="27"/>
    </row>
    <row r="2483">
      <c r="S2483" s="27"/>
      <c r="T2483" s="27"/>
      <c r="U2483" s="27"/>
    </row>
    <row r="2485">
      <c r="S2485" s="27"/>
      <c r="T2485" s="27"/>
      <c r="U2485" s="27"/>
    </row>
    <row r="2487">
      <c r="S2487" s="27"/>
      <c r="T2487" s="27"/>
      <c r="U2487" s="27"/>
    </row>
    <row r="2489">
      <c r="T2489" s="27"/>
      <c r="U2489" s="27"/>
    </row>
    <row r="2491">
      <c r="S2491" s="27"/>
      <c r="T2491" s="27"/>
      <c r="U2491" s="27"/>
    </row>
    <row r="2493">
      <c r="S2493" s="27"/>
      <c r="T2493" s="27"/>
      <c r="U2493" s="27"/>
    </row>
    <row r="2494">
      <c r="S2494" s="27"/>
      <c r="T2494" s="27"/>
      <c r="U2494" s="27"/>
    </row>
    <row r="2496">
      <c r="S2496" s="27"/>
      <c r="T2496" s="27"/>
      <c r="U2496" s="27"/>
    </row>
    <row r="2497">
      <c r="S2497" s="27"/>
      <c r="T2497" s="27"/>
      <c r="U2497" s="27"/>
    </row>
    <row r="2499">
      <c r="S2499" s="27"/>
      <c r="T2499" s="27"/>
      <c r="U2499" s="27"/>
    </row>
    <row r="2500">
      <c r="U2500" s="27"/>
    </row>
    <row r="2502">
      <c r="S2502" s="27"/>
      <c r="T2502" s="27"/>
      <c r="U2502" s="27"/>
    </row>
    <row r="2503">
      <c r="S2503" s="27"/>
      <c r="T2503" s="27"/>
      <c r="U2503" s="27"/>
    </row>
    <row r="2505">
      <c r="S2505" s="27"/>
      <c r="T2505" s="27"/>
      <c r="U2505" s="27"/>
    </row>
    <row r="2506">
      <c r="S2506" s="27"/>
      <c r="T2506" s="27"/>
      <c r="U2506" s="27"/>
    </row>
    <row r="2508">
      <c r="S2508" s="27"/>
      <c r="T2508" s="27"/>
      <c r="U2508" s="27"/>
    </row>
    <row r="2509">
      <c r="S2509" s="27"/>
      <c r="T2509" s="27"/>
      <c r="U2509" s="27"/>
    </row>
    <row r="2514">
      <c r="S2514" s="26"/>
      <c r="T2514" s="26"/>
      <c r="U2514" s="26"/>
    </row>
    <row r="2517">
      <c r="S2517" s="27"/>
      <c r="T2517" s="27"/>
      <c r="U2517" s="26"/>
    </row>
    <row r="2520">
      <c r="S2520" s="27"/>
      <c r="T2520" s="27"/>
      <c r="U2520" s="27"/>
    </row>
    <row r="2521">
      <c r="S2521" s="27"/>
      <c r="T2521" s="27"/>
      <c r="U2521" s="27"/>
    </row>
    <row r="2523">
      <c r="S2523" s="27"/>
      <c r="T2523" s="27"/>
      <c r="U2523" s="27"/>
    </row>
    <row r="2524">
      <c r="S2524" s="27"/>
      <c r="T2524" s="27"/>
      <c r="U2524" s="27"/>
    </row>
    <row r="2526">
      <c r="S2526" s="27"/>
      <c r="T2526" s="27"/>
      <c r="U2526" s="27"/>
    </row>
    <row r="2527">
      <c r="S2527" s="27"/>
      <c r="T2527" s="27"/>
      <c r="U2527" s="27"/>
    </row>
    <row r="2529">
      <c r="S2529" s="26"/>
      <c r="T2529" s="26"/>
    </row>
    <row r="2532">
      <c r="T2532" s="27"/>
      <c r="U2532" s="27"/>
    </row>
    <row r="2533">
      <c r="S2533" s="27"/>
      <c r="T2533" s="27"/>
      <c r="U2533" s="27"/>
    </row>
    <row r="2535">
      <c r="S2535" s="27"/>
      <c r="T2535" s="27"/>
      <c r="U2535" s="27"/>
    </row>
    <row r="2536">
      <c r="S2536" s="27"/>
      <c r="T2536" s="27"/>
      <c r="U2536" s="27"/>
    </row>
    <row r="2538">
      <c r="S2538" s="27"/>
      <c r="T2538" s="27"/>
    </row>
    <row r="2539">
      <c r="S2539" s="27"/>
      <c r="T2539" s="27"/>
      <c r="U2539" s="27"/>
    </row>
    <row r="2541">
      <c r="S2541" s="27"/>
      <c r="T2541" s="27"/>
      <c r="U2541" s="27"/>
    </row>
    <row r="2544">
      <c r="S2544" s="26"/>
      <c r="T2544" s="26"/>
      <c r="U2544" s="26"/>
    </row>
    <row r="2547">
      <c r="S2547" s="27"/>
      <c r="T2547" s="27"/>
      <c r="U2547" s="27"/>
    </row>
    <row r="2548">
      <c r="S2548" s="27"/>
      <c r="T2548" s="27"/>
      <c r="U2548" s="27"/>
    </row>
    <row r="2550">
      <c r="S2550" s="27"/>
      <c r="T2550" s="27"/>
      <c r="U2550" s="27"/>
    </row>
    <row r="2551">
      <c r="S2551" s="27"/>
      <c r="T2551" s="27"/>
      <c r="U2551" s="27"/>
    </row>
    <row r="2553">
      <c r="S2553" s="26"/>
      <c r="T2553" s="26"/>
      <c r="U2553" s="26"/>
    </row>
    <row r="2556">
      <c r="U2556" s="34"/>
    </row>
    <row r="2559">
      <c r="S2559" s="27"/>
      <c r="T2559" s="27"/>
      <c r="U2559" s="27"/>
    </row>
    <row r="2562">
      <c r="S2562" s="27"/>
      <c r="T2562" s="27"/>
      <c r="U2562" s="27"/>
    </row>
    <row r="2563">
      <c r="S2563" s="27"/>
      <c r="T2563" s="27"/>
      <c r="U2563" s="27"/>
    </row>
    <row r="2565">
      <c r="S2565" s="27"/>
      <c r="T2565" s="27"/>
      <c r="U2565" s="27"/>
    </row>
    <row r="2566">
      <c r="S2566" s="27"/>
      <c r="T2566" s="27"/>
      <c r="U2566" s="27"/>
    </row>
    <row r="2568">
      <c r="S2568" s="27"/>
      <c r="T2568" s="27"/>
      <c r="U2568" s="27"/>
    </row>
    <row r="2569">
      <c r="S2569" s="27"/>
      <c r="T2569" s="27"/>
      <c r="U2569" s="27"/>
    </row>
    <row r="2571">
      <c r="S2571" s="27"/>
      <c r="T2571" s="27"/>
      <c r="U2571" s="27"/>
    </row>
    <row r="2572">
      <c r="S2572" s="27"/>
      <c r="T2572" s="27"/>
      <c r="U2572" s="27"/>
    </row>
    <row r="2574">
      <c r="S2574" s="27"/>
      <c r="T2574" s="27"/>
      <c r="U2574" s="27"/>
    </row>
    <row r="2575">
      <c r="S2575" s="27"/>
      <c r="T2575" s="27"/>
      <c r="U2575" s="27"/>
    </row>
    <row r="2577">
      <c r="S2577" s="27"/>
      <c r="T2577" s="27"/>
      <c r="U2577" s="27"/>
    </row>
    <row r="2578">
      <c r="S2578" s="27"/>
      <c r="T2578" s="27"/>
      <c r="U2578" s="27"/>
    </row>
    <row r="2580">
      <c r="S2580" s="27"/>
      <c r="T2580" s="27"/>
      <c r="U2580" s="27"/>
    </row>
    <row r="2581">
      <c r="S2581" s="27"/>
      <c r="T2581" s="27"/>
      <c r="U2581" s="27"/>
    </row>
    <row r="2583">
      <c r="S2583" s="27"/>
      <c r="T2583" s="27"/>
      <c r="U2583" s="27"/>
    </row>
    <row r="2584">
      <c r="S2584" s="27"/>
      <c r="T2584" s="27"/>
      <c r="U2584" s="27"/>
    </row>
    <row r="2586">
      <c r="S2586" s="27"/>
      <c r="T2586" s="27"/>
      <c r="U2586" s="27"/>
    </row>
    <row r="2587">
      <c r="S2587" s="27"/>
      <c r="T2587" s="27"/>
      <c r="U2587" s="27"/>
    </row>
    <row r="2589">
      <c r="S2589" s="27"/>
      <c r="T2589" s="27"/>
      <c r="U2589" s="27"/>
    </row>
    <row r="2590">
      <c r="S2590" s="27"/>
      <c r="T2590" s="27"/>
      <c r="U2590" s="27"/>
    </row>
    <row r="2592">
      <c r="S2592" s="27"/>
      <c r="T2592" s="27"/>
      <c r="U2592" s="27"/>
    </row>
    <row r="2593">
      <c r="S2593" s="27"/>
      <c r="T2593" s="27"/>
      <c r="U2593" s="27"/>
    </row>
    <row r="2595">
      <c r="S2595" s="27"/>
      <c r="T2595" s="27"/>
      <c r="U2595" s="27"/>
    </row>
    <row r="2596">
      <c r="S2596" s="27"/>
      <c r="T2596" s="27"/>
      <c r="U2596" s="27"/>
    </row>
    <row r="2598">
      <c r="S2598" s="33"/>
      <c r="T2598" s="33"/>
      <c r="U2598" s="27"/>
    </row>
    <row r="2599">
      <c r="S2599" s="33"/>
      <c r="T2599" s="33"/>
      <c r="U2599" s="27"/>
    </row>
    <row r="2601">
      <c r="S2601" s="27"/>
      <c r="T2601" s="27"/>
      <c r="U2601" s="27"/>
    </row>
    <row r="2602">
      <c r="S2602" s="27"/>
      <c r="T2602" s="27"/>
      <c r="U2602" s="27"/>
    </row>
    <row r="2604">
      <c r="S2604" s="27"/>
      <c r="T2604" s="27"/>
      <c r="U2604" s="27"/>
    </row>
    <row r="2605">
      <c r="S2605" s="27"/>
      <c r="T2605" s="27"/>
      <c r="U2605" s="27"/>
    </row>
    <row r="2607">
      <c r="S2607" s="27"/>
      <c r="T2607" s="27"/>
      <c r="U2607" s="27"/>
    </row>
    <row r="2608">
      <c r="S2608" s="27"/>
      <c r="T2608" s="27"/>
      <c r="U2608" s="27"/>
    </row>
    <row r="2610">
      <c r="S2610" s="27"/>
      <c r="T2610" s="27"/>
      <c r="U2610" s="27"/>
    </row>
    <row r="2611">
      <c r="S2611" s="27"/>
      <c r="T2611" s="27"/>
      <c r="U2611" s="27"/>
    </row>
    <row r="2613">
      <c r="S2613" s="27"/>
      <c r="T2613" s="27"/>
      <c r="U2613" s="27"/>
    </row>
    <row r="2614">
      <c r="S2614" s="27"/>
      <c r="T2614" s="27"/>
      <c r="U2614" s="27"/>
    </row>
    <row r="2616">
      <c r="S2616" s="26"/>
      <c r="T2616" s="26"/>
      <c r="U2616" s="27"/>
    </row>
    <row r="2617">
      <c r="S2617" s="26"/>
      <c r="T2617" s="26"/>
      <c r="U2617" s="27"/>
    </row>
    <row r="2619">
      <c r="S2619" s="27"/>
      <c r="T2619" s="27"/>
      <c r="U2619" s="27"/>
    </row>
    <row r="2620">
      <c r="S2620" s="27"/>
      <c r="T2620" s="27"/>
      <c r="U2620" s="27"/>
    </row>
    <row r="2622">
      <c r="S2622" s="27"/>
      <c r="T2622" s="27"/>
      <c r="U2622" s="27"/>
    </row>
    <row r="2623">
      <c r="S2623" s="27"/>
      <c r="T2623" s="27"/>
      <c r="U2623" s="27"/>
    </row>
    <row r="2625">
      <c r="S2625" s="27"/>
      <c r="T2625" s="27"/>
      <c r="U2625" s="27"/>
    </row>
    <row r="2626">
      <c r="S2626" s="27"/>
      <c r="T2626" s="27"/>
      <c r="U2626" s="27"/>
    </row>
    <row r="2628">
      <c r="S2628" s="27"/>
      <c r="T2628" s="27"/>
      <c r="U2628" s="27"/>
    </row>
    <row r="2629">
      <c r="S2629" s="27"/>
      <c r="T2629" s="27"/>
      <c r="U2629" s="27"/>
    </row>
    <row r="2631">
      <c r="S2631" s="27"/>
      <c r="T2631" s="27"/>
      <c r="U2631" s="27"/>
    </row>
    <row r="2632">
      <c r="S2632" s="27"/>
      <c r="T2632" s="27"/>
      <c r="U2632" s="27"/>
    </row>
    <row r="2634">
      <c r="S2634" s="27"/>
      <c r="T2634" s="27"/>
      <c r="U2634" s="27"/>
    </row>
    <row r="2635">
      <c r="S2635" s="27"/>
      <c r="T2635" s="27"/>
      <c r="U2635" s="27"/>
    </row>
    <row r="2637">
      <c r="S2637" s="33"/>
      <c r="T2637" s="27"/>
      <c r="U2637" s="27"/>
    </row>
    <row r="2638">
      <c r="S2638" s="27"/>
      <c r="T2638" s="27"/>
      <c r="U2638" s="27"/>
    </row>
    <row r="2640">
      <c r="S2640" s="27"/>
      <c r="T2640" s="27"/>
      <c r="U2640" s="27"/>
    </row>
    <row r="2643">
      <c r="S2643" s="33"/>
      <c r="T2643" s="33"/>
      <c r="U2643" s="27"/>
    </row>
    <row r="2644">
      <c r="S2644" s="27"/>
      <c r="T2644" s="27"/>
      <c r="U2644" s="27"/>
    </row>
    <row r="2646">
      <c r="S2646" s="27"/>
      <c r="T2646" s="27"/>
      <c r="U2646" s="27"/>
    </row>
    <row r="2647">
      <c r="S2647" s="27"/>
      <c r="T2647" s="27"/>
      <c r="U2647" s="27"/>
    </row>
    <row r="2650">
      <c r="T2650" s="27"/>
      <c r="U2650" s="27"/>
    </row>
    <row r="2652">
      <c r="S2652" s="27"/>
      <c r="T2652" s="27"/>
      <c r="U2652" s="27"/>
    </row>
    <row r="2653">
      <c r="S2653" s="27"/>
      <c r="T2653" s="27"/>
      <c r="U2653" s="27"/>
    </row>
    <row r="2656">
      <c r="S2656" s="27"/>
      <c r="T2656" s="27"/>
      <c r="U2656" s="27"/>
    </row>
    <row r="2658">
      <c r="S2658" s="27"/>
      <c r="T2658" s="27"/>
      <c r="U2658" s="27"/>
    </row>
    <row r="2659">
      <c r="S2659" s="27"/>
      <c r="T2659" s="27"/>
      <c r="U2659" s="27"/>
    </row>
    <row r="2664">
      <c r="S2664" s="27"/>
      <c r="T2664" s="26"/>
    </row>
    <row r="2667">
      <c r="S2667" s="27"/>
      <c r="T2667" s="27"/>
      <c r="U2667" s="27"/>
    </row>
    <row r="2669">
      <c r="S2669" s="27"/>
      <c r="T2669" s="27"/>
      <c r="U2669" s="27"/>
    </row>
    <row r="2674">
      <c r="S2674" s="27"/>
      <c r="T2674" s="27"/>
      <c r="U2674" s="27"/>
    </row>
    <row r="2677">
      <c r="S2677" s="27"/>
      <c r="T2677" s="27"/>
      <c r="U2677" s="27"/>
    </row>
    <row r="2678">
      <c r="S2678" s="27"/>
      <c r="T2678" s="27"/>
      <c r="U2678" s="27"/>
    </row>
    <row r="2680">
      <c r="S2680" s="27"/>
      <c r="T2680" s="27"/>
      <c r="U2680" s="27"/>
    </row>
    <row r="2681">
      <c r="S2681" s="27"/>
      <c r="T2681" s="27"/>
      <c r="U2681" s="27"/>
    </row>
    <row r="2683">
      <c r="S2683" s="27"/>
      <c r="T2683" s="27"/>
      <c r="U2683" s="33"/>
    </row>
    <row r="2684">
      <c r="U2684" s="27"/>
    </row>
    <row r="2686">
      <c r="S2686" s="27"/>
      <c r="T2686" s="27"/>
      <c r="U2686" s="27"/>
    </row>
    <row r="2687">
      <c r="S2687" s="27"/>
      <c r="T2687" s="27"/>
      <c r="U2687" s="27"/>
    </row>
    <row r="2689">
      <c r="S2689" s="27"/>
      <c r="T2689" s="27"/>
      <c r="U2689" s="27"/>
    </row>
    <row r="2690">
      <c r="S2690" s="27"/>
      <c r="T2690" s="27"/>
      <c r="U2690" s="27"/>
    </row>
    <row r="2695">
      <c r="S2695" s="27"/>
      <c r="T2695" s="27"/>
      <c r="U2695" s="27"/>
    </row>
    <row r="2696">
      <c r="S2696" s="27"/>
      <c r="T2696" s="27"/>
      <c r="U2696" s="27"/>
    </row>
    <row r="2698">
      <c r="S2698" s="27"/>
      <c r="T2698" s="27"/>
      <c r="U2698" s="27"/>
    </row>
    <row r="2699">
      <c r="S2699" s="27"/>
      <c r="T2699" s="27"/>
      <c r="U2699" s="27"/>
    </row>
    <row r="2701">
      <c r="S2701" s="27"/>
      <c r="T2701" s="27"/>
      <c r="U2701" s="27"/>
    </row>
    <row r="2702">
      <c r="S2702" s="27"/>
      <c r="T2702" s="27"/>
      <c r="U2702" s="27"/>
    </row>
    <row r="2704">
      <c r="T2704" s="27"/>
      <c r="U2704" s="27"/>
    </row>
    <row r="2705">
      <c r="T2705" s="27"/>
      <c r="U2705" s="27"/>
    </row>
    <row r="2707">
      <c r="S2707" s="27"/>
      <c r="T2707" s="27"/>
      <c r="U2707" s="27"/>
    </row>
    <row r="2711">
      <c r="S2711" s="27"/>
      <c r="T2711" s="27"/>
      <c r="U2711" s="33"/>
    </row>
    <row r="2713">
      <c r="S2713" s="26"/>
      <c r="T2713" s="27"/>
      <c r="U2713" s="27"/>
    </row>
    <row r="2714">
      <c r="T2714" s="26"/>
      <c r="U2714" s="26"/>
    </row>
    <row r="2716">
      <c r="S2716" s="27"/>
      <c r="T2716" s="27"/>
      <c r="U2716" s="27"/>
    </row>
    <row r="2717">
      <c r="S2717" s="27"/>
      <c r="T2717" s="27"/>
      <c r="U2717" s="27"/>
    </row>
    <row r="2719">
      <c r="S2719" s="27"/>
      <c r="T2719" s="27"/>
      <c r="U2719" s="27"/>
    </row>
    <row r="2720">
      <c r="S2720" s="27"/>
      <c r="T2720" s="27"/>
      <c r="U2720" s="27"/>
    </row>
    <row r="2722">
      <c r="S2722" s="27"/>
      <c r="T2722" s="27"/>
      <c r="U2722" s="27"/>
    </row>
    <row r="2723">
      <c r="S2723" s="27"/>
      <c r="T2723" s="27"/>
      <c r="U2723" s="27"/>
    </row>
    <row r="2725">
      <c r="S2725" s="27"/>
      <c r="T2725" s="27"/>
      <c r="U2725" s="27"/>
    </row>
    <row r="2726">
      <c r="S2726" s="27"/>
      <c r="T2726" s="27"/>
      <c r="U2726" s="27"/>
    </row>
    <row r="2731">
      <c r="S2731" s="27"/>
      <c r="T2731" s="27"/>
      <c r="U2731" s="27"/>
    </row>
    <row r="2732">
      <c r="S2732" s="27"/>
      <c r="T2732" s="27"/>
      <c r="U2732" s="27"/>
    </row>
    <row r="2734">
      <c r="S2734" s="27"/>
      <c r="T2734" s="27"/>
      <c r="U2734" s="27"/>
    </row>
    <row r="2735">
      <c r="S2735" s="27"/>
      <c r="T2735" s="27"/>
      <c r="U2735" s="27"/>
    </row>
    <row r="2737">
      <c r="S2737" s="27"/>
      <c r="T2737" s="26"/>
    </row>
    <row r="2740">
      <c r="S2740" s="27"/>
      <c r="T2740" s="27"/>
      <c r="U2740" s="27"/>
    </row>
    <row r="2741">
      <c r="S2741" s="27"/>
      <c r="T2741" s="27"/>
    </row>
    <row r="2746">
      <c r="S2746" s="27"/>
      <c r="T2746" s="27"/>
      <c r="U2746" s="27"/>
    </row>
    <row r="2747">
      <c r="S2747" s="27"/>
      <c r="T2747" s="27"/>
      <c r="U2747" s="27"/>
    </row>
    <row r="2752">
      <c r="S2752" s="27"/>
      <c r="T2752" s="27"/>
      <c r="U2752" s="27"/>
    </row>
    <row r="2753">
      <c r="S2753" s="27"/>
      <c r="T2753" s="27"/>
      <c r="U2753" s="27"/>
    </row>
    <row r="2755">
      <c r="S2755" s="26"/>
      <c r="T2755" s="26"/>
      <c r="U2755" s="26"/>
    </row>
    <row r="2758">
      <c r="S2758" s="27"/>
      <c r="T2758" s="27"/>
      <c r="U2758" s="27"/>
    </row>
    <row r="2761">
      <c r="S2761" s="27"/>
      <c r="T2761" s="27"/>
      <c r="U2761" s="27"/>
    </row>
    <row r="2762">
      <c r="S2762" s="27"/>
      <c r="T2762" s="27"/>
      <c r="U2762" s="27"/>
    </row>
    <row r="2764">
      <c r="S2764" s="27"/>
      <c r="T2764" s="27"/>
      <c r="U2764" s="27"/>
    </row>
    <row r="2765">
      <c r="S2765" s="26"/>
      <c r="T2765" s="27"/>
      <c r="U2765" s="27"/>
    </row>
    <row r="2767">
      <c r="S2767" s="27"/>
      <c r="T2767" s="27"/>
      <c r="U2767" s="27"/>
    </row>
    <row r="2768">
      <c r="S2768" s="27"/>
      <c r="T2768" s="27"/>
      <c r="U2768" s="27"/>
    </row>
    <row r="2770">
      <c r="S2770" s="27"/>
    </row>
    <row r="2771">
      <c r="T2771" s="26"/>
      <c r="U2771" s="26"/>
    </row>
    <row r="2773">
      <c r="T2773" s="27"/>
      <c r="U2773" s="27"/>
    </row>
    <row r="2774">
      <c r="S2774" s="27"/>
      <c r="T2774" s="27"/>
      <c r="U2774" s="27"/>
    </row>
    <row r="2776">
      <c r="S2776" s="27"/>
      <c r="T2776" s="27"/>
      <c r="U2776" s="27"/>
    </row>
    <row r="2777">
      <c r="S2777" s="27"/>
      <c r="T2777" s="27"/>
      <c r="U2777" s="27"/>
    </row>
    <row r="2779">
      <c r="S2779" s="27"/>
      <c r="T2779" s="27"/>
      <c r="U2779" s="27"/>
    </row>
    <row r="2782">
      <c r="S2782" s="27"/>
      <c r="T2782" s="27"/>
      <c r="U2782" s="27"/>
    </row>
    <row r="2783">
      <c r="S2783" s="27"/>
      <c r="T2783" s="27"/>
      <c r="U2783" s="27"/>
    </row>
    <row r="2785">
      <c r="S2785" s="27"/>
      <c r="T2785" s="27"/>
      <c r="U2785" s="27"/>
    </row>
    <row r="2786">
      <c r="S2786" s="27"/>
      <c r="T2786" s="27"/>
      <c r="U2786" s="27"/>
    </row>
    <row r="2788">
      <c r="S2788" s="27"/>
      <c r="T2788" s="27"/>
      <c r="U2788" s="27"/>
    </row>
    <row r="2789">
      <c r="S2789" s="27"/>
      <c r="T2789" s="27"/>
      <c r="U2789" s="27"/>
    </row>
    <row r="2791">
      <c r="S2791" s="27"/>
      <c r="T2791" s="27"/>
      <c r="U2791" s="27"/>
    </row>
    <row r="2792">
      <c r="S2792" s="27"/>
      <c r="T2792" s="27"/>
      <c r="U2792" s="27"/>
    </row>
    <row r="2797">
      <c r="S2797" s="27"/>
      <c r="T2797" s="27"/>
      <c r="U2797" s="27"/>
    </row>
    <row r="2798">
      <c r="S2798" s="27"/>
      <c r="T2798" s="27"/>
      <c r="U2798" s="27"/>
    </row>
    <row r="2800">
      <c r="S2800" s="27"/>
      <c r="T2800" s="27"/>
      <c r="U2800" s="27"/>
    </row>
    <row r="2801">
      <c r="S2801" s="27"/>
      <c r="T2801" s="27"/>
      <c r="U2801" s="27"/>
    </row>
    <row r="2803">
      <c r="S2803" s="27"/>
      <c r="T2803" s="27"/>
      <c r="U2803" s="27"/>
    </row>
    <row r="2804">
      <c r="S2804" s="27"/>
      <c r="T2804" s="27"/>
      <c r="U2804" s="27"/>
    </row>
    <row r="2806">
      <c r="S2806" s="27"/>
      <c r="T2806" s="27"/>
      <c r="U2806" s="27"/>
    </row>
    <row r="2807">
      <c r="S2807" s="27"/>
      <c r="T2807" s="27"/>
      <c r="U2807" s="27"/>
    </row>
    <row r="2809">
      <c r="S2809" s="27"/>
      <c r="T2809" s="27"/>
      <c r="U2809" s="27"/>
    </row>
    <row r="2810">
      <c r="S2810" s="27"/>
      <c r="T2810" s="27"/>
      <c r="U2810" s="27"/>
    </row>
    <row r="2812">
      <c r="S2812" s="27"/>
      <c r="T2812" s="27"/>
      <c r="U2812" s="27"/>
    </row>
    <row r="2813">
      <c r="S2813" s="27"/>
      <c r="T2813" s="27"/>
      <c r="U2813" s="27"/>
    </row>
    <row r="2815">
      <c r="S2815" s="27"/>
      <c r="T2815" s="27"/>
      <c r="U2815" s="27"/>
    </row>
    <row r="2816">
      <c r="S2816" s="27"/>
      <c r="T2816" s="27"/>
      <c r="U2816" s="27"/>
    </row>
    <row r="2818">
      <c r="S2818" s="27"/>
      <c r="T2818" s="27"/>
      <c r="U2818" s="27"/>
    </row>
    <row r="2819">
      <c r="S2819" s="27"/>
      <c r="T2819" s="27"/>
      <c r="U2819" s="27"/>
    </row>
    <row r="2821">
      <c r="S2821" s="27"/>
      <c r="T2821" s="27"/>
      <c r="U2821" s="27"/>
    </row>
    <row r="2822">
      <c r="S2822" s="27"/>
      <c r="T2822" s="27"/>
      <c r="U2822" s="27"/>
    </row>
    <row r="2824">
      <c r="S2824" s="27"/>
      <c r="T2824" s="27"/>
      <c r="U2824" s="27"/>
    </row>
    <row r="2825">
      <c r="S2825" s="27"/>
      <c r="T2825" s="27"/>
      <c r="U2825" s="27"/>
    </row>
    <row r="2827">
      <c r="S2827" s="27"/>
      <c r="T2827" s="27"/>
      <c r="U2827" s="27"/>
    </row>
    <row r="2828">
      <c r="S2828" s="27"/>
      <c r="T2828" s="27"/>
      <c r="U2828" s="27"/>
    </row>
    <row r="2830">
      <c r="S2830" s="27"/>
      <c r="T2830" s="27"/>
      <c r="U2830" s="27"/>
    </row>
    <row r="2831">
      <c r="S2831" s="27"/>
      <c r="T2831" s="27"/>
      <c r="U2831" s="27"/>
    </row>
    <row r="2833">
      <c r="S2833" s="27"/>
      <c r="T2833" s="27"/>
      <c r="U2833" s="27"/>
    </row>
    <row r="2834">
      <c r="S2834" s="27"/>
      <c r="T2834" s="27"/>
      <c r="U2834" s="27"/>
    </row>
    <row r="2836">
      <c r="S2836" s="27"/>
      <c r="T2836" s="27"/>
      <c r="U2836" s="27"/>
    </row>
    <row r="2837">
      <c r="S2837" s="27"/>
      <c r="T2837" s="27"/>
      <c r="U2837" s="27"/>
    </row>
    <row r="2839">
      <c r="S2839" s="27"/>
      <c r="T2839" s="27"/>
      <c r="U2839" s="27"/>
    </row>
    <row r="2840">
      <c r="S2840" s="27"/>
      <c r="T2840" s="27"/>
      <c r="U2840" s="27"/>
    </row>
    <row r="2842">
      <c r="S2842" s="27"/>
      <c r="T2842" s="27"/>
      <c r="U2842" s="27"/>
    </row>
    <row r="2843">
      <c r="S2843" s="27"/>
      <c r="T2843" s="27"/>
      <c r="U2843" s="27"/>
    </row>
    <row r="2845">
      <c r="S2845" s="27"/>
      <c r="T2845" s="27"/>
      <c r="U2845" s="27"/>
    </row>
    <row r="2846">
      <c r="S2846" s="27"/>
      <c r="T2846" s="27"/>
      <c r="U2846" s="27"/>
    </row>
    <row r="2848">
      <c r="S2848" s="27"/>
      <c r="T2848" s="27"/>
      <c r="U2848" s="27"/>
    </row>
    <row r="2849">
      <c r="S2849" s="27"/>
      <c r="T2849" s="27"/>
      <c r="U2849" s="27"/>
    </row>
    <row r="2851">
      <c r="S2851" s="27"/>
      <c r="T2851" s="27"/>
      <c r="U2851" s="27"/>
    </row>
    <row r="2852">
      <c r="S2852" s="27"/>
      <c r="T2852" s="27"/>
      <c r="U2852" s="27"/>
    </row>
    <row r="2854">
      <c r="S2854" s="27"/>
      <c r="T2854" s="27"/>
      <c r="U2854" s="27"/>
    </row>
    <row r="2855">
      <c r="S2855" s="27"/>
      <c r="T2855" s="27"/>
      <c r="U2855" s="27"/>
    </row>
    <row r="2857">
      <c r="S2857" s="27"/>
      <c r="T2857" s="27"/>
      <c r="U2857" s="27"/>
    </row>
    <row r="2858">
      <c r="S2858" s="27"/>
      <c r="T2858" s="27"/>
      <c r="U2858" s="27"/>
    </row>
    <row r="2860">
      <c r="S2860" s="27"/>
      <c r="T2860" s="27"/>
      <c r="U2860" s="27"/>
    </row>
    <row r="2861">
      <c r="S2861" s="27"/>
      <c r="T2861" s="27"/>
      <c r="U2861" s="27"/>
    </row>
    <row r="2863">
      <c r="S2863" s="27"/>
      <c r="T2863" s="27"/>
      <c r="U2863" s="27"/>
    </row>
    <row r="2864">
      <c r="S2864" s="27"/>
      <c r="T2864" s="27"/>
      <c r="U2864" s="27"/>
    </row>
    <row r="2866">
      <c r="S2866" s="27"/>
      <c r="T2866" s="27"/>
      <c r="U2866" s="27"/>
    </row>
    <row r="2867">
      <c r="S2867" s="27"/>
      <c r="T2867" s="27"/>
      <c r="U2867" s="27"/>
    </row>
    <row r="2869">
      <c r="S2869" s="27"/>
      <c r="T2869" s="27"/>
      <c r="U2869" s="27"/>
    </row>
    <row r="2871">
      <c r="S2871" s="27"/>
      <c r="T2871" s="27"/>
      <c r="U2871" s="27"/>
    </row>
    <row r="2872">
      <c r="S2872" s="27"/>
      <c r="T2872" s="27"/>
      <c r="U2872" s="27"/>
    </row>
    <row r="2874">
      <c r="S2874" s="27"/>
      <c r="T2874" s="27"/>
      <c r="U2874" s="27"/>
    </row>
    <row r="2875">
      <c r="S2875" s="27"/>
      <c r="T2875" s="27"/>
      <c r="U2875" s="27"/>
    </row>
    <row r="2877">
      <c r="S2877" s="27"/>
      <c r="T2877" s="27"/>
      <c r="U2877" s="27"/>
    </row>
    <row r="2878">
      <c r="S2878" s="27"/>
      <c r="T2878" s="27"/>
      <c r="U2878" s="27"/>
    </row>
    <row r="2880">
      <c r="S2880" s="27"/>
      <c r="T2880" s="27"/>
      <c r="U2880" s="27"/>
    </row>
    <row r="2881">
      <c r="S2881" s="27"/>
      <c r="T2881" s="27"/>
      <c r="U2881" s="27"/>
    </row>
    <row r="2883">
      <c r="S2883" s="27"/>
      <c r="T2883" s="27"/>
      <c r="U2883" s="27"/>
    </row>
    <row r="2884">
      <c r="S2884" s="27"/>
      <c r="T2884" s="27"/>
      <c r="U2884" s="27"/>
    </row>
    <row r="2886">
      <c r="S2886" s="27"/>
      <c r="T2886" s="27"/>
      <c r="U2886" s="27"/>
    </row>
    <row r="2887">
      <c r="S2887" s="27"/>
      <c r="T2887" s="27"/>
      <c r="U2887" s="27"/>
    </row>
    <row r="2889">
      <c r="S2889" s="27"/>
      <c r="T2889" s="27"/>
      <c r="U2889" s="27"/>
    </row>
    <row r="2890">
      <c r="S2890" s="27"/>
      <c r="T2890" s="27"/>
      <c r="U2890" s="27"/>
    </row>
    <row r="2892">
      <c r="S2892" s="27"/>
      <c r="T2892" s="27"/>
      <c r="U2892" s="27"/>
    </row>
    <row r="2894">
      <c r="S2894" s="27"/>
      <c r="T2894" s="27"/>
      <c r="U2894" s="27"/>
    </row>
    <row r="2896">
      <c r="S2896" s="27"/>
      <c r="T2896" s="27"/>
      <c r="U2896" s="27"/>
    </row>
    <row r="2898">
      <c r="S2898" s="27"/>
      <c r="T2898" s="27"/>
      <c r="U2898" s="27"/>
    </row>
    <row r="2900">
      <c r="S2900" s="27"/>
      <c r="T2900" s="27"/>
      <c r="U2900" s="27"/>
    </row>
    <row r="2901">
      <c r="S2901" s="27"/>
      <c r="T2901" s="27"/>
      <c r="U2901" s="27"/>
    </row>
    <row r="2903">
      <c r="S2903" s="27"/>
      <c r="T2903" s="27"/>
      <c r="U2903" s="27"/>
    </row>
    <row r="2904">
      <c r="S2904" s="27"/>
      <c r="T2904" s="27"/>
      <c r="U2904" s="27"/>
    </row>
    <row r="2906">
      <c r="S2906" s="27"/>
      <c r="T2906" s="27"/>
      <c r="U2906" s="27"/>
    </row>
    <row r="2907">
      <c r="S2907" s="27"/>
      <c r="T2907" s="27"/>
      <c r="U2907" s="33"/>
    </row>
    <row r="2909">
      <c r="S2909" s="27"/>
      <c r="T2909" s="27"/>
      <c r="U2909" s="27"/>
    </row>
    <row r="2910">
      <c r="S2910" s="27"/>
      <c r="T2910" s="27"/>
      <c r="U2910" s="27"/>
    </row>
    <row r="2912">
      <c r="S2912" s="27"/>
      <c r="T2912" s="27"/>
      <c r="U2912" s="27"/>
    </row>
    <row r="2913">
      <c r="S2913" s="27"/>
      <c r="T2913" s="27"/>
      <c r="U2913" s="27"/>
    </row>
    <row r="2915">
      <c r="S2915" s="27"/>
      <c r="T2915" s="27"/>
      <c r="U2915" s="27"/>
    </row>
    <row r="2916">
      <c r="S2916" s="27"/>
      <c r="T2916" s="27"/>
      <c r="U2916" s="27"/>
    </row>
    <row r="2921">
      <c r="S2921" s="27"/>
      <c r="T2921" s="27"/>
    </row>
    <row r="2924">
      <c r="S2924" s="33"/>
      <c r="T2924" s="33"/>
      <c r="U2924" s="33"/>
    </row>
    <row r="2925">
      <c r="S2925" s="26"/>
      <c r="T2925" s="26"/>
      <c r="U2925" s="26"/>
    </row>
    <row r="2927">
      <c r="S2927" s="27"/>
      <c r="T2927" s="27"/>
      <c r="U2927" s="27"/>
    </row>
    <row r="2928">
      <c r="S2928" s="27"/>
      <c r="T2928" s="27"/>
      <c r="U2928" s="27"/>
    </row>
    <row r="2930">
      <c r="S2930" s="27"/>
      <c r="T2930" s="27"/>
      <c r="U2930" s="27"/>
    </row>
    <row r="2931">
      <c r="S2931" s="27"/>
      <c r="T2931" s="27"/>
      <c r="U2931" s="27"/>
    </row>
    <row r="2933">
      <c r="S2933" s="27"/>
      <c r="T2933" s="27"/>
      <c r="U2933" s="27"/>
    </row>
    <row r="2934">
      <c r="S2934" s="27"/>
      <c r="T2934" s="27"/>
      <c r="U2934" s="27"/>
    </row>
    <row r="2936">
      <c r="U2936" s="27"/>
    </row>
    <row r="2939">
      <c r="S2939" s="27"/>
      <c r="T2939" s="27"/>
      <c r="U2939" s="27"/>
    </row>
    <row r="2940">
      <c r="S2940" s="27"/>
      <c r="T2940" s="27"/>
      <c r="U2940" s="27"/>
    </row>
    <row r="2942">
      <c r="S2942" s="27"/>
      <c r="T2942" s="27"/>
      <c r="U2942" s="27"/>
    </row>
    <row r="2943">
      <c r="S2943" s="27"/>
      <c r="T2943" s="27"/>
      <c r="U2943" s="27"/>
    </row>
    <row r="2945">
      <c r="S2945" s="27"/>
      <c r="T2945" s="27"/>
      <c r="U2945" s="27"/>
    </row>
    <row r="2946">
      <c r="T2946" s="27"/>
      <c r="U2946" s="27"/>
    </row>
    <row r="2948">
      <c r="S2948" s="27"/>
      <c r="T2948" s="27"/>
    </row>
    <row r="2951">
      <c r="S2951" s="26"/>
      <c r="T2951" s="26"/>
      <c r="U2951" s="26"/>
    </row>
    <row r="2954">
      <c r="S2954" s="27"/>
      <c r="T2954" s="27"/>
      <c r="U2954" s="27"/>
    </row>
    <row r="2955">
      <c r="S2955" s="27"/>
      <c r="T2955" s="27"/>
      <c r="U2955" s="27"/>
    </row>
    <row r="2957">
      <c r="S2957" s="27"/>
      <c r="T2957" s="27"/>
      <c r="U2957" s="27"/>
    </row>
    <row r="2958">
      <c r="S2958" s="27"/>
      <c r="T2958" s="27"/>
      <c r="U2958" s="27"/>
    </row>
    <row r="2960">
      <c r="S2960" s="34"/>
      <c r="T2960" s="34"/>
      <c r="U2960" s="34"/>
    </row>
    <row r="2966">
      <c r="S2966" s="27"/>
      <c r="T2966" s="27"/>
      <c r="U2966" s="27"/>
    </row>
    <row r="2969">
      <c r="S2969" s="27"/>
      <c r="T2969" s="27"/>
      <c r="U2969" s="27"/>
    </row>
    <row r="2970">
      <c r="S2970" s="27"/>
      <c r="T2970" s="27"/>
      <c r="U2970" s="27"/>
    </row>
    <row r="2972">
      <c r="S2972" s="27"/>
      <c r="T2972" s="27"/>
      <c r="U2972" s="27"/>
    </row>
    <row r="2973">
      <c r="S2973" s="27"/>
      <c r="T2973" s="27"/>
      <c r="U2973" s="27"/>
    </row>
    <row r="2975">
      <c r="S2975" s="27"/>
      <c r="T2975" s="27"/>
      <c r="U2975" s="27"/>
    </row>
    <row r="2976">
      <c r="S2976" s="27"/>
      <c r="T2976" s="27"/>
      <c r="U2976" s="27"/>
    </row>
    <row r="2978">
      <c r="S2978" s="27"/>
      <c r="T2978" s="27"/>
      <c r="U2978" s="27"/>
    </row>
    <row r="2979">
      <c r="S2979" s="27"/>
      <c r="T2979" s="27"/>
      <c r="U2979" s="27"/>
    </row>
    <row r="2981">
      <c r="S2981" s="27"/>
      <c r="T2981" s="27"/>
      <c r="U2981" s="27"/>
    </row>
    <row r="2982">
      <c r="S2982" s="27"/>
      <c r="T2982" s="27"/>
      <c r="U2982" s="27"/>
    </row>
    <row r="2984">
      <c r="S2984" s="27"/>
      <c r="T2984" s="27"/>
      <c r="U2984" s="27"/>
    </row>
    <row r="2985">
      <c r="S2985" s="27"/>
      <c r="T2985" s="27"/>
      <c r="U2985" s="27"/>
    </row>
    <row r="2987">
      <c r="S2987" s="27"/>
      <c r="T2987" s="27"/>
      <c r="U2987" s="27"/>
    </row>
    <row r="2988">
      <c r="S2988" s="27"/>
      <c r="T2988" s="27"/>
      <c r="U2988" s="27"/>
    </row>
    <row r="2990">
      <c r="S2990" s="27"/>
      <c r="T2990" s="27"/>
      <c r="U2990" s="27"/>
    </row>
    <row r="2991">
      <c r="S2991" s="27"/>
      <c r="T2991" s="27"/>
      <c r="U2991" s="27"/>
    </row>
    <row r="2993">
      <c r="S2993" s="27"/>
      <c r="T2993" s="27"/>
      <c r="U2993" s="27"/>
    </row>
    <row r="2994">
      <c r="S2994" s="27"/>
      <c r="T2994" s="27"/>
      <c r="U2994" s="27"/>
    </row>
    <row r="2996">
      <c r="S2996" s="27"/>
      <c r="T2996" s="27"/>
      <c r="U2996" s="27"/>
    </row>
    <row r="2997">
      <c r="S2997" s="27"/>
      <c r="T2997" s="27"/>
      <c r="U2997" s="27"/>
    </row>
    <row r="2999">
      <c r="S2999" s="27"/>
      <c r="T2999" s="27"/>
      <c r="U2999" s="27"/>
    </row>
    <row r="3000">
      <c r="S3000" s="27"/>
      <c r="T3000" s="27"/>
      <c r="U3000" s="27"/>
    </row>
    <row r="3002">
      <c r="S3002" s="27"/>
      <c r="T3002" s="27"/>
      <c r="U3002" s="27"/>
    </row>
    <row r="3003">
      <c r="S3003" s="27"/>
      <c r="T3003" s="27"/>
      <c r="U3003" s="27"/>
    </row>
    <row r="3005">
      <c r="S3005" s="27"/>
      <c r="T3005" s="27"/>
      <c r="U3005" s="27"/>
    </row>
    <row r="3006">
      <c r="S3006" s="27"/>
      <c r="T3006" s="27"/>
      <c r="U3006" s="27"/>
    </row>
    <row r="3008">
      <c r="S3008" s="27"/>
      <c r="T3008" s="27"/>
      <c r="U3008" s="27"/>
    </row>
    <row r="3009">
      <c r="S3009" s="27"/>
      <c r="T3009" s="27"/>
      <c r="U3009" s="27"/>
    </row>
    <row r="3011">
      <c r="S3011" s="27"/>
      <c r="T3011" s="27"/>
      <c r="U3011" s="27"/>
    </row>
    <row r="3012">
      <c r="S3012" s="27"/>
      <c r="T3012" s="27"/>
      <c r="U3012" s="27"/>
    </row>
    <row r="3014">
      <c r="S3014" s="27"/>
      <c r="T3014" s="27"/>
      <c r="U3014" s="27"/>
    </row>
    <row r="3015">
      <c r="S3015" s="27"/>
      <c r="T3015" s="27"/>
      <c r="U3015" s="27"/>
    </row>
    <row r="3017">
      <c r="S3017" s="27"/>
      <c r="T3017" s="27"/>
      <c r="U3017" s="27"/>
    </row>
    <row r="3018">
      <c r="S3018" s="27"/>
      <c r="T3018" s="27"/>
      <c r="U3018" s="27"/>
    </row>
    <row r="3020">
      <c r="S3020" s="27"/>
      <c r="T3020" s="27"/>
      <c r="U3020" s="27"/>
    </row>
    <row r="3021">
      <c r="S3021" s="27"/>
      <c r="T3021" s="27"/>
      <c r="U3021" s="27"/>
    </row>
    <row r="3023">
      <c r="S3023" s="27"/>
      <c r="T3023" s="27"/>
      <c r="U3023" s="27"/>
    </row>
    <row r="3024">
      <c r="S3024" s="27"/>
      <c r="T3024" s="27"/>
      <c r="U3024" s="27"/>
    </row>
    <row r="3026">
      <c r="S3026" s="27"/>
      <c r="T3026" s="27"/>
      <c r="U3026" s="27"/>
    </row>
    <row r="3027">
      <c r="S3027" s="27"/>
      <c r="T3027" s="27"/>
      <c r="U3027" s="27"/>
    </row>
    <row r="3029">
      <c r="S3029" s="27"/>
      <c r="T3029" s="27"/>
      <c r="U3029" s="27"/>
    </row>
    <row r="3030">
      <c r="S3030" s="27"/>
      <c r="T3030" s="27"/>
      <c r="U3030" s="27"/>
    </row>
    <row r="3032">
      <c r="S3032" s="27"/>
      <c r="T3032" s="27"/>
      <c r="U3032" s="27"/>
    </row>
    <row r="3033">
      <c r="S3033" s="27"/>
      <c r="T3033" s="27"/>
      <c r="U3033" s="27"/>
    </row>
    <row r="3035">
      <c r="S3035" s="27"/>
      <c r="T3035" s="27"/>
      <c r="U3035" s="27"/>
    </row>
    <row r="3036">
      <c r="S3036" s="27"/>
      <c r="T3036" s="27"/>
      <c r="U3036" s="27"/>
    </row>
    <row r="3038">
      <c r="S3038" s="27"/>
      <c r="T3038" s="27"/>
      <c r="U3038" s="27"/>
    </row>
    <row r="3039">
      <c r="S3039" s="27"/>
      <c r="T3039" s="27"/>
      <c r="U3039" s="27"/>
    </row>
    <row r="3044">
      <c r="S3044" s="26"/>
      <c r="T3044" s="26"/>
      <c r="U3044" s="27"/>
    </row>
    <row r="3045">
      <c r="U3045" s="27"/>
    </row>
    <row r="3047">
      <c r="S3047" s="27"/>
      <c r="T3047" s="27"/>
      <c r="U3047" s="27"/>
    </row>
    <row r="3050">
      <c r="S3050" s="33"/>
      <c r="T3050" s="33"/>
    </row>
    <row r="3051">
      <c r="S3051" s="27"/>
      <c r="T3051" s="27"/>
    </row>
    <row r="3053">
      <c r="S3053" s="27"/>
      <c r="T3053" s="27"/>
      <c r="U3053" s="27"/>
    </row>
    <row r="3054">
      <c r="S3054" s="27"/>
      <c r="T3054" s="27"/>
      <c r="U3054" s="27"/>
    </row>
    <row r="3056">
      <c r="S3056" s="27"/>
      <c r="T3056" s="27"/>
      <c r="U3056" s="27"/>
    </row>
    <row r="3059">
      <c r="S3059" s="27"/>
      <c r="T3059" s="27"/>
      <c r="U3059" s="27"/>
    </row>
    <row r="3060">
      <c r="S3060" s="27"/>
      <c r="T3060" s="27"/>
      <c r="U3060" s="27"/>
    </row>
    <row r="3062">
      <c r="S3062" s="27"/>
      <c r="T3062" s="27"/>
      <c r="U3062" s="27"/>
    </row>
    <row r="3063">
      <c r="S3063" s="27"/>
      <c r="T3063" s="27"/>
      <c r="U3063" s="27"/>
    </row>
    <row r="3065">
      <c r="S3065" s="27"/>
      <c r="T3065" s="27"/>
      <c r="U3065" s="27"/>
    </row>
    <row r="3066">
      <c r="S3066" s="27"/>
      <c r="T3066" s="27"/>
      <c r="U3066" s="27"/>
    </row>
    <row r="3071">
      <c r="S3071" s="26"/>
    </row>
    <row r="3074">
      <c r="S3074" s="35"/>
    </row>
    <row r="3076">
      <c r="S3076" s="27"/>
      <c r="T3076" s="27"/>
      <c r="U3076" s="27"/>
    </row>
    <row r="3079">
      <c r="S3079" s="27"/>
      <c r="T3079" s="27"/>
      <c r="U3079" s="27"/>
    </row>
    <row r="3082">
      <c r="S3082" s="27"/>
      <c r="T3082" s="27"/>
      <c r="U3082" s="27"/>
    </row>
    <row r="3083">
      <c r="S3083" s="27"/>
      <c r="T3083" s="27"/>
      <c r="U3083" s="27"/>
    </row>
    <row r="3085">
      <c r="S3085" s="27"/>
      <c r="T3085" s="27"/>
      <c r="U3085" s="27"/>
    </row>
    <row r="3086">
      <c r="S3086" s="27"/>
      <c r="T3086" s="27"/>
      <c r="U3086" s="27"/>
    </row>
    <row r="3088">
      <c r="S3088" s="27"/>
      <c r="T3088" s="27"/>
      <c r="U3088" s="33"/>
    </row>
    <row r="3089">
      <c r="S3089" s="27"/>
      <c r="T3089" s="27"/>
      <c r="U3089" s="27"/>
    </row>
    <row r="3091">
      <c r="S3091" s="27"/>
      <c r="T3091" s="27"/>
      <c r="U3091" s="27"/>
    </row>
    <row r="3092">
      <c r="S3092" s="27"/>
      <c r="T3092" s="27"/>
      <c r="U3092" s="27"/>
    </row>
    <row r="3094">
      <c r="S3094" s="27"/>
      <c r="T3094" s="27"/>
      <c r="U3094" s="27"/>
    </row>
    <row r="3095">
      <c r="S3095" s="27"/>
      <c r="T3095" s="27"/>
      <c r="U3095" s="27"/>
    </row>
    <row r="3100">
      <c r="S3100" s="27"/>
      <c r="T3100" s="27"/>
      <c r="U3100" s="27"/>
    </row>
    <row r="3101">
      <c r="S3101" s="27"/>
      <c r="T3101" s="27"/>
      <c r="U3101" s="27"/>
    </row>
    <row r="3103">
      <c r="T3103" s="27"/>
    </row>
    <row r="3104">
      <c r="T3104" s="27"/>
    </row>
    <row r="3106">
      <c r="S3106" s="27"/>
      <c r="T3106" s="27"/>
      <c r="U3106" s="27"/>
    </row>
    <row r="3107">
      <c r="S3107" s="27"/>
      <c r="T3107" s="27"/>
      <c r="U3107" s="27"/>
    </row>
    <row r="3109">
      <c r="S3109" s="27"/>
    </row>
    <row r="3110">
      <c r="S3110" s="27"/>
      <c r="T3110" s="27"/>
      <c r="U3110" s="27"/>
    </row>
    <row r="3112">
      <c r="S3112" s="27"/>
      <c r="T3112" s="27"/>
      <c r="U3112" s="27"/>
    </row>
    <row r="3115">
      <c r="S3115" s="27"/>
      <c r="T3115" s="27"/>
      <c r="U3115" s="33"/>
    </row>
    <row r="3116">
      <c r="S3116" s="33"/>
      <c r="T3116" s="33"/>
      <c r="U3116" s="33"/>
    </row>
    <row r="3118">
      <c r="S3118" s="27"/>
      <c r="T3118" s="27"/>
      <c r="U3118" s="27"/>
    </row>
    <row r="3119">
      <c r="S3119" s="26"/>
      <c r="T3119" s="26"/>
      <c r="U3119" s="26"/>
    </row>
    <row r="3121">
      <c r="S3121" s="27"/>
      <c r="T3121" s="27"/>
      <c r="U3121" s="27"/>
    </row>
    <row r="3122">
      <c r="S3122" s="27"/>
      <c r="T3122" s="27"/>
      <c r="U3122" s="27"/>
    </row>
    <row r="3124">
      <c r="S3124" s="27"/>
      <c r="T3124" s="27"/>
      <c r="U3124" s="27"/>
    </row>
    <row r="3125">
      <c r="S3125" s="27"/>
      <c r="T3125" s="27"/>
      <c r="U3125" s="27"/>
    </row>
    <row r="3127">
      <c r="S3127" s="27"/>
      <c r="T3127" s="27"/>
      <c r="U3127" s="27"/>
    </row>
    <row r="3128">
      <c r="S3128" s="27"/>
      <c r="T3128" s="27"/>
      <c r="U3128" s="27"/>
    </row>
    <row r="3130">
      <c r="S3130" s="27"/>
      <c r="T3130" s="27"/>
      <c r="U3130" s="27"/>
    </row>
    <row r="3131">
      <c r="S3131" s="27"/>
      <c r="T3131" s="27"/>
      <c r="U3131" s="27"/>
    </row>
    <row r="3133">
      <c r="T3133" s="27"/>
      <c r="U3133" s="26"/>
    </row>
    <row r="3136">
      <c r="S3136" s="27"/>
      <c r="T3136" s="27"/>
      <c r="U3136" s="27"/>
    </row>
    <row r="3137">
      <c r="S3137" s="27"/>
      <c r="T3137" s="27"/>
      <c r="U3137" s="27"/>
    </row>
    <row r="3139">
      <c r="S3139" s="27"/>
      <c r="T3139" s="27"/>
      <c r="U3139" s="27"/>
    </row>
    <row r="3140">
      <c r="S3140" s="27"/>
      <c r="T3140" s="27"/>
      <c r="U3140" s="27"/>
    </row>
    <row r="3142">
      <c r="S3142" s="27"/>
      <c r="T3142" s="27"/>
    </row>
    <row r="3143">
      <c r="U3143" s="26"/>
    </row>
    <row r="3145">
      <c r="S3145" s="27"/>
    </row>
    <row r="3146">
      <c r="S3146" s="27"/>
      <c r="T3146" s="27"/>
      <c r="U3146" s="27"/>
    </row>
    <row r="3148">
      <c r="S3148" s="27"/>
      <c r="T3148" s="27"/>
      <c r="U3148" s="27"/>
    </row>
    <row r="3149">
      <c r="S3149" s="27"/>
      <c r="T3149" s="27"/>
      <c r="U3149" s="27"/>
    </row>
    <row r="3151">
      <c r="S3151" s="27"/>
      <c r="T3151" s="27"/>
      <c r="U3151" s="27"/>
    </row>
    <row r="3152">
      <c r="S3152" s="27"/>
      <c r="T3152" s="27"/>
      <c r="U3152" s="27"/>
    </row>
    <row r="3154">
      <c r="S3154" s="27"/>
    </row>
    <row r="3157">
      <c r="S3157" s="27"/>
      <c r="T3157" s="27"/>
      <c r="U3157" s="27"/>
    </row>
    <row r="3158">
      <c r="S3158" s="27"/>
      <c r="T3158" s="27"/>
      <c r="U3158" s="27"/>
    </row>
    <row r="3160">
      <c r="S3160" s="26"/>
      <c r="T3160" s="26"/>
      <c r="U3160" s="26"/>
    </row>
    <row r="3163">
      <c r="S3163" s="27"/>
      <c r="T3163" s="27"/>
      <c r="U3163" s="27"/>
    </row>
    <row r="3166">
      <c r="S3166" s="27"/>
      <c r="T3166" s="27"/>
      <c r="U3166" s="27"/>
    </row>
    <row r="3167">
      <c r="S3167" s="27"/>
      <c r="T3167" s="27"/>
      <c r="U3167" s="27"/>
    </row>
    <row r="3169">
      <c r="S3169" s="27"/>
      <c r="T3169" s="27"/>
      <c r="U3169" s="27"/>
    </row>
    <row r="3170">
      <c r="S3170" s="27"/>
      <c r="T3170" s="27"/>
      <c r="U3170" s="27"/>
    </row>
    <row r="3172">
      <c r="S3172" s="27"/>
      <c r="T3172" s="27"/>
      <c r="U3172" s="27"/>
    </row>
    <row r="3173">
      <c r="S3173" s="27"/>
      <c r="T3173" s="27"/>
      <c r="U3173" s="27"/>
    </row>
    <row r="3175">
      <c r="S3175" s="27"/>
    </row>
    <row r="3176">
      <c r="T3176" s="26"/>
      <c r="U3176" s="26"/>
    </row>
    <row r="3178">
      <c r="U3178" s="27"/>
    </row>
    <row r="3179">
      <c r="T3179" s="27"/>
      <c r="U3179" s="27"/>
    </row>
    <row r="3181">
      <c r="S3181" s="27"/>
      <c r="T3181" s="27"/>
      <c r="U3181" s="27"/>
    </row>
    <row r="3182">
      <c r="S3182" s="27"/>
      <c r="T3182" s="27"/>
      <c r="U3182" s="27"/>
    </row>
    <row r="3184">
      <c r="S3184" s="27"/>
      <c r="T3184" s="27"/>
      <c r="U3184" s="27"/>
    </row>
    <row r="3187">
      <c r="S3187" s="27"/>
      <c r="T3187" s="27"/>
      <c r="U3187" s="27"/>
    </row>
    <row r="3188">
      <c r="S3188" s="27"/>
      <c r="T3188" s="27"/>
      <c r="U3188" s="27"/>
    </row>
    <row r="3190">
      <c r="S3190" s="27"/>
      <c r="T3190" s="27"/>
      <c r="U3190" s="27"/>
    </row>
    <row r="3191">
      <c r="S3191" s="27"/>
      <c r="T3191" s="27"/>
      <c r="U3191" s="27"/>
    </row>
    <row r="3193">
      <c r="S3193" s="27"/>
      <c r="T3193" s="27"/>
      <c r="U3193" s="27"/>
    </row>
    <row r="3194">
      <c r="S3194" s="27"/>
      <c r="T3194" s="27"/>
      <c r="U3194" s="27"/>
    </row>
    <row r="3196">
      <c r="S3196" s="27"/>
      <c r="T3196" s="27"/>
      <c r="U3196" s="27"/>
    </row>
    <row r="3197">
      <c r="S3197" s="27"/>
      <c r="T3197" s="27"/>
      <c r="U3197" s="27"/>
    </row>
    <row r="3199">
      <c r="S3199" s="27"/>
      <c r="T3199" s="27"/>
      <c r="U3199" s="27"/>
    </row>
    <row r="3200">
      <c r="S3200" s="27"/>
      <c r="T3200" s="27"/>
      <c r="U3200" s="27"/>
    </row>
    <row r="3202">
      <c r="S3202" s="27"/>
      <c r="T3202" s="27"/>
      <c r="U3202" s="27"/>
    </row>
    <row r="3203">
      <c r="S3203" s="27"/>
      <c r="T3203" s="27"/>
      <c r="U3203" s="27"/>
    </row>
    <row r="3205">
      <c r="S3205" s="27"/>
      <c r="T3205" s="27"/>
      <c r="U3205" s="27"/>
    </row>
    <row r="3206">
      <c r="S3206" s="27"/>
      <c r="T3206" s="27"/>
      <c r="U3206" s="27"/>
    </row>
    <row r="3208">
      <c r="S3208" s="27"/>
      <c r="T3208" s="27"/>
      <c r="U3208" s="27"/>
    </row>
    <row r="3209">
      <c r="S3209" s="27"/>
      <c r="T3209" s="27"/>
      <c r="U3209" s="27"/>
    </row>
    <row r="3211">
      <c r="S3211" s="27"/>
      <c r="T3211" s="27"/>
      <c r="U3211" s="27"/>
    </row>
    <row r="3212">
      <c r="S3212" s="27"/>
      <c r="T3212" s="27"/>
      <c r="U3212" s="27"/>
    </row>
    <row r="3214">
      <c r="S3214" s="27"/>
      <c r="T3214" s="27"/>
      <c r="U3214" s="27"/>
    </row>
    <row r="3215">
      <c r="S3215" s="27"/>
      <c r="T3215" s="27"/>
      <c r="U3215" s="27"/>
    </row>
    <row r="3217">
      <c r="S3217" s="27"/>
      <c r="T3217" s="27"/>
      <c r="U3217" s="27"/>
    </row>
    <row r="3218">
      <c r="S3218" s="27"/>
      <c r="T3218" s="27"/>
      <c r="U3218" s="27"/>
    </row>
    <row r="3220">
      <c r="S3220" s="27"/>
      <c r="T3220" s="27"/>
      <c r="U3220" s="27"/>
    </row>
    <row r="3221">
      <c r="S3221" s="27"/>
      <c r="T3221" s="27"/>
      <c r="U3221" s="27"/>
    </row>
    <row r="3223">
      <c r="S3223" s="27"/>
      <c r="T3223" s="27"/>
      <c r="U3223" s="27"/>
    </row>
    <row r="3224">
      <c r="S3224" s="27"/>
      <c r="T3224" s="27"/>
      <c r="U3224" s="27"/>
    </row>
    <row r="3226">
      <c r="S3226" s="27"/>
      <c r="T3226" s="27"/>
      <c r="U3226" s="27"/>
    </row>
    <row r="3227">
      <c r="S3227" s="27"/>
      <c r="T3227" s="27"/>
      <c r="U3227" s="27"/>
    </row>
    <row r="3229">
      <c r="S3229" s="27"/>
      <c r="T3229" s="27"/>
      <c r="U3229" s="27"/>
    </row>
    <row r="3230">
      <c r="S3230" s="27"/>
      <c r="T3230" s="27"/>
      <c r="U3230" s="27"/>
    </row>
    <row r="3232">
      <c r="S3232" s="27"/>
      <c r="T3232" s="27"/>
      <c r="U3232" s="27"/>
    </row>
    <row r="3233">
      <c r="S3233" s="27"/>
      <c r="T3233" s="27"/>
      <c r="U3233" s="27"/>
    </row>
    <row r="3235">
      <c r="S3235" s="27"/>
      <c r="T3235" s="27"/>
      <c r="U3235" s="27"/>
    </row>
    <row r="3236">
      <c r="S3236" s="27"/>
      <c r="T3236" s="27"/>
      <c r="U3236" s="27"/>
    </row>
    <row r="3238">
      <c r="S3238" s="27"/>
      <c r="T3238" s="27"/>
      <c r="U3238" s="27"/>
    </row>
    <row r="3239">
      <c r="S3239" s="27"/>
      <c r="T3239" s="27"/>
      <c r="U3239" s="27"/>
    </row>
    <row r="3241">
      <c r="S3241" s="27"/>
      <c r="T3241" s="27"/>
      <c r="U3241" s="27"/>
    </row>
    <row r="3242">
      <c r="S3242" s="27"/>
      <c r="T3242" s="27"/>
      <c r="U3242" s="27"/>
    </row>
    <row r="3244">
      <c r="S3244" s="27"/>
      <c r="T3244" s="27"/>
      <c r="U3244" s="27"/>
    </row>
    <row r="3245">
      <c r="S3245" s="27"/>
      <c r="T3245" s="27"/>
      <c r="U3245" s="27"/>
    </row>
    <row r="3247">
      <c r="S3247" s="27"/>
      <c r="T3247" s="27"/>
      <c r="U3247" s="27"/>
    </row>
    <row r="3248">
      <c r="S3248" s="27"/>
      <c r="T3248" s="27"/>
      <c r="U3248" s="27"/>
    </row>
    <row r="3250">
      <c r="S3250" s="27"/>
      <c r="T3250" s="27"/>
      <c r="U3250" s="27"/>
    </row>
    <row r="3251">
      <c r="S3251" s="27"/>
      <c r="T3251" s="27"/>
      <c r="U3251" s="27"/>
    </row>
    <row r="3253">
      <c r="S3253" s="27"/>
      <c r="T3253" s="27"/>
      <c r="U3253" s="27"/>
    </row>
    <row r="3254">
      <c r="S3254" s="27"/>
      <c r="T3254" s="27"/>
      <c r="U3254" s="27"/>
    </row>
    <row r="3256">
      <c r="S3256" s="27"/>
      <c r="T3256" s="27"/>
      <c r="U3256" s="27"/>
    </row>
    <row r="3257">
      <c r="S3257" s="27"/>
      <c r="T3257" s="27"/>
      <c r="U3257" s="27"/>
    </row>
    <row r="3259">
      <c r="S3259" s="27"/>
      <c r="T3259" s="27"/>
      <c r="U3259" s="27"/>
    </row>
    <row r="3260">
      <c r="S3260" s="27"/>
      <c r="T3260" s="27"/>
      <c r="U3260" s="27"/>
    </row>
    <row r="3262">
      <c r="S3262" s="27"/>
      <c r="T3262" s="27"/>
      <c r="U3262" s="27"/>
    </row>
    <row r="3263">
      <c r="S3263" s="27"/>
      <c r="T3263" s="27"/>
      <c r="U3263" s="27"/>
    </row>
    <row r="3265">
      <c r="S3265" s="27"/>
      <c r="T3265" s="27"/>
      <c r="U3265" s="27"/>
    </row>
    <row r="3266">
      <c r="S3266" s="27"/>
      <c r="T3266" s="27"/>
      <c r="U3266" s="27"/>
    </row>
    <row r="3268">
      <c r="S3268" s="27"/>
      <c r="T3268" s="27"/>
      <c r="U3268" s="27"/>
    </row>
    <row r="3269">
      <c r="S3269" s="27"/>
      <c r="T3269" s="27"/>
      <c r="U3269" s="27"/>
    </row>
    <row r="3271">
      <c r="S3271" s="27"/>
      <c r="T3271" s="27"/>
      <c r="U3271" s="27"/>
    </row>
    <row r="3272">
      <c r="S3272" s="27"/>
      <c r="T3272" s="27"/>
      <c r="U3272" s="27"/>
    </row>
    <row r="3274">
      <c r="S3274" s="27"/>
      <c r="T3274" s="27"/>
      <c r="U3274" s="27"/>
    </row>
    <row r="3276">
      <c r="S3276" s="27"/>
      <c r="T3276" s="27"/>
      <c r="U3276" s="27"/>
    </row>
    <row r="3277">
      <c r="S3277" s="27"/>
      <c r="T3277" s="27"/>
      <c r="U3277" s="27"/>
    </row>
    <row r="3279">
      <c r="S3279" s="27"/>
      <c r="T3279" s="27"/>
      <c r="U3279" s="27"/>
    </row>
    <row r="3280">
      <c r="S3280" s="27"/>
      <c r="T3280" s="27"/>
      <c r="U3280" s="27"/>
    </row>
    <row r="3282">
      <c r="S3282" s="27"/>
      <c r="T3282" s="27"/>
      <c r="U3282" s="27"/>
    </row>
    <row r="3283">
      <c r="S3283" s="27"/>
      <c r="T3283" s="27"/>
      <c r="U3283" s="27"/>
    </row>
    <row r="3285">
      <c r="S3285" s="27"/>
      <c r="T3285" s="27"/>
      <c r="U3285" s="27"/>
    </row>
    <row r="3286">
      <c r="S3286" s="27"/>
      <c r="T3286" s="27"/>
      <c r="U3286" s="27"/>
    </row>
    <row r="3288">
      <c r="S3288" s="27"/>
      <c r="T3288" s="27"/>
      <c r="U3288" s="27"/>
    </row>
    <row r="3289">
      <c r="S3289" s="27"/>
      <c r="T3289" s="27"/>
      <c r="U3289" s="27"/>
    </row>
    <row r="3291">
      <c r="S3291" s="27"/>
      <c r="T3291" s="27"/>
      <c r="U3291" s="27"/>
    </row>
    <row r="3292">
      <c r="S3292" s="27"/>
      <c r="T3292" s="27"/>
      <c r="U3292" s="27"/>
    </row>
    <row r="3294">
      <c r="S3294" s="27"/>
      <c r="T3294" s="27"/>
      <c r="U3294" s="27"/>
    </row>
    <row r="3295">
      <c r="S3295" s="27"/>
      <c r="T3295" s="27"/>
      <c r="U3295" s="27"/>
    </row>
    <row r="3297">
      <c r="S3297" s="27"/>
      <c r="T3297" s="27"/>
      <c r="U3297" s="27"/>
    </row>
    <row r="3299">
      <c r="S3299" s="27"/>
      <c r="T3299" s="27"/>
      <c r="U3299" s="27"/>
    </row>
    <row r="3301">
      <c r="S3301" s="27"/>
      <c r="T3301" s="27"/>
      <c r="U3301" s="27"/>
    </row>
    <row r="3303">
      <c r="S3303" s="27"/>
      <c r="T3303" s="27"/>
      <c r="U3303" s="27"/>
    </row>
    <row r="3305">
      <c r="S3305" s="27"/>
      <c r="T3305" s="27"/>
      <c r="U3305" s="27"/>
    </row>
    <row r="3306">
      <c r="S3306" s="27"/>
      <c r="T3306" s="27"/>
      <c r="U3306" s="27"/>
    </row>
    <row r="3308">
      <c r="S3308" s="27"/>
      <c r="T3308" s="27"/>
      <c r="U3308" s="27"/>
    </row>
    <row r="3309">
      <c r="S3309" s="27"/>
      <c r="T3309" s="27"/>
      <c r="U3309" s="27"/>
    </row>
    <row r="3311">
      <c r="S3311" s="27"/>
      <c r="T3311" s="27"/>
      <c r="U3311" s="27"/>
    </row>
    <row r="3312">
      <c r="S3312" s="27"/>
      <c r="T3312" s="27"/>
    </row>
    <row r="3314">
      <c r="S3314" s="27"/>
      <c r="T3314" s="27"/>
      <c r="U3314" s="27"/>
    </row>
    <row r="3315">
      <c r="S3315" s="27"/>
      <c r="T3315" s="27"/>
      <c r="U3315" s="27"/>
    </row>
    <row r="3317">
      <c r="S3317" s="27"/>
      <c r="T3317" s="27"/>
      <c r="U3317" s="27"/>
    </row>
    <row r="3318">
      <c r="S3318" s="27"/>
      <c r="T3318" s="27"/>
      <c r="U3318" s="27"/>
    </row>
    <row r="3320">
      <c r="S3320" s="27"/>
      <c r="T3320" s="27"/>
      <c r="U3320" s="27"/>
    </row>
    <row r="3321">
      <c r="S3321" s="27"/>
      <c r="T3321" s="27"/>
      <c r="U3321" s="27"/>
    </row>
    <row r="3323">
      <c r="S3323" s="27"/>
      <c r="T3323" s="27"/>
      <c r="U3323" s="27"/>
    </row>
    <row r="3324">
      <c r="S3324" s="27"/>
      <c r="T3324" s="27"/>
      <c r="U3324" s="27"/>
    </row>
    <row r="3329">
      <c r="S3329" s="27"/>
      <c r="T3329" s="27"/>
      <c r="U3329" s="27"/>
    </row>
    <row r="3332">
      <c r="S3332" s="27"/>
      <c r="T3332" s="27"/>
      <c r="U3332" s="27"/>
    </row>
    <row r="3333">
      <c r="S3333" s="27"/>
      <c r="T3333" s="27"/>
      <c r="U3333" s="27"/>
    </row>
    <row r="3335">
      <c r="S3335" s="27"/>
      <c r="T3335" s="27"/>
      <c r="U3335" s="27"/>
    </row>
    <row r="3336">
      <c r="S3336" s="27"/>
      <c r="T3336" s="27"/>
      <c r="U3336" s="27"/>
    </row>
    <row r="3338">
      <c r="S3338" s="27"/>
      <c r="T3338" s="27"/>
      <c r="U3338" s="27"/>
    </row>
    <row r="3339">
      <c r="S3339" s="27"/>
      <c r="T3339" s="27"/>
      <c r="U3339" s="27"/>
    </row>
    <row r="3341">
      <c r="S3341" s="26"/>
      <c r="T3341" s="26"/>
    </row>
    <row r="3344">
      <c r="S3344" s="27"/>
      <c r="T3344" s="27"/>
      <c r="U3344" s="27"/>
    </row>
    <row r="3345">
      <c r="S3345" s="27"/>
      <c r="T3345" s="27"/>
      <c r="U3345" s="27"/>
    </row>
    <row r="3347">
      <c r="S3347" s="27"/>
      <c r="T3347" s="27"/>
      <c r="U3347" s="27"/>
    </row>
    <row r="3348">
      <c r="S3348" s="27"/>
      <c r="T3348" s="27"/>
      <c r="U3348" s="27"/>
    </row>
    <row r="3350">
      <c r="S3350" s="27"/>
      <c r="T3350" s="27"/>
      <c r="U3350" s="27"/>
    </row>
    <row r="3351">
      <c r="S3351" s="27"/>
      <c r="T3351" s="27"/>
      <c r="U3351" s="27"/>
    </row>
    <row r="3353">
      <c r="S3353" s="27"/>
      <c r="T3353" s="27"/>
      <c r="U3353" s="27"/>
    </row>
    <row r="3356">
      <c r="S3356" s="27"/>
      <c r="T3356" s="26"/>
    </row>
    <row r="3359">
      <c r="S3359" s="27"/>
      <c r="T3359" s="27"/>
      <c r="U3359" s="27"/>
    </row>
    <row r="3360">
      <c r="S3360" s="27"/>
      <c r="T3360" s="27"/>
      <c r="U3360" s="27"/>
    </row>
    <row r="3362">
      <c r="S3362" s="27"/>
      <c r="T3362" s="27"/>
      <c r="U3362" s="27"/>
    </row>
    <row r="3363">
      <c r="S3363" s="27"/>
      <c r="T3363" s="27"/>
      <c r="U3363" s="27"/>
    </row>
    <row r="3365">
      <c r="S3365" s="26"/>
      <c r="T3365" s="26"/>
      <c r="U3365" s="26"/>
    </row>
    <row r="3371">
      <c r="S3371" s="27"/>
      <c r="T3371" s="27"/>
      <c r="U3371" s="27"/>
    </row>
    <row r="3374">
      <c r="S3374" s="27"/>
      <c r="T3374" s="27"/>
      <c r="U3374" s="27"/>
    </row>
    <row r="3375">
      <c r="S3375" s="27"/>
      <c r="T3375" s="27"/>
      <c r="U3375" s="27"/>
    </row>
    <row r="3377">
      <c r="S3377" s="27"/>
      <c r="T3377" s="27"/>
      <c r="U3377" s="27"/>
    </row>
    <row r="3378">
      <c r="S3378" s="27"/>
      <c r="T3378" s="27"/>
      <c r="U3378" s="27"/>
    </row>
    <row r="3380">
      <c r="S3380" s="27"/>
      <c r="T3380" s="27"/>
      <c r="U3380" s="27"/>
    </row>
    <row r="3381">
      <c r="S3381" s="27"/>
      <c r="T3381" s="27"/>
      <c r="U3381" s="27"/>
    </row>
    <row r="3383">
      <c r="S3383" s="27"/>
      <c r="T3383" s="27"/>
      <c r="U3383" s="27"/>
    </row>
    <row r="3384">
      <c r="S3384" s="27"/>
      <c r="T3384" s="27"/>
      <c r="U3384" s="27"/>
    </row>
    <row r="3386">
      <c r="S3386" s="27"/>
      <c r="T3386" s="27"/>
      <c r="U3386" s="27"/>
    </row>
    <row r="3387">
      <c r="S3387" s="27"/>
      <c r="T3387" s="27"/>
      <c r="U3387" s="27"/>
    </row>
    <row r="3389">
      <c r="S3389" s="27"/>
      <c r="T3389" s="27"/>
      <c r="U3389" s="27"/>
    </row>
    <row r="3390">
      <c r="S3390" s="27"/>
      <c r="T3390" s="27"/>
      <c r="U3390" s="27"/>
    </row>
    <row r="3392">
      <c r="S3392" s="27"/>
      <c r="T3392" s="27"/>
      <c r="U3392" s="27"/>
    </row>
    <row r="3393">
      <c r="S3393" s="27"/>
      <c r="T3393" s="27"/>
      <c r="U3393" s="27"/>
    </row>
    <row r="3395">
      <c r="S3395" s="27"/>
      <c r="T3395" s="27"/>
      <c r="U3395" s="27"/>
    </row>
    <row r="3396">
      <c r="S3396" s="27"/>
      <c r="T3396" s="27"/>
      <c r="U3396" s="27"/>
    </row>
    <row r="3398">
      <c r="S3398" s="27"/>
      <c r="T3398" s="27"/>
      <c r="U3398" s="27"/>
    </row>
    <row r="3399">
      <c r="S3399" s="27"/>
      <c r="T3399" s="27"/>
      <c r="U3399" s="27"/>
    </row>
    <row r="3401">
      <c r="S3401" s="27"/>
      <c r="T3401" s="27"/>
      <c r="U3401" s="27"/>
    </row>
    <row r="3402">
      <c r="S3402" s="27"/>
      <c r="T3402" s="27"/>
      <c r="U3402" s="27"/>
    </row>
    <row r="3404">
      <c r="S3404" s="27"/>
      <c r="T3404" s="27"/>
      <c r="U3404" s="27"/>
    </row>
    <row r="3405">
      <c r="S3405" s="27"/>
      <c r="T3405" s="27"/>
      <c r="U3405" s="27"/>
    </row>
    <row r="3407">
      <c r="S3407" s="27"/>
      <c r="T3407" s="27"/>
      <c r="U3407" s="27"/>
    </row>
    <row r="3408">
      <c r="S3408" s="27"/>
      <c r="T3408" s="27"/>
      <c r="U3408" s="27"/>
    </row>
    <row r="3410">
      <c r="S3410" s="27"/>
      <c r="T3410" s="27"/>
      <c r="U3410" s="27"/>
    </row>
    <row r="3411">
      <c r="S3411" s="27"/>
      <c r="T3411" s="27"/>
      <c r="U3411" s="27"/>
    </row>
    <row r="3413">
      <c r="S3413" s="27"/>
      <c r="T3413" s="27"/>
      <c r="U3413" s="27"/>
    </row>
    <row r="3414">
      <c r="S3414" s="27"/>
      <c r="T3414" s="27"/>
      <c r="U3414" s="27"/>
    </row>
    <row r="3416">
      <c r="S3416" s="27"/>
      <c r="T3416" s="27"/>
      <c r="U3416" s="27"/>
    </row>
    <row r="3417">
      <c r="S3417" s="27"/>
      <c r="T3417" s="27"/>
      <c r="U3417" s="27"/>
    </row>
    <row r="3419">
      <c r="S3419" s="27"/>
      <c r="T3419" s="27"/>
      <c r="U3419" s="27"/>
    </row>
    <row r="3420">
      <c r="S3420" s="27"/>
      <c r="T3420" s="27"/>
      <c r="U3420" s="27"/>
    </row>
    <row r="3422">
      <c r="S3422" s="27"/>
      <c r="T3422" s="27"/>
      <c r="U3422" s="27"/>
    </row>
    <row r="3423">
      <c r="S3423" s="27"/>
      <c r="T3423" s="27"/>
      <c r="U3423" s="27"/>
    </row>
    <row r="3425">
      <c r="S3425" s="27"/>
      <c r="T3425" s="27"/>
      <c r="U3425" s="27"/>
    </row>
    <row r="3426">
      <c r="S3426" s="27"/>
      <c r="T3426" s="27"/>
      <c r="U3426" s="27"/>
    </row>
    <row r="3428">
      <c r="S3428" s="27"/>
      <c r="T3428" s="27"/>
      <c r="U3428" s="27"/>
    </row>
    <row r="3429">
      <c r="S3429" s="27"/>
      <c r="T3429" s="27"/>
      <c r="U3429" s="27"/>
    </row>
    <row r="3431">
      <c r="S3431" s="27"/>
      <c r="T3431" s="27"/>
      <c r="U3431" s="27"/>
    </row>
    <row r="3432">
      <c r="S3432" s="27"/>
      <c r="T3432" s="27"/>
      <c r="U3432" s="27"/>
    </row>
    <row r="3434">
      <c r="S3434" s="27"/>
      <c r="T3434" s="27"/>
      <c r="U3434" s="27"/>
    </row>
    <row r="3435">
      <c r="S3435" s="27"/>
      <c r="T3435" s="27"/>
      <c r="U3435" s="27"/>
    </row>
    <row r="3437">
      <c r="S3437" s="27"/>
      <c r="T3437" s="27"/>
      <c r="U3437" s="27"/>
    </row>
    <row r="3438">
      <c r="S3438" s="27"/>
      <c r="T3438" s="27"/>
      <c r="U3438" s="27"/>
    </row>
    <row r="3440">
      <c r="S3440" s="27"/>
      <c r="T3440" s="27"/>
      <c r="U3440" s="27"/>
    </row>
    <row r="3441">
      <c r="S3441" s="27"/>
      <c r="T3441" s="27"/>
      <c r="U3441" s="27"/>
    </row>
    <row r="3443">
      <c r="S3443" s="27"/>
      <c r="T3443" s="27"/>
      <c r="U3443" s="27"/>
    </row>
    <row r="3444">
      <c r="S3444" s="27"/>
      <c r="T3444" s="27"/>
      <c r="U3444" s="27"/>
    </row>
    <row r="3446">
      <c r="S3446" s="27"/>
      <c r="T3446" s="27"/>
      <c r="U3446" s="27"/>
    </row>
    <row r="3447">
      <c r="S3447" s="27"/>
      <c r="T3447" s="27"/>
      <c r="U3447" s="27"/>
    </row>
    <row r="3449">
      <c r="S3449" s="33"/>
      <c r="T3449" s="27"/>
      <c r="U3449" s="27"/>
    </row>
    <row r="3450">
      <c r="S3450" s="27"/>
      <c r="T3450" s="27"/>
      <c r="U3450" s="27"/>
    </row>
    <row r="3452">
      <c r="S3452" s="27"/>
      <c r="T3452" s="27"/>
      <c r="U3452" s="27"/>
    </row>
    <row r="3453">
      <c r="S3453" s="27"/>
      <c r="T3453" s="27"/>
      <c r="U3453" s="27"/>
    </row>
    <row r="3455">
      <c r="S3455" s="27"/>
      <c r="T3455" s="33"/>
      <c r="U3455" s="33"/>
    </row>
    <row r="3456">
      <c r="S3456" s="34"/>
      <c r="T3456" s="27"/>
      <c r="U3456" s="27"/>
    </row>
    <row r="3458">
      <c r="S3458" s="27"/>
      <c r="T3458" s="27"/>
      <c r="U3458" s="27"/>
    </row>
    <row r="3459">
      <c r="S3459" s="27"/>
      <c r="T3459" s="27"/>
      <c r="U3459" s="27"/>
    </row>
    <row r="3461">
      <c r="S3461" s="27"/>
    </row>
    <row r="3464">
      <c r="S3464" s="27"/>
      <c r="T3464" s="27"/>
      <c r="U3464" s="27"/>
    </row>
    <row r="3465">
      <c r="S3465" s="27"/>
      <c r="T3465" s="27"/>
      <c r="U3465" s="27"/>
    </row>
    <row r="3467">
      <c r="S3467" s="27"/>
      <c r="T3467" s="27"/>
      <c r="U3467" s="27"/>
    </row>
    <row r="3468">
      <c r="S3468" s="27"/>
      <c r="T3468" s="27"/>
      <c r="U3468" s="27"/>
    </row>
    <row r="3470">
      <c r="S3470" s="27"/>
      <c r="T3470" s="27"/>
      <c r="U3470" s="27"/>
    </row>
    <row r="3471">
      <c r="S3471" s="27"/>
      <c r="T3471" s="27"/>
      <c r="U3471" s="27"/>
    </row>
    <row r="3476">
      <c r="S3476" s="26"/>
      <c r="T3476" s="26"/>
    </row>
    <row r="3479">
      <c r="S3479" s="27"/>
      <c r="T3479" s="27"/>
      <c r="U3479" s="27"/>
    </row>
    <row r="3481">
      <c r="S3481" s="27"/>
      <c r="T3481" s="27"/>
      <c r="U3481" s="27"/>
    </row>
    <row r="3483">
      <c r="S3483" s="26"/>
      <c r="T3483" s="26"/>
      <c r="U3483" s="26"/>
    </row>
    <row r="3486">
      <c r="S3486" s="27"/>
      <c r="T3486" s="27"/>
      <c r="U3486" s="27"/>
    </row>
    <row r="3489">
      <c r="S3489" s="27"/>
      <c r="T3489" s="27"/>
      <c r="U3489" s="27"/>
    </row>
    <row r="3490">
      <c r="S3490" s="27"/>
      <c r="T3490" s="27"/>
      <c r="U3490" s="27"/>
    </row>
    <row r="3492">
      <c r="S3492" s="27"/>
      <c r="T3492" s="27"/>
    </row>
    <row r="3493">
      <c r="S3493" s="27"/>
      <c r="T3493" s="27"/>
      <c r="U3493" s="27"/>
    </row>
    <row r="3495">
      <c r="S3495" s="27"/>
      <c r="T3495" s="27"/>
      <c r="U3495" s="33"/>
    </row>
    <row r="3496">
      <c r="U3496" s="27"/>
    </row>
    <row r="3498">
      <c r="S3498" s="27"/>
      <c r="T3498" s="27"/>
      <c r="U3498" s="27"/>
    </row>
    <row r="3499">
      <c r="S3499" s="27"/>
      <c r="T3499" s="27"/>
      <c r="U3499" s="27"/>
    </row>
    <row r="3501">
      <c r="S3501" s="27"/>
      <c r="T3501" s="27"/>
      <c r="U3501" s="27"/>
    </row>
    <row r="3502">
      <c r="S3502" s="27"/>
      <c r="T3502" s="27"/>
      <c r="U3502" s="27"/>
    </row>
    <row r="3507">
      <c r="S3507" s="27"/>
      <c r="T3507" s="27"/>
      <c r="U3507" s="27"/>
    </row>
    <row r="3508">
      <c r="S3508" s="27"/>
      <c r="T3508" s="27"/>
      <c r="U3508" s="27"/>
    </row>
    <row r="3510">
      <c r="S3510" s="27"/>
      <c r="T3510" s="27"/>
      <c r="U3510" s="27"/>
    </row>
    <row r="3511">
      <c r="S3511" s="27"/>
      <c r="T3511" s="27"/>
      <c r="U3511" s="27"/>
    </row>
    <row r="3513">
      <c r="S3513" s="27"/>
      <c r="T3513" s="27"/>
      <c r="U3513" s="27"/>
    </row>
    <row r="3514">
      <c r="S3514" s="27"/>
      <c r="T3514" s="27"/>
      <c r="U3514" s="27"/>
    </row>
    <row r="3516">
      <c r="S3516" s="33"/>
      <c r="T3516" s="33"/>
      <c r="U3516" s="27"/>
    </row>
    <row r="3519">
      <c r="S3519" s="27"/>
      <c r="T3519" s="27"/>
      <c r="U3519" s="27"/>
    </row>
    <row r="3520">
      <c r="S3520" s="27"/>
      <c r="T3520" s="27"/>
      <c r="U3520" s="27"/>
    </row>
    <row r="3522">
      <c r="S3522" s="27"/>
      <c r="T3522" s="27"/>
      <c r="U3522" s="27"/>
    </row>
    <row r="3525">
      <c r="S3525" s="27"/>
      <c r="T3525" s="27"/>
    </row>
    <row r="3526">
      <c r="S3526" s="33"/>
      <c r="T3526" s="33"/>
      <c r="U3526" s="33"/>
    </row>
    <row r="3529">
      <c r="S3529" s="26"/>
      <c r="T3529" s="26"/>
      <c r="U3529" s="26"/>
    </row>
    <row r="3531">
      <c r="S3531" s="27"/>
      <c r="T3531" s="27"/>
      <c r="U3531" s="27"/>
    </row>
    <row r="3532">
      <c r="S3532" s="27"/>
      <c r="T3532" s="27"/>
      <c r="U3532" s="27"/>
    </row>
    <row r="3534">
      <c r="S3534" s="27"/>
      <c r="T3534" s="27"/>
      <c r="U3534" s="27"/>
    </row>
    <row r="3535">
      <c r="S3535" s="27"/>
      <c r="T3535" s="27"/>
      <c r="U3535" s="27"/>
    </row>
    <row r="3537">
      <c r="S3537" s="27"/>
      <c r="T3537" s="27"/>
      <c r="U3537" s="27"/>
    </row>
    <row r="3538">
      <c r="S3538" s="27"/>
      <c r="T3538" s="27"/>
      <c r="U3538" s="27"/>
    </row>
    <row r="3541">
      <c r="S3541" s="27"/>
      <c r="T3541" s="27"/>
      <c r="U3541" s="27"/>
    </row>
    <row r="3543">
      <c r="T3543" s="34"/>
      <c r="U3543" s="34"/>
    </row>
    <row r="3546">
      <c r="S3546" s="27"/>
      <c r="T3546" s="27"/>
      <c r="U3546" s="27"/>
    </row>
    <row r="3547">
      <c r="S3547" s="27"/>
      <c r="T3547" s="27"/>
      <c r="U3547" s="27"/>
    </row>
    <row r="3550">
      <c r="S3550" s="27"/>
      <c r="T3550" s="27"/>
      <c r="U3550" s="27"/>
    </row>
    <row r="3552">
      <c r="S3552" s="27"/>
      <c r="U3552" s="27"/>
    </row>
    <row r="3555">
      <c r="U3555" s="27"/>
    </row>
    <row r="3556">
      <c r="S3556" s="27"/>
      <c r="T3556" s="27"/>
      <c r="U3556" s="27"/>
    </row>
    <row r="3561">
      <c r="S3561" s="27"/>
      <c r="T3561" s="27"/>
      <c r="U3561" s="27"/>
    </row>
    <row r="3562">
      <c r="S3562" s="27"/>
      <c r="T3562" s="27"/>
      <c r="U3562" s="27"/>
    </row>
    <row r="3567">
      <c r="S3567" s="27"/>
      <c r="T3567" s="27"/>
      <c r="U3567" s="27"/>
    </row>
    <row r="3568">
      <c r="S3568" s="27"/>
      <c r="T3568" s="27"/>
      <c r="U3568" s="27"/>
    </row>
    <row r="3573">
      <c r="S3573" s="27"/>
      <c r="T3573" s="27"/>
      <c r="U3573" s="27"/>
    </row>
    <row r="3576">
      <c r="S3576" s="27"/>
      <c r="T3576" s="27"/>
      <c r="U3576" s="27"/>
    </row>
    <row r="3577">
      <c r="S3577" s="27"/>
      <c r="T3577" s="27"/>
      <c r="U3577" s="27"/>
    </row>
    <row r="3579">
      <c r="S3579" s="27"/>
      <c r="T3579" s="27"/>
      <c r="U3579" s="27"/>
    </row>
    <row r="3580">
      <c r="S3580" s="27"/>
      <c r="T3580" s="27"/>
      <c r="U3580" s="27"/>
    </row>
    <row r="3582">
      <c r="S3582" s="27"/>
      <c r="T3582" s="27"/>
      <c r="U3582" s="27"/>
    </row>
    <row r="3583">
      <c r="S3583" s="27"/>
      <c r="T3583" s="27"/>
      <c r="U3583" s="27"/>
    </row>
    <row r="3585">
      <c r="S3585" s="27"/>
    </row>
    <row r="3586">
      <c r="T3586" s="26"/>
      <c r="U3586" s="26"/>
    </row>
    <row r="3588">
      <c r="S3588" s="27"/>
      <c r="T3588" s="27"/>
      <c r="U3588" s="27"/>
    </row>
    <row r="3589">
      <c r="S3589" s="27"/>
      <c r="T3589" s="27"/>
      <c r="U3589" s="27"/>
    </row>
    <row r="3591">
      <c r="S3591" s="27"/>
      <c r="T3591" s="27"/>
      <c r="U3591" s="27"/>
    </row>
    <row r="3592">
      <c r="S3592" s="27"/>
      <c r="T3592" s="27"/>
      <c r="U3592" s="27"/>
    </row>
    <row r="3594">
      <c r="S3594" s="27"/>
      <c r="T3594" s="27"/>
      <c r="U3594" s="27"/>
    </row>
    <row r="3595">
      <c r="S3595" s="27"/>
      <c r="T3595" s="27"/>
      <c r="U3595" s="27"/>
    </row>
    <row r="3597">
      <c r="S3597" s="27"/>
      <c r="T3597" s="27"/>
      <c r="U3597" s="27"/>
    </row>
    <row r="3598">
      <c r="S3598" s="27"/>
      <c r="T3598" s="27"/>
      <c r="U3598" s="27"/>
    </row>
    <row r="3600">
      <c r="S3600" s="27"/>
      <c r="T3600" s="27"/>
      <c r="U3600" s="27"/>
    </row>
    <row r="3601">
      <c r="S3601" s="27"/>
      <c r="T3601" s="27"/>
      <c r="U3601" s="27"/>
    </row>
    <row r="3603">
      <c r="S3603" s="27"/>
      <c r="T3603" s="27"/>
      <c r="U3603" s="27"/>
    </row>
    <row r="3604">
      <c r="S3604" s="27"/>
      <c r="T3604" s="27"/>
      <c r="U3604" s="27"/>
    </row>
    <row r="3606">
      <c r="S3606" s="27"/>
      <c r="T3606" s="27"/>
      <c r="U3606" s="27"/>
    </row>
    <row r="3607">
      <c r="S3607" s="27"/>
      <c r="T3607" s="27"/>
      <c r="U3607" s="27"/>
    </row>
    <row r="3609">
      <c r="S3609" s="27"/>
      <c r="T3609" s="27"/>
      <c r="U3609" s="27"/>
    </row>
    <row r="3610">
      <c r="S3610" s="27"/>
      <c r="T3610" s="27"/>
      <c r="U3610" s="27"/>
    </row>
    <row r="3612">
      <c r="S3612" s="27"/>
      <c r="T3612" s="27"/>
      <c r="U3612" s="27"/>
    </row>
    <row r="3613">
      <c r="S3613" s="27"/>
      <c r="T3613" s="27"/>
      <c r="U3613" s="27"/>
    </row>
    <row r="3615">
      <c r="S3615" s="27"/>
      <c r="T3615" s="27"/>
      <c r="U3615" s="27"/>
    </row>
    <row r="3616">
      <c r="S3616" s="27"/>
      <c r="T3616" s="27"/>
      <c r="U3616" s="27"/>
    </row>
    <row r="3618">
      <c r="S3618" s="27"/>
      <c r="T3618" s="27"/>
      <c r="U3618" s="27"/>
    </row>
    <row r="3619">
      <c r="S3619" s="27"/>
      <c r="T3619" s="27"/>
      <c r="U3619" s="27"/>
    </row>
    <row r="3621">
      <c r="S3621" s="27"/>
      <c r="T3621" s="27"/>
      <c r="U3621" s="27"/>
    </row>
    <row r="3622">
      <c r="S3622" s="27"/>
      <c r="T3622" s="27"/>
      <c r="U3622" s="27"/>
    </row>
    <row r="3624">
      <c r="S3624" s="27"/>
      <c r="T3624" s="27"/>
      <c r="U3624" s="27"/>
    </row>
    <row r="3625">
      <c r="S3625" s="27"/>
      <c r="T3625" s="27"/>
      <c r="U3625" s="27"/>
    </row>
    <row r="3627">
      <c r="S3627" s="27"/>
      <c r="T3627" s="27"/>
      <c r="U3627" s="27"/>
    </row>
    <row r="3628">
      <c r="S3628" s="27"/>
      <c r="T3628" s="27"/>
      <c r="U3628" s="27"/>
    </row>
    <row r="3630">
      <c r="S3630" s="27"/>
      <c r="T3630" s="27"/>
      <c r="U3630" s="27"/>
    </row>
    <row r="3631">
      <c r="S3631" s="27"/>
      <c r="T3631" s="27"/>
      <c r="U3631" s="27"/>
    </row>
    <row r="3633">
      <c r="S3633" s="27"/>
      <c r="T3633" s="27"/>
      <c r="U3633" s="27"/>
    </row>
    <row r="3634">
      <c r="S3634" s="27"/>
      <c r="T3634" s="27"/>
      <c r="U3634" s="27"/>
    </row>
    <row r="3636">
      <c r="S3636" s="27"/>
      <c r="T3636" s="27"/>
      <c r="U3636" s="27"/>
    </row>
    <row r="3637">
      <c r="S3637" s="27"/>
      <c r="T3637" s="27"/>
      <c r="U3637" s="27"/>
    </row>
    <row r="3639">
      <c r="S3639" s="27"/>
      <c r="T3639" s="27"/>
      <c r="U3639" s="27"/>
    </row>
    <row r="3640">
      <c r="S3640" s="27"/>
      <c r="T3640" s="27"/>
      <c r="U3640" s="27"/>
    </row>
    <row r="3642">
      <c r="S3642" s="27"/>
      <c r="T3642" s="27"/>
      <c r="U3642" s="27"/>
    </row>
    <row r="3643">
      <c r="S3643" s="27"/>
      <c r="T3643" s="27"/>
      <c r="U3643" s="27"/>
    </row>
    <row r="3645">
      <c r="S3645" s="27"/>
      <c r="T3645" s="27"/>
      <c r="U3645" s="27"/>
    </row>
    <row r="3646">
      <c r="S3646" s="27"/>
      <c r="T3646" s="27"/>
      <c r="U3646" s="27"/>
    </row>
    <row r="3648">
      <c r="S3648" s="27"/>
      <c r="T3648" s="27"/>
      <c r="U3648" s="27"/>
    </row>
    <row r="3649">
      <c r="S3649" s="27"/>
      <c r="T3649" s="27"/>
      <c r="U3649" s="27"/>
    </row>
    <row r="3651">
      <c r="S3651" s="27"/>
      <c r="T3651" s="27"/>
      <c r="U3651" s="27"/>
    </row>
    <row r="3652">
      <c r="S3652" s="27"/>
      <c r="T3652" s="27"/>
      <c r="U3652" s="27"/>
    </row>
    <row r="3654">
      <c r="S3654" s="27"/>
      <c r="T3654" s="27"/>
      <c r="U3654" s="27"/>
    </row>
    <row r="3655">
      <c r="S3655" s="27"/>
      <c r="T3655" s="27"/>
      <c r="U3655" s="27"/>
    </row>
    <row r="3657">
      <c r="S3657" s="27"/>
      <c r="T3657" s="27"/>
      <c r="U3657" s="27"/>
    </row>
    <row r="3658">
      <c r="S3658" s="27"/>
      <c r="T3658" s="27"/>
      <c r="U3658" s="27"/>
    </row>
    <row r="3660">
      <c r="S3660" s="27"/>
      <c r="T3660" s="27"/>
      <c r="U3660" s="27"/>
    </row>
    <row r="3661">
      <c r="S3661" s="27"/>
      <c r="T3661" s="27"/>
      <c r="U3661" s="27"/>
    </row>
    <row r="3663">
      <c r="S3663" s="27"/>
      <c r="T3663" s="27"/>
      <c r="U3663" s="27"/>
    </row>
    <row r="3664">
      <c r="S3664" s="27"/>
      <c r="T3664" s="27"/>
      <c r="U3664" s="27"/>
    </row>
    <row r="3666">
      <c r="S3666" s="27"/>
      <c r="T3666" s="27"/>
      <c r="U3666" s="27"/>
    </row>
    <row r="3667">
      <c r="S3667" s="27"/>
      <c r="T3667" s="27"/>
      <c r="U3667" s="27"/>
    </row>
    <row r="3669">
      <c r="S3669" s="27"/>
      <c r="T3669" s="27"/>
      <c r="U3669" s="27"/>
    </row>
    <row r="3670">
      <c r="S3670" s="27"/>
      <c r="T3670" s="27"/>
      <c r="U3670" s="27"/>
    </row>
    <row r="3672">
      <c r="S3672" s="27"/>
      <c r="T3672" s="27"/>
      <c r="U3672" s="27"/>
    </row>
    <row r="3673">
      <c r="S3673" s="27"/>
      <c r="T3673" s="27"/>
      <c r="U3673" s="27"/>
    </row>
    <row r="3675">
      <c r="S3675" s="27"/>
      <c r="T3675" s="27"/>
      <c r="U3675" s="27"/>
    </row>
    <row r="3676">
      <c r="S3676" s="27"/>
      <c r="T3676" s="27"/>
      <c r="U3676" s="27"/>
    </row>
    <row r="3678">
      <c r="S3678" s="27"/>
      <c r="T3678" s="27"/>
      <c r="U3678" s="27"/>
    </row>
    <row r="3679">
      <c r="S3679" s="27"/>
      <c r="T3679" s="27"/>
      <c r="U3679" s="27"/>
    </row>
    <row r="3681">
      <c r="S3681" s="27"/>
      <c r="T3681" s="27"/>
      <c r="U3681" s="27"/>
    </row>
    <row r="3682">
      <c r="S3682" s="27"/>
      <c r="T3682" s="27"/>
      <c r="U3682" s="27"/>
    </row>
    <row r="3684">
      <c r="S3684" s="27"/>
      <c r="T3684" s="27"/>
      <c r="U3684" s="27"/>
    </row>
    <row r="3686">
      <c r="S3686" s="27"/>
      <c r="T3686" s="27"/>
      <c r="U3686" s="27"/>
    </row>
    <row r="3687">
      <c r="S3687" s="27"/>
      <c r="T3687" s="27"/>
      <c r="U3687" s="27"/>
    </row>
    <row r="3689">
      <c r="S3689" s="27"/>
      <c r="T3689" s="27"/>
      <c r="U3689" s="27"/>
    </row>
    <row r="3690">
      <c r="S3690" s="27"/>
      <c r="T3690" s="27"/>
      <c r="U3690" s="27"/>
    </row>
    <row r="3692">
      <c r="S3692" s="27"/>
      <c r="T3692" s="27"/>
      <c r="U3692" s="27"/>
    </row>
    <row r="3693">
      <c r="S3693" s="27"/>
      <c r="T3693" s="27"/>
      <c r="U3693" s="27"/>
    </row>
    <row r="3695">
      <c r="S3695" s="27"/>
      <c r="T3695" s="27"/>
      <c r="U3695" s="27"/>
    </row>
    <row r="3696">
      <c r="S3696" s="27"/>
      <c r="T3696" s="27"/>
      <c r="U3696" s="27"/>
    </row>
    <row r="3698">
      <c r="S3698" s="27"/>
      <c r="T3698" s="27"/>
      <c r="U3698" s="27"/>
    </row>
    <row r="3699">
      <c r="S3699" s="27"/>
      <c r="T3699" s="27"/>
      <c r="U3699" s="27"/>
    </row>
    <row r="3701">
      <c r="S3701" s="27"/>
      <c r="T3701" s="27"/>
      <c r="U3701" s="27"/>
    </row>
    <row r="3702">
      <c r="S3702" s="27"/>
      <c r="T3702" s="27"/>
      <c r="U3702" s="27"/>
    </row>
    <row r="3704">
      <c r="S3704" s="27"/>
      <c r="T3704" s="27"/>
      <c r="U3704" s="27"/>
    </row>
    <row r="3705">
      <c r="S3705" s="27"/>
      <c r="T3705" s="27"/>
      <c r="U3705" s="27"/>
    </row>
    <row r="3707">
      <c r="T3707" s="27"/>
      <c r="U3707" s="27"/>
    </row>
    <row r="3709">
      <c r="S3709" s="27"/>
      <c r="T3709" s="27"/>
      <c r="U3709" s="27"/>
    </row>
    <row r="3711">
      <c r="T3711" s="27"/>
      <c r="U3711" s="27"/>
    </row>
    <row r="3713">
      <c r="S3713" s="27"/>
      <c r="T3713" s="27"/>
      <c r="U3713" s="27"/>
    </row>
    <row r="3715">
      <c r="S3715" s="27"/>
      <c r="T3715" s="27"/>
      <c r="U3715" s="27"/>
    </row>
    <row r="3716">
      <c r="S3716" s="27"/>
      <c r="T3716" s="27"/>
      <c r="U3716" s="27"/>
    </row>
    <row r="3718">
      <c r="S3718" s="27"/>
      <c r="T3718" s="27"/>
      <c r="U3718" s="27"/>
    </row>
    <row r="3719">
      <c r="S3719" s="27"/>
      <c r="T3719" s="27"/>
      <c r="U3719" s="27"/>
    </row>
    <row r="3721">
      <c r="S3721" s="27"/>
      <c r="T3721" s="27"/>
      <c r="U3721" s="27"/>
    </row>
    <row r="3722">
      <c r="U3722" s="27"/>
    </row>
    <row r="3724">
      <c r="S3724" s="27"/>
      <c r="T3724" s="27"/>
      <c r="U3724" s="27"/>
    </row>
    <row r="3725">
      <c r="S3725" s="27"/>
      <c r="T3725" s="27"/>
      <c r="U3725" s="27"/>
    </row>
    <row r="3727">
      <c r="S3727" s="27"/>
      <c r="T3727" s="27"/>
      <c r="U3727" s="27"/>
    </row>
    <row r="3728">
      <c r="S3728" s="27"/>
      <c r="T3728" s="27"/>
      <c r="U3728" s="27"/>
    </row>
    <row r="3730">
      <c r="S3730" s="27"/>
      <c r="T3730" s="27"/>
      <c r="U3730" s="27"/>
    </row>
    <row r="3731">
      <c r="S3731" s="27"/>
      <c r="T3731" s="27"/>
      <c r="U3731" s="27"/>
    </row>
    <row r="3739">
      <c r="S3739" s="27"/>
      <c r="T3739" s="27"/>
      <c r="U3739" s="27"/>
    </row>
    <row r="3742">
      <c r="S3742" s="27"/>
      <c r="T3742" s="27"/>
      <c r="U3742" s="27"/>
    </row>
    <row r="3743">
      <c r="S3743" s="27"/>
      <c r="T3743" s="27"/>
      <c r="U3743" s="27"/>
    </row>
    <row r="3745">
      <c r="S3745" s="27"/>
      <c r="T3745" s="27"/>
      <c r="U3745" s="27"/>
    </row>
    <row r="3746">
      <c r="S3746" s="27"/>
      <c r="T3746" s="27"/>
      <c r="U3746" s="27"/>
    </row>
    <row r="3748">
      <c r="S3748" s="27"/>
      <c r="T3748" s="27"/>
      <c r="U3748" s="27"/>
    </row>
    <row r="3749">
      <c r="S3749" s="27"/>
      <c r="T3749" s="27"/>
      <c r="U3749" s="27"/>
    </row>
    <row r="3754">
      <c r="S3754" s="27"/>
      <c r="T3754" s="27"/>
      <c r="U3754" s="27"/>
    </row>
    <row r="3755">
      <c r="S3755" s="27"/>
      <c r="T3755" s="27"/>
      <c r="U3755" s="27"/>
    </row>
    <row r="3757">
      <c r="S3757" s="27"/>
      <c r="T3757" s="27"/>
      <c r="U3757" s="27"/>
    </row>
    <row r="3758">
      <c r="S3758" s="27"/>
      <c r="T3758" s="27"/>
      <c r="U3758" s="27"/>
    </row>
    <row r="3760">
      <c r="T3760" s="27"/>
    </row>
    <row r="3761">
      <c r="S3761" s="27"/>
      <c r="T3761" s="27"/>
      <c r="U3761" s="27"/>
    </row>
    <row r="3763">
      <c r="S3763" s="27"/>
      <c r="T3763" s="27"/>
      <c r="U3763" s="27"/>
    </row>
    <row r="3766">
      <c r="S3766" s="26"/>
      <c r="T3766" s="26"/>
      <c r="U3766" s="26"/>
    </row>
    <row r="3769">
      <c r="S3769" s="27"/>
      <c r="T3769" s="27"/>
      <c r="U3769" s="27"/>
    </row>
    <row r="3770">
      <c r="S3770" s="27"/>
      <c r="T3770" s="27"/>
      <c r="U3770" s="27"/>
    </row>
    <row r="3772">
      <c r="S3772" s="27"/>
      <c r="T3772" s="27"/>
      <c r="U3772" s="27"/>
    </row>
    <row r="3773">
      <c r="S3773" s="27"/>
      <c r="T3773" s="27"/>
      <c r="U3773" s="27"/>
    </row>
    <row r="3775">
      <c r="S3775" s="34"/>
      <c r="T3775" s="34"/>
      <c r="U3775" s="34"/>
    </row>
    <row r="3781">
      <c r="S3781" s="27"/>
      <c r="T3781" s="27"/>
      <c r="U3781" s="27"/>
    </row>
    <row r="3784">
      <c r="S3784" s="27"/>
      <c r="T3784" s="27"/>
      <c r="U3784" s="27"/>
    </row>
    <row r="3785">
      <c r="S3785" s="27"/>
      <c r="T3785" s="27"/>
      <c r="U3785" s="27"/>
    </row>
    <row r="3787">
      <c r="S3787" s="27"/>
      <c r="T3787" s="27"/>
      <c r="U3787" s="27"/>
    </row>
    <row r="3788">
      <c r="S3788" s="27"/>
      <c r="T3788" s="27"/>
      <c r="U3788" s="27"/>
    </row>
    <row r="3790">
      <c r="S3790" s="27"/>
      <c r="T3790" s="27"/>
      <c r="U3790" s="27"/>
    </row>
    <row r="3791">
      <c r="S3791" s="27"/>
      <c r="T3791" s="27"/>
      <c r="U3791" s="27"/>
    </row>
    <row r="3793">
      <c r="S3793" s="27"/>
      <c r="T3793" s="27"/>
      <c r="U3793" s="27"/>
    </row>
    <row r="3794">
      <c r="S3794" s="27"/>
      <c r="T3794" s="27"/>
      <c r="U3794" s="27"/>
    </row>
    <row r="3796">
      <c r="S3796" s="27"/>
      <c r="T3796" s="27"/>
      <c r="U3796" s="27"/>
    </row>
    <row r="3797">
      <c r="S3797" s="27"/>
      <c r="T3797" s="27"/>
      <c r="U3797" s="27"/>
    </row>
    <row r="3799">
      <c r="S3799" s="27"/>
      <c r="T3799" s="27"/>
      <c r="U3799" s="27"/>
    </row>
    <row r="3800">
      <c r="S3800" s="27"/>
      <c r="T3800" s="27"/>
      <c r="U3800" s="27"/>
    </row>
    <row r="3802">
      <c r="S3802" s="27"/>
      <c r="T3802" s="27"/>
      <c r="U3802" s="27"/>
    </row>
    <row r="3803">
      <c r="S3803" s="27"/>
      <c r="T3803" s="27"/>
      <c r="U3803" s="27"/>
    </row>
    <row r="3805">
      <c r="S3805" s="27"/>
      <c r="T3805" s="27"/>
      <c r="U3805" s="27"/>
    </row>
    <row r="3806">
      <c r="S3806" s="27"/>
      <c r="T3806" s="27"/>
      <c r="U3806" s="27"/>
    </row>
    <row r="3808">
      <c r="S3808" s="27"/>
      <c r="T3808" s="27"/>
      <c r="U3808" s="27"/>
    </row>
    <row r="3809">
      <c r="S3809" s="27"/>
      <c r="T3809" s="27"/>
      <c r="U3809" s="27"/>
    </row>
    <row r="3811">
      <c r="S3811" s="27"/>
      <c r="T3811" s="27"/>
      <c r="U3811" s="27"/>
    </row>
    <row r="3812">
      <c r="S3812" s="27"/>
      <c r="T3812" s="27"/>
      <c r="U3812" s="27"/>
    </row>
    <row r="3814">
      <c r="S3814" s="27"/>
      <c r="T3814" s="27"/>
      <c r="U3814" s="27"/>
    </row>
    <row r="3815">
      <c r="S3815" s="27"/>
      <c r="T3815" s="27"/>
      <c r="U3815" s="27"/>
    </row>
    <row r="3817">
      <c r="S3817" s="27"/>
      <c r="T3817" s="27"/>
      <c r="U3817" s="27"/>
    </row>
    <row r="3818">
      <c r="S3818" s="27"/>
      <c r="T3818" s="27"/>
      <c r="U3818" s="27"/>
    </row>
    <row r="3820">
      <c r="S3820" s="27"/>
      <c r="T3820" s="27"/>
      <c r="U3820" s="27"/>
    </row>
    <row r="3821">
      <c r="S3821" s="27"/>
      <c r="T3821" s="27"/>
      <c r="U3821" s="27"/>
    </row>
    <row r="3823">
      <c r="S3823" s="27"/>
      <c r="T3823" s="27"/>
      <c r="U3823" s="27"/>
    </row>
    <row r="3824">
      <c r="S3824" s="27"/>
      <c r="T3824" s="27"/>
      <c r="U3824" s="27"/>
    </row>
    <row r="3826">
      <c r="S3826" s="27"/>
      <c r="T3826" s="27"/>
      <c r="U3826" s="27"/>
    </row>
    <row r="3827">
      <c r="S3827" s="27"/>
      <c r="T3827" s="27"/>
      <c r="U3827" s="27"/>
    </row>
    <row r="3829">
      <c r="S3829" s="27"/>
      <c r="T3829" s="27"/>
      <c r="U3829" s="27"/>
    </row>
    <row r="3830">
      <c r="S3830" s="27"/>
      <c r="T3830" s="27"/>
      <c r="U3830" s="27"/>
    </row>
    <row r="3832">
      <c r="S3832" s="27"/>
      <c r="T3832" s="27"/>
      <c r="U3832" s="27"/>
    </row>
    <row r="3833">
      <c r="S3833" s="27"/>
      <c r="T3833" s="27"/>
      <c r="U3833" s="27"/>
    </row>
    <row r="3835">
      <c r="S3835" s="27"/>
      <c r="T3835" s="27"/>
      <c r="U3835" s="27"/>
    </row>
    <row r="3836">
      <c r="S3836" s="27"/>
      <c r="T3836" s="27"/>
      <c r="U3836" s="27"/>
    </row>
    <row r="3838">
      <c r="S3838" s="27"/>
      <c r="T3838" s="27"/>
      <c r="U3838" s="27"/>
    </row>
    <row r="3839">
      <c r="S3839" s="27"/>
      <c r="T3839" s="27"/>
      <c r="U3839" s="27"/>
    </row>
    <row r="3841">
      <c r="S3841" s="27"/>
      <c r="T3841" s="27"/>
      <c r="U3841" s="27"/>
    </row>
    <row r="3842">
      <c r="S3842" s="27"/>
      <c r="T3842" s="27"/>
      <c r="U3842" s="27"/>
    </row>
    <row r="3844">
      <c r="S3844" s="27"/>
      <c r="T3844" s="27"/>
      <c r="U3844" s="27"/>
    </row>
    <row r="3845">
      <c r="S3845" s="27"/>
      <c r="T3845" s="27"/>
      <c r="U3845" s="27"/>
    </row>
    <row r="3847">
      <c r="S3847" s="27"/>
      <c r="T3847" s="27"/>
      <c r="U3847" s="27"/>
    </row>
    <row r="3848">
      <c r="S3848" s="27"/>
      <c r="T3848" s="27"/>
      <c r="U3848" s="27"/>
    </row>
    <row r="3850">
      <c r="S3850" s="27"/>
      <c r="T3850" s="27"/>
      <c r="U3850" s="27"/>
    </row>
    <row r="3851">
      <c r="S3851" s="27"/>
      <c r="T3851" s="27"/>
      <c r="U3851" s="27"/>
    </row>
    <row r="3853">
      <c r="S3853" s="27"/>
      <c r="T3853" s="27"/>
      <c r="U3853" s="27"/>
    </row>
    <row r="3854">
      <c r="S3854" s="27"/>
      <c r="T3854" s="27"/>
      <c r="U3854" s="27"/>
    </row>
    <row r="3859">
      <c r="S3859" s="27"/>
      <c r="T3859" s="27"/>
      <c r="U3859" s="27"/>
    </row>
    <row r="3860">
      <c r="S3860" s="27"/>
      <c r="T3860" s="27"/>
      <c r="U3860" s="27"/>
    </row>
    <row r="3865">
      <c r="T3865" s="33"/>
      <c r="U3865" s="27"/>
    </row>
    <row r="3866">
      <c r="T3866" s="27"/>
    </row>
    <row r="3868">
      <c r="S3868" s="27"/>
      <c r="T3868" s="27"/>
    </row>
    <row r="3869">
      <c r="S3869" s="27"/>
      <c r="T3869" s="27"/>
    </row>
    <row r="3871">
      <c r="S3871" s="27"/>
      <c r="T3871" s="27"/>
      <c r="U3871" s="27"/>
    </row>
    <row r="3875">
      <c r="S3875" s="27"/>
      <c r="T3875" s="27"/>
      <c r="U3875" s="27"/>
    </row>
    <row r="3876">
      <c r="S3876" s="27"/>
      <c r="T3876" s="27"/>
      <c r="U3876" s="27"/>
    </row>
    <row r="3878">
      <c r="S3878" s="27"/>
      <c r="T3878" s="27"/>
      <c r="U3878" s="27"/>
    </row>
    <row r="3879">
      <c r="S3879" s="27"/>
      <c r="T3879" s="27"/>
      <c r="U3879" s="27"/>
    </row>
    <row r="3884">
      <c r="S3884" s="26"/>
      <c r="T3884" s="26"/>
      <c r="U3884" s="26"/>
    </row>
    <row r="3889">
      <c r="S3889" s="27"/>
      <c r="T3889" s="27"/>
      <c r="U3889" s="27"/>
    </row>
    <row r="3891">
      <c r="S3891" s="27"/>
      <c r="T3891" s="27"/>
      <c r="U3891" s="27"/>
    </row>
    <row r="3894">
      <c r="S3894" s="27"/>
      <c r="T3894" s="27"/>
      <c r="U3894" s="27"/>
    </row>
    <row r="3897">
      <c r="S3897" s="27"/>
      <c r="T3897" s="27"/>
      <c r="U3897" s="27"/>
    </row>
    <row r="3898">
      <c r="S3898" s="27"/>
      <c r="T3898" s="27"/>
      <c r="U3898" s="27"/>
    </row>
    <row r="3900">
      <c r="S3900" s="27"/>
      <c r="T3900" s="27"/>
      <c r="U3900" s="27"/>
    </row>
    <row r="3901">
      <c r="S3901" s="27"/>
      <c r="T3901" s="27"/>
      <c r="U3901" s="27"/>
    </row>
    <row r="3903">
      <c r="S3903" s="27"/>
      <c r="T3903" s="27"/>
      <c r="U3903" s="27"/>
    </row>
    <row r="3904">
      <c r="T3904" s="27"/>
      <c r="U3904" s="27"/>
    </row>
    <row r="3906">
      <c r="S3906" s="27"/>
      <c r="T3906" s="27"/>
      <c r="U3906" s="27"/>
    </row>
    <row r="3907">
      <c r="S3907" s="26"/>
      <c r="T3907" s="26"/>
      <c r="U3907" s="26"/>
    </row>
    <row r="3909">
      <c r="S3909" s="27"/>
      <c r="T3909" s="27"/>
      <c r="U3909" s="27"/>
    </row>
    <row r="3910">
      <c r="S3910" s="27"/>
      <c r="T3910" s="27"/>
      <c r="U3910" s="27"/>
    </row>
    <row r="3915">
      <c r="S3915" s="27"/>
      <c r="T3915" s="27"/>
      <c r="U3915" s="27"/>
    </row>
    <row r="3916">
      <c r="S3916" s="27"/>
      <c r="T3916" s="27"/>
      <c r="U3916" s="27"/>
    </row>
    <row r="3918">
      <c r="S3918" s="27"/>
      <c r="T3918" s="27"/>
      <c r="U3918" s="27"/>
    </row>
    <row r="3919">
      <c r="S3919" s="26"/>
      <c r="T3919" s="27"/>
      <c r="U3919" s="27"/>
    </row>
    <row r="3921">
      <c r="S3921" s="27"/>
      <c r="T3921" s="27"/>
      <c r="U3921" s="27"/>
    </row>
    <row r="3922">
      <c r="S3922" s="27"/>
      <c r="T3922" s="27"/>
      <c r="U3922" s="27"/>
    </row>
    <row r="3924">
      <c r="S3924" s="33"/>
      <c r="T3924" s="33"/>
      <c r="U3924" s="33"/>
    </row>
    <row r="3925">
      <c r="T3925" s="34"/>
    </row>
    <row r="3927">
      <c r="T3927" s="27"/>
      <c r="U3927" s="27"/>
    </row>
    <row r="3928">
      <c r="T3928" s="27"/>
      <c r="U3928" s="27"/>
    </row>
    <row r="3930">
      <c r="S3930" s="27"/>
      <c r="T3930" s="27"/>
      <c r="U3930" s="27"/>
    </row>
    <row r="3933">
      <c r="S3933" s="27"/>
      <c r="T3933" s="27"/>
      <c r="U3933" s="27"/>
    </row>
    <row r="3934">
      <c r="S3934" s="27"/>
      <c r="T3934" s="27"/>
      <c r="U3934" s="27"/>
    </row>
    <row r="3939">
      <c r="S3939" s="27"/>
      <c r="T3939" s="27"/>
      <c r="U3939" s="27"/>
    </row>
    <row r="3940">
      <c r="S3940" s="27"/>
      <c r="T3940" s="27"/>
      <c r="U3940" s="27"/>
    </row>
    <row r="3942">
      <c r="S3942" s="27"/>
      <c r="T3942" s="27"/>
      <c r="U3942" s="27"/>
    </row>
    <row r="3943">
      <c r="S3943" s="27"/>
      <c r="T3943" s="27"/>
      <c r="U3943" s="27"/>
    </row>
    <row r="3945">
      <c r="S3945" s="27"/>
      <c r="T3945" s="27"/>
      <c r="U3945" s="27"/>
    </row>
    <row r="3946">
      <c r="T3946" s="27"/>
      <c r="U3946" s="27"/>
    </row>
    <row r="3948">
      <c r="S3948" s="27"/>
      <c r="T3948" s="27"/>
      <c r="U3948" s="27"/>
    </row>
    <row r="3949">
      <c r="S3949" s="27"/>
      <c r="T3949" s="27"/>
      <c r="U3949" s="27"/>
    </row>
    <row r="3951">
      <c r="S3951" s="27"/>
    </row>
    <row r="3954">
      <c r="S3954" s="27"/>
      <c r="T3954" s="27"/>
      <c r="U3954" s="27"/>
    </row>
    <row r="3955">
      <c r="S3955" s="27"/>
      <c r="T3955" s="27"/>
      <c r="U3955" s="27"/>
    </row>
    <row r="3957">
      <c r="S3957" s="27"/>
      <c r="T3957" s="27"/>
      <c r="U3957" s="27"/>
    </row>
    <row r="3958">
      <c r="S3958" s="27"/>
      <c r="T3958" s="27"/>
      <c r="U3958" s="27"/>
    </row>
    <row r="3960">
      <c r="S3960" s="27"/>
      <c r="T3960" s="27"/>
      <c r="U3960" s="26"/>
    </row>
    <row r="3963">
      <c r="S3963" s="27"/>
    </row>
    <row r="3964">
      <c r="S3964" s="27"/>
      <c r="T3964" s="27"/>
      <c r="U3964" s="27"/>
    </row>
    <row r="3966">
      <c r="S3966" s="27"/>
      <c r="T3966" s="27"/>
      <c r="U3966" s="27"/>
    </row>
    <row r="3967">
      <c r="S3967" s="27"/>
      <c r="T3967" s="27"/>
      <c r="U3967" s="27"/>
    </row>
    <row r="3969">
      <c r="S3969" s="27"/>
      <c r="T3969" s="27"/>
      <c r="U3969" s="27"/>
    </row>
    <row r="3970">
      <c r="S3970" s="27"/>
      <c r="T3970" s="27"/>
      <c r="U3970" s="27"/>
    </row>
    <row r="3972">
      <c r="S3972" s="27"/>
      <c r="T3972" s="27"/>
      <c r="U3972" s="27"/>
    </row>
    <row r="3973">
      <c r="S3973" s="26"/>
      <c r="T3973" s="26"/>
      <c r="U3973" s="26"/>
    </row>
    <row r="3975">
      <c r="S3975" s="27"/>
      <c r="T3975" s="27"/>
      <c r="U3975" s="27"/>
    </row>
    <row r="3976">
      <c r="S3976" s="26"/>
      <c r="T3976" s="26"/>
      <c r="U3976" s="26"/>
    </row>
    <row r="3981">
      <c r="S3981" s="27"/>
      <c r="T3981" s="27"/>
      <c r="U3981" s="27"/>
    </row>
    <row r="3984">
      <c r="S3984" s="27"/>
      <c r="T3984" s="27"/>
      <c r="U3984" s="27"/>
    </row>
    <row r="3985">
      <c r="S3985" s="27"/>
      <c r="T3985" s="27"/>
      <c r="U3985" s="27"/>
    </row>
    <row r="3987">
      <c r="S3987" s="27"/>
      <c r="T3987" s="27"/>
      <c r="U3987" s="27"/>
    </row>
    <row r="3988">
      <c r="S3988" s="27"/>
      <c r="T3988" s="27"/>
      <c r="U3988" s="27"/>
    </row>
    <row r="3990">
      <c r="S3990" s="27"/>
      <c r="T3990" s="27"/>
      <c r="U3990" s="27"/>
    </row>
    <row r="3991">
      <c r="S3991" s="27"/>
      <c r="T3991" s="27"/>
      <c r="U3991" s="27"/>
    </row>
    <row r="3993">
      <c r="S3993" s="26"/>
      <c r="T3993" s="26"/>
    </row>
    <row r="3997">
      <c r="S3997" s="27"/>
      <c r="T3997" s="27"/>
      <c r="U3997" s="27"/>
    </row>
    <row r="3998">
      <c r="S3998" s="27"/>
      <c r="T3998" s="27"/>
      <c r="U3998" s="27"/>
    </row>
    <row r="4000">
      <c r="S4000" s="27"/>
      <c r="T4000" s="27"/>
      <c r="U4000" s="27"/>
    </row>
    <row r="4001">
      <c r="S4001" s="27"/>
      <c r="T4001" s="27"/>
      <c r="U4001" s="27"/>
    </row>
    <row r="4003">
      <c r="S4003" s="27"/>
      <c r="T4003" s="27"/>
      <c r="U4003" s="27"/>
    </row>
    <row r="4004">
      <c r="S4004" s="27"/>
      <c r="T4004" s="27"/>
      <c r="U4004" s="27"/>
    </row>
    <row r="4006">
      <c r="S4006" s="27"/>
      <c r="T4006" s="27"/>
      <c r="U4006" s="27"/>
    </row>
    <row r="4007">
      <c r="S4007" s="27"/>
      <c r="T4007" s="27"/>
      <c r="U4007" s="27"/>
    </row>
    <row r="4009">
      <c r="S4009" s="27"/>
      <c r="T4009" s="27"/>
      <c r="U4009" s="27"/>
    </row>
    <row r="4010">
      <c r="S4010" s="27"/>
      <c r="T4010" s="27"/>
      <c r="U4010" s="27"/>
    </row>
    <row r="4012">
      <c r="S4012" s="27"/>
      <c r="T4012" s="27"/>
      <c r="U4012" s="27"/>
    </row>
    <row r="4013">
      <c r="S4013" s="27"/>
      <c r="T4013" s="27"/>
      <c r="U4013" s="27"/>
    </row>
    <row r="4015">
      <c r="S4015" s="27"/>
      <c r="T4015" s="27"/>
      <c r="U4015" s="27"/>
    </row>
    <row r="4016">
      <c r="S4016" s="27"/>
      <c r="T4016" s="27"/>
      <c r="U4016" s="27"/>
    </row>
    <row r="4018">
      <c r="S4018" s="27"/>
      <c r="T4018" s="27"/>
      <c r="U4018" s="27"/>
    </row>
    <row r="4019">
      <c r="S4019" s="27"/>
      <c r="T4019" s="27"/>
      <c r="U4019" s="27"/>
    </row>
    <row r="4021">
      <c r="S4021" s="27"/>
      <c r="T4021" s="27"/>
      <c r="U4021" s="27"/>
    </row>
    <row r="4022">
      <c r="S4022" s="27"/>
      <c r="T4022" s="27"/>
      <c r="U4022" s="27"/>
    </row>
    <row r="4024">
      <c r="S4024" s="27"/>
      <c r="T4024" s="27"/>
      <c r="U4024" s="27"/>
    </row>
    <row r="4025">
      <c r="S4025" s="27"/>
      <c r="T4025" s="27"/>
      <c r="U4025" s="27"/>
    </row>
    <row r="4027">
      <c r="S4027" s="27"/>
      <c r="T4027" s="27"/>
      <c r="U4027" s="27"/>
    </row>
    <row r="4028">
      <c r="S4028" s="27"/>
      <c r="T4028" s="27"/>
      <c r="U4028" s="27"/>
    </row>
    <row r="4030">
      <c r="S4030" s="27"/>
      <c r="T4030" s="27"/>
      <c r="U4030" s="27"/>
    </row>
    <row r="4031">
      <c r="S4031" s="27"/>
      <c r="T4031" s="27"/>
      <c r="U4031" s="27"/>
    </row>
    <row r="4033">
      <c r="S4033" s="27"/>
      <c r="T4033" s="27"/>
      <c r="U4033" s="27"/>
    </row>
    <row r="4034">
      <c r="S4034" s="27"/>
      <c r="T4034" s="27"/>
      <c r="U4034" s="27"/>
    </row>
    <row r="4036">
      <c r="S4036" s="27"/>
      <c r="T4036" s="27"/>
      <c r="U4036" s="27"/>
    </row>
    <row r="4037">
      <c r="S4037" s="27"/>
      <c r="T4037" s="27"/>
      <c r="U4037" s="27"/>
    </row>
    <row r="4039">
      <c r="S4039" s="27"/>
      <c r="T4039" s="27"/>
      <c r="U4039" s="27"/>
    </row>
    <row r="4040">
      <c r="S4040" s="27"/>
      <c r="T4040" s="27"/>
      <c r="U4040" s="27"/>
    </row>
    <row r="4042">
      <c r="S4042" s="27"/>
      <c r="T4042" s="27"/>
      <c r="U4042" s="27"/>
    </row>
    <row r="4043">
      <c r="S4043" s="27"/>
      <c r="T4043" s="27"/>
      <c r="U4043" s="27"/>
    </row>
    <row r="4045">
      <c r="S4045" s="27"/>
      <c r="T4045" s="27"/>
      <c r="U4045" s="27"/>
    </row>
    <row r="4046">
      <c r="S4046" s="27"/>
      <c r="T4046" s="27"/>
      <c r="U4046" s="27"/>
    </row>
    <row r="4048">
      <c r="S4048" s="27"/>
      <c r="T4048" s="27"/>
      <c r="U4048" s="27"/>
    </row>
    <row r="4049">
      <c r="S4049" s="27"/>
      <c r="T4049" s="27"/>
      <c r="U4049" s="27"/>
    </row>
    <row r="4051">
      <c r="S4051" s="27"/>
      <c r="T4051" s="27"/>
      <c r="U4051" s="27"/>
    </row>
    <row r="4052">
      <c r="S4052" s="27"/>
      <c r="T4052" s="27"/>
      <c r="U4052" s="27"/>
    </row>
    <row r="4054">
      <c r="S4054" s="27"/>
      <c r="T4054" s="27"/>
      <c r="U4054" s="27"/>
    </row>
    <row r="4055">
      <c r="S4055" s="27"/>
      <c r="T4055" s="27"/>
      <c r="U4055" s="27"/>
    </row>
    <row r="4057">
      <c r="S4057" s="27"/>
      <c r="T4057" s="27"/>
      <c r="U4057" s="27"/>
    </row>
    <row r="4058">
      <c r="S4058" s="27"/>
      <c r="T4058" s="27"/>
      <c r="U4058" s="27"/>
    </row>
    <row r="4060">
      <c r="S4060" s="27"/>
      <c r="T4060" s="27"/>
      <c r="U4060" s="27"/>
    </row>
    <row r="4061">
      <c r="S4061" s="27"/>
      <c r="T4061" s="27"/>
      <c r="U4061" s="27"/>
    </row>
    <row r="4063">
      <c r="S4063" s="27"/>
      <c r="T4063" s="27"/>
      <c r="U4063" s="27"/>
    </row>
    <row r="4064">
      <c r="S4064" s="27"/>
      <c r="T4064" s="27"/>
      <c r="U4064" s="27"/>
    </row>
    <row r="4066">
      <c r="S4066" s="27"/>
      <c r="T4066" s="27"/>
      <c r="U4066" s="27"/>
    </row>
    <row r="4067">
      <c r="S4067" s="27"/>
      <c r="T4067" s="27"/>
      <c r="U4067" s="27"/>
    </row>
    <row r="4069">
      <c r="S4069" s="27"/>
      <c r="T4069" s="27"/>
      <c r="U4069" s="27"/>
    </row>
    <row r="4070">
      <c r="S4070" s="27"/>
      <c r="T4070" s="27"/>
      <c r="U4070" s="27"/>
    </row>
    <row r="4072">
      <c r="S4072" s="27"/>
      <c r="T4072" s="27"/>
      <c r="U4072" s="27"/>
    </row>
    <row r="4073">
      <c r="S4073" s="27"/>
      <c r="T4073" s="27"/>
      <c r="U4073" s="27"/>
    </row>
    <row r="4075">
      <c r="S4075" s="27"/>
      <c r="T4075" s="27"/>
      <c r="U4075" s="27"/>
    </row>
    <row r="4076">
      <c r="S4076" s="27"/>
      <c r="T4076" s="27"/>
      <c r="U4076" s="27"/>
    </row>
    <row r="4078">
      <c r="S4078" s="27"/>
      <c r="T4078" s="27"/>
      <c r="U4078" s="27"/>
    </row>
    <row r="4079">
      <c r="S4079" s="27"/>
      <c r="T4079" s="27"/>
      <c r="U4079" s="27"/>
    </row>
    <row r="4081">
      <c r="S4081" s="27"/>
      <c r="T4081" s="27"/>
      <c r="U4081" s="27"/>
    </row>
    <row r="4082">
      <c r="S4082" s="27"/>
      <c r="T4082" s="27"/>
      <c r="U4082" s="27"/>
    </row>
    <row r="4084">
      <c r="S4084" s="27"/>
      <c r="T4084" s="27"/>
      <c r="U4084" s="27"/>
    </row>
    <row r="4085">
      <c r="S4085" s="27"/>
      <c r="T4085" s="27"/>
      <c r="U4085" s="27"/>
    </row>
    <row r="4087">
      <c r="S4087" s="27"/>
      <c r="T4087" s="27"/>
      <c r="U4087" s="27"/>
    </row>
    <row r="4089">
      <c r="S4089" s="27"/>
      <c r="T4089" s="27"/>
      <c r="U4089" s="27"/>
    </row>
    <row r="4090">
      <c r="S4090" s="27"/>
      <c r="T4090" s="27"/>
      <c r="U4090" s="27"/>
    </row>
    <row r="4092">
      <c r="S4092" s="27"/>
    </row>
    <row r="4093">
      <c r="S4093" s="27"/>
      <c r="T4093" s="27"/>
      <c r="U4093" s="27"/>
    </row>
    <row r="4095">
      <c r="S4095" s="27"/>
      <c r="T4095" s="27"/>
      <c r="U4095" s="27"/>
    </row>
    <row r="4096">
      <c r="S4096" s="27"/>
      <c r="T4096" s="27"/>
      <c r="U4096" s="27"/>
    </row>
    <row r="4098">
      <c r="S4098" s="27"/>
      <c r="T4098" s="27"/>
      <c r="U4098" s="27"/>
    </row>
    <row r="4099">
      <c r="S4099" s="27"/>
      <c r="T4099" s="27"/>
      <c r="U4099" s="27"/>
    </row>
    <row r="4101">
      <c r="S4101" s="27"/>
      <c r="T4101" s="27"/>
      <c r="U4101" s="27"/>
    </row>
    <row r="4102">
      <c r="S4102" s="27"/>
      <c r="T4102" s="27"/>
      <c r="U4102" s="27"/>
    </row>
    <row r="4104">
      <c r="S4104" s="27"/>
      <c r="T4104" s="27"/>
      <c r="U4104" s="27"/>
    </row>
    <row r="4105">
      <c r="S4105" s="27"/>
      <c r="T4105" s="27"/>
      <c r="U4105" s="27"/>
    </row>
    <row r="4107">
      <c r="S4107" s="27"/>
      <c r="T4107" s="27"/>
      <c r="U4107" s="27"/>
    </row>
    <row r="4108">
      <c r="S4108" s="27"/>
      <c r="T4108" s="27"/>
      <c r="U4108" s="27"/>
    </row>
    <row r="4110">
      <c r="S4110" s="27"/>
      <c r="T4110" s="27"/>
      <c r="U4110" s="27"/>
    </row>
    <row r="4112">
      <c r="S4112" s="27"/>
      <c r="T4112" s="27"/>
      <c r="U4112" s="27"/>
    </row>
    <row r="4114">
      <c r="S4114" s="27"/>
      <c r="T4114" s="27"/>
      <c r="U4114" s="27"/>
    </row>
    <row r="4116">
      <c r="S4116" s="27"/>
      <c r="T4116" s="27"/>
      <c r="U4116" s="27"/>
    </row>
    <row r="4118">
      <c r="S4118" s="27"/>
      <c r="T4118" s="27"/>
      <c r="U4118" s="27"/>
    </row>
    <row r="4119">
      <c r="S4119" s="27"/>
      <c r="T4119" s="27"/>
      <c r="U4119" s="27"/>
    </row>
    <row r="4121">
      <c r="S4121" s="27"/>
      <c r="T4121" s="27"/>
      <c r="U4121" s="27"/>
    </row>
    <row r="4122">
      <c r="S4122" s="27"/>
      <c r="T4122" s="27"/>
      <c r="U4122" s="27"/>
    </row>
    <row r="4124">
      <c r="S4124" s="27"/>
      <c r="T4124" s="27"/>
      <c r="U4124" s="27"/>
    </row>
    <row r="4125">
      <c r="S4125" s="27"/>
      <c r="T4125" s="27"/>
      <c r="U4125" s="27"/>
    </row>
    <row r="4127">
      <c r="S4127" s="27"/>
      <c r="T4127" s="27"/>
      <c r="U4127" s="27"/>
    </row>
    <row r="4128">
      <c r="S4128" s="27"/>
      <c r="T4128" s="27"/>
      <c r="U4128" s="27"/>
    </row>
    <row r="4130">
      <c r="S4130" s="27"/>
      <c r="T4130" s="27"/>
      <c r="U4130" s="27"/>
    </row>
    <row r="4131">
      <c r="S4131" s="27"/>
      <c r="T4131" s="27"/>
      <c r="U4131" s="27"/>
    </row>
    <row r="4133">
      <c r="S4133" s="27"/>
      <c r="T4133" s="27"/>
      <c r="U4133" s="27"/>
    </row>
    <row r="4134">
      <c r="S4134" s="27"/>
      <c r="T4134" s="27"/>
      <c r="U4134" s="27"/>
    </row>
    <row r="4136">
      <c r="S4136" s="27"/>
      <c r="T4136" s="27"/>
      <c r="U4136" s="27"/>
    </row>
    <row r="4137">
      <c r="S4137" s="27"/>
      <c r="T4137" s="27"/>
      <c r="U4137" s="27"/>
    </row>
    <row r="4139">
      <c r="S4139" s="27"/>
      <c r="T4139" s="27"/>
      <c r="U4139" s="27"/>
    </row>
    <row r="4142">
      <c r="S4142" s="26"/>
      <c r="T4142" s="26"/>
      <c r="U4142" s="26"/>
    </row>
    <row r="4145">
      <c r="S4145" s="27"/>
      <c r="T4145" s="27"/>
      <c r="U4145" s="27"/>
    </row>
    <row r="4146">
      <c r="S4146" s="27"/>
      <c r="T4146" s="27"/>
      <c r="U4146" s="27"/>
    </row>
    <row r="4148">
      <c r="S4148" s="27"/>
      <c r="T4148" s="27"/>
      <c r="U4148" s="27"/>
    </row>
    <row r="4149">
      <c r="S4149" s="27"/>
      <c r="T4149" s="27"/>
      <c r="U4149" s="27"/>
    </row>
    <row r="4151">
      <c r="S4151" s="27"/>
      <c r="T4151" s="27"/>
      <c r="U4151" s="27"/>
    </row>
    <row r="4152">
      <c r="S4152" s="27"/>
      <c r="T4152" s="27"/>
      <c r="U4152" s="27"/>
    </row>
    <row r="4154">
      <c r="S4154" s="26"/>
      <c r="T4154" s="26"/>
      <c r="U4154" s="34"/>
    </row>
    <row r="4157">
      <c r="S4157" s="27"/>
      <c r="T4157" s="27"/>
      <c r="U4157" s="27"/>
    </row>
    <row r="4158">
      <c r="S4158" s="27"/>
      <c r="T4158" s="27"/>
      <c r="U4158" s="27"/>
    </row>
    <row r="4160">
      <c r="S4160" s="27"/>
      <c r="T4160" s="27"/>
      <c r="U4160" s="27"/>
    </row>
    <row r="4161">
      <c r="S4161" s="27"/>
      <c r="T4161" s="27"/>
      <c r="U4161" s="27"/>
    </row>
    <row r="4163">
      <c r="S4163" s="27"/>
      <c r="T4163" s="27"/>
      <c r="U4163" s="27"/>
    </row>
    <row r="4164">
      <c r="S4164" s="27"/>
      <c r="T4164" s="27"/>
      <c r="U4164" s="27"/>
    </row>
    <row r="4169">
      <c r="S4169" s="26"/>
      <c r="T4169" s="26"/>
      <c r="U4169" s="26"/>
    </row>
    <row r="4172">
      <c r="S4172" s="27"/>
      <c r="T4172" s="27"/>
      <c r="U4172" s="27"/>
    </row>
    <row r="4173">
      <c r="S4173" s="27"/>
      <c r="T4173" s="27"/>
      <c r="U4173" s="27"/>
    </row>
    <row r="4175">
      <c r="S4175" s="27"/>
      <c r="T4175" s="27"/>
      <c r="U4175" s="27"/>
    </row>
    <row r="4176">
      <c r="S4176" s="27"/>
      <c r="T4176" s="27"/>
      <c r="U4176" s="27"/>
    </row>
    <row r="4178">
      <c r="S4178" s="26"/>
      <c r="T4178" s="26"/>
      <c r="U4178" s="26"/>
    </row>
    <row r="4181">
      <c r="T4181" s="27"/>
    </row>
    <row r="4184">
      <c r="S4184" s="27"/>
      <c r="T4184" s="27"/>
      <c r="U4184" s="27"/>
    </row>
    <row r="4187">
      <c r="S4187" s="27"/>
      <c r="T4187" s="27"/>
      <c r="U4187" s="27"/>
    </row>
    <row r="4188">
      <c r="S4188" s="27"/>
      <c r="T4188" s="27"/>
      <c r="U4188" s="27"/>
    </row>
    <row r="4190">
      <c r="S4190" s="27"/>
      <c r="T4190" s="27"/>
      <c r="U4190" s="27"/>
    </row>
    <row r="4191">
      <c r="S4191" s="27"/>
      <c r="T4191" s="27"/>
      <c r="U4191" s="27"/>
    </row>
    <row r="4193">
      <c r="S4193" s="27"/>
      <c r="T4193" s="27"/>
      <c r="U4193" s="27"/>
    </row>
    <row r="4194">
      <c r="S4194" s="27"/>
      <c r="T4194" s="27"/>
      <c r="U4194" s="27"/>
    </row>
    <row r="4196">
      <c r="S4196" s="27"/>
      <c r="T4196" s="27"/>
      <c r="U4196" s="27"/>
    </row>
    <row r="4197">
      <c r="S4197" s="27"/>
      <c r="T4197" s="27"/>
      <c r="U4197" s="27"/>
    </row>
    <row r="4199">
      <c r="S4199" s="27"/>
      <c r="T4199" s="27"/>
      <c r="U4199" s="27"/>
    </row>
    <row r="4200">
      <c r="S4200" s="27"/>
      <c r="T4200" s="27"/>
      <c r="U4200" s="27"/>
    </row>
    <row r="4202">
      <c r="S4202" s="27"/>
      <c r="T4202" s="27"/>
      <c r="U4202" s="27"/>
    </row>
    <row r="4203">
      <c r="S4203" s="27"/>
      <c r="T4203" s="27"/>
      <c r="U4203" s="27"/>
    </row>
    <row r="4205">
      <c r="S4205" s="27"/>
      <c r="T4205" s="27"/>
      <c r="U4205" s="27"/>
    </row>
    <row r="4206">
      <c r="S4206" s="27"/>
      <c r="T4206" s="27"/>
      <c r="U4206" s="27"/>
    </row>
    <row r="4208">
      <c r="S4208" s="27"/>
      <c r="T4208" s="27"/>
      <c r="U4208" s="27"/>
    </row>
    <row r="4209">
      <c r="S4209" s="27"/>
      <c r="T4209" s="27"/>
      <c r="U4209" s="27"/>
    </row>
    <row r="4211">
      <c r="S4211" s="27"/>
      <c r="T4211" s="27"/>
      <c r="U4211" s="27"/>
    </row>
    <row r="4212">
      <c r="S4212" s="27"/>
      <c r="T4212" s="27"/>
      <c r="U4212" s="27"/>
    </row>
    <row r="4214">
      <c r="S4214" s="27"/>
      <c r="T4214" s="27"/>
      <c r="U4214" s="27"/>
    </row>
    <row r="4215">
      <c r="S4215" s="27"/>
      <c r="T4215" s="27"/>
      <c r="U4215" s="27"/>
    </row>
    <row r="4217">
      <c r="T4217" s="27"/>
      <c r="U4217" s="27"/>
    </row>
    <row r="4218">
      <c r="T4218" s="27"/>
      <c r="U4218" s="27"/>
    </row>
    <row r="4220">
      <c r="S4220" s="27"/>
      <c r="T4220" s="27"/>
      <c r="U4220" s="27"/>
    </row>
    <row r="4221">
      <c r="S4221" s="27"/>
      <c r="T4221" s="27"/>
      <c r="U4221" s="27"/>
    </row>
    <row r="4223">
      <c r="S4223" s="27"/>
      <c r="T4223" s="27"/>
      <c r="U4223" s="27"/>
    </row>
    <row r="4224">
      <c r="S4224" s="27"/>
      <c r="T4224" s="27"/>
      <c r="U4224" s="27"/>
    </row>
    <row r="4226">
      <c r="S4226" s="27"/>
      <c r="T4226" s="27"/>
      <c r="U4226" s="27"/>
    </row>
    <row r="4227">
      <c r="S4227" s="27"/>
      <c r="T4227" s="27"/>
      <c r="U4227" s="27"/>
    </row>
    <row r="4229">
      <c r="S4229" s="27"/>
      <c r="T4229" s="27"/>
      <c r="U4229" s="27"/>
    </row>
    <row r="4230">
      <c r="S4230" s="27"/>
      <c r="T4230" s="27"/>
      <c r="U4230" s="27"/>
    </row>
    <row r="4232">
      <c r="S4232" s="27"/>
      <c r="T4232" s="27"/>
      <c r="U4232" s="27"/>
    </row>
    <row r="4233">
      <c r="S4233" s="27"/>
      <c r="T4233" s="27"/>
      <c r="U4233" s="27"/>
    </row>
    <row r="4235">
      <c r="S4235" s="27"/>
      <c r="T4235" s="27"/>
      <c r="U4235" s="27"/>
    </row>
    <row r="4236">
      <c r="S4236" s="27"/>
      <c r="T4236" s="27"/>
      <c r="U4236" s="27"/>
    </row>
    <row r="4238">
      <c r="S4238" s="27"/>
      <c r="T4238" s="27"/>
      <c r="U4238" s="27"/>
    </row>
    <row r="4239">
      <c r="S4239" s="27"/>
      <c r="T4239" s="27"/>
      <c r="U4239" s="27"/>
    </row>
    <row r="4241">
      <c r="S4241" s="27"/>
      <c r="T4241" s="27"/>
      <c r="U4241" s="27"/>
    </row>
    <row r="4242">
      <c r="S4242" s="27"/>
      <c r="T4242" s="27"/>
      <c r="U4242" s="27"/>
    </row>
    <row r="4244">
      <c r="U4244" s="27"/>
    </row>
    <row r="4245">
      <c r="U4245" s="27"/>
    </row>
    <row r="4247">
      <c r="S4247" s="27"/>
      <c r="T4247" s="27"/>
      <c r="U4247" s="27"/>
    </row>
    <row r="4248">
      <c r="S4248" s="27"/>
      <c r="T4248" s="27"/>
      <c r="U4248" s="27"/>
    </row>
    <row r="4250">
      <c r="S4250" s="27"/>
      <c r="T4250" s="27"/>
      <c r="U4250" s="27"/>
    </row>
    <row r="4251">
      <c r="S4251" s="27"/>
      <c r="T4251" s="27"/>
      <c r="U4251" s="27"/>
    </row>
    <row r="4253">
      <c r="S4253" s="27"/>
      <c r="T4253" s="27"/>
      <c r="U4253" s="27"/>
    </row>
    <row r="4254">
      <c r="S4254" s="27"/>
      <c r="T4254" s="27"/>
      <c r="U4254" s="27"/>
    </row>
    <row r="4256">
      <c r="S4256" s="27"/>
      <c r="T4256" s="27"/>
      <c r="U4256" s="27"/>
    </row>
    <row r="4257">
      <c r="S4257" s="27"/>
      <c r="T4257" s="27"/>
      <c r="U4257" s="27"/>
    </row>
    <row r="4259">
      <c r="T4259" s="27"/>
      <c r="U4259" s="27"/>
    </row>
    <row r="4260">
      <c r="T4260" s="27"/>
      <c r="U4260" s="27"/>
    </row>
    <row r="4262">
      <c r="S4262" s="33"/>
      <c r="T4262" s="33"/>
      <c r="U4262" s="27"/>
    </row>
    <row r="4263">
      <c r="S4263" s="34"/>
      <c r="T4263" s="34"/>
      <c r="U4263" s="27"/>
    </row>
    <row r="4265">
      <c r="S4265" s="27"/>
      <c r="T4265" s="27"/>
      <c r="U4265" s="27"/>
    </row>
    <row r="4268">
      <c r="S4268" s="27"/>
      <c r="T4268" s="33"/>
      <c r="U4268" s="33"/>
    </row>
    <row r="4269">
      <c r="S4269" s="27"/>
      <c r="T4269" s="27"/>
      <c r="U4269" s="27"/>
    </row>
    <row r="4271">
      <c r="S4271" s="27"/>
      <c r="T4271" s="27"/>
      <c r="U4271" s="27"/>
    </row>
    <row r="4272">
      <c r="S4272" s="27"/>
      <c r="T4272" s="27"/>
      <c r="U4272" s="27"/>
    </row>
    <row r="4274">
      <c r="S4274" s="27"/>
      <c r="T4274" s="27"/>
      <c r="U4274" s="27"/>
    </row>
    <row r="4275">
      <c r="S4275" s="26"/>
      <c r="T4275" s="26"/>
      <c r="U4275" s="26"/>
    </row>
    <row r="4277">
      <c r="S4277" s="27"/>
      <c r="T4277" s="27"/>
      <c r="U4277" s="27"/>
    </row>
    <row r="4278">
      <c r="S4278" s="27"/>
      <c r="T4278" s="27"/>
      <c r="U4278" s="27"/>
    </row>
    <row r="4280">
      <c r="S4280" s="27"/>
      <c r="T4280" s="27"/>
      <c r="U4280" s="27"/>
    </row>
    <row r="4281">
      <c r="S4281" s="27"/>
      <c r="T4281" s="27"/>
      <c r="U4281" s="27"/>
    </row>
    <row r="4283">
      <c r="S4283" s="27"/>
      <c r="T4283" s="27"/>
      <c r="U4283" s="27"/>
    </row>
    <row r="4284">
      <c r="S4284" s="27"/>
      <c r="T4284" s="27"/>
      <c r="U4284" s="27"/>
    </row>
    <row r="4286">
      <c r="S4286" s="27"/>
      <c r="T4286" s="27"/>
    </row>
    <row r="4289">
      <c r="S4289" s="26"/>
      <c r="T4289" s="26"/>
      <c r="U4289" s="26"/>
    </row>
    <row r="4292">
      <c r="S4292" s="27"/>
    </row>
    <row r="4294">
      <c r="S4294" s="27"/>
      <c r="T4294" s="27"/>
      <c r="U4294" s="27"/>
    </row>
    <row r="4296">
      <c r="S4296" s="26"/>
      <c r="T4296" s="26"/>
      <c r="U4296" s="26"/>
    </row>
    <row r="4299">
      <c r="S4299" s="27"/>
      <c r="T4299" s="27"/>
      <c r="U4299" s="27"/>
    </row>
    <row r="4302">
      <c r="S4302" s="27"/>
      <c r="T4302" s="27"/>
      <c r="U4302" s="27"/>
    </row>
    <row r="4303">
      <c r="S4303" s="27"/>
      <c r="T4303" s="27"/>
      <c r="U4303" s="27"/>
    </row>
    <row r="4305">
      <c r="S4305" s="27"/>
      <c r="T4305" s="27"/>
      <c r="U4305" s="27"/>
    </row>
    <row r="4306">
      <c r="S4306" s="27"/>
      <c r="T4306" s="27"/>
      <c r="U4306" s="27"/>
    </row>
    <row r="4308">
      <c r="S4308" s="27"/>
      <c r="T4308" s="27"/>
      <c r="U4308" s="27"/>
    </row>
    <row r="4309">
      <c r="S4309" s="27"/>
      <c r="U4309" s="27"/>
    </row>
    <row r="4311">
      <c r="S4311" s="27"/>
      <c r="T4311" s="27"/>
      <c r="U4311" s="27"/>
    </row>
    <row r="4312">
      <c r="S4312" s="26"/>
      <c r="T4312" s="26"/>
      <c r="U4312" s="26"/>
    </row>
    <row r="4314">
      <c r="S4314" s="27"/>
      <c r="T4314" s="27"/>
      <c r="U4314" s="27"/>
    </row>
    <row r="4315">
      <c r="S4315" s="27"/>
      <c r="T4315" s="27"/>
      <c r="U4315" s="27"/>
    </row>
    <row r="4320">
      <c r="S4320" s="27"/>
      <c r="T4320" s="27"/>
      <c r="U4320" s="27"/>
    </row>
    <row r="4321">
      <c r="S4321" s="27"/>
      <c r="T4321" s="27"/>
      <c r="U4321" s="27"/>
    </row>
    <row r="4323">
      <c r="S4323" s="27"/>
      <c r="T4323" s="33"/>
      <c r="U4323" s="27"/>
    </row>
    <row r="4324">
      <c r="S4324" s="26"/>
      <c r="U4324" s="27"/>
    </row>
    <row r="4326">
      <c r="S4326" s="27"/>
      <c r="T4326" s="27"/>
      <c r="U4326" s="27"/>
    </row>
    <row r="4327">
      <c r="S4327" s="27"/>
      <c r="T4327" s="27"/>
      <c r="U4327" s="27"/>
    </row>
    <row r="4329">
      <c r="S4329" s="33"/>
      <c r="T4329" s="33"/>
      <c r="U4329" s="27"/>
    </row>
    <row r="4330">
      <c r="U4330" s="34"/>
    </row>
    <row r="4332">
      <c r="S4332" s="27"/>
      <c r="T4332" s="27"/>
      <c r="U4332" s="27"/>
    </row>
    <row r="4333">
      <c r="S4333" s="27"/>
      <c r="T4333" s="27"/>
      <c r="U4333" s="27"/>
    </row>
    <row r="4335">
      <c r="S4335" s="27"/>
      <c r="T4335" s="27"/>
      <c r="U4335" s="27"/>
    </row>
    <row r="4338">
      <c r="S4338" s="27"/>
      <c r="T4338" s="27"/>
      <c r="U4338" s="27"/>
    </row>
    <row r="4339">
      <c r="S4339" s="27"/>
      <c r="T4339" s="27"/>
    </row>
    <row r="4344">
      <c r="S4344" s="27"/>
      <c r="T4344" s="27"/>
      <c r="U4344" s="27"/>
    </row>
    <row r="4345">
      <c r="S4345" s="27"/>
      <c r="T4345" s="27"/>
      <c r="U4345" s="27"/>
    </row>
    <row r="4347">
      <c r="S4347" s="27"/>
      <c r="T4347" s="27"/>
      <c r="U4347" s="27"/>
    </row>
    <row r="4348">
      <c r="S4348" s="27"/>
      <c r="T4348" s="27"/>
      <c r="U4348" s="27"/>
    </row>
    <row r="4350">
      <c r="S4350" s="27"/>
      <c r="T4350" s="27"/>
      <c r="U4350" s="27"/>
    </row>
    <row r="4351">
      <c r="S4351" s="27"/>
      <c r="T4351" s="27"/>
      <c r="U4351" s="27"/>
    </row>
    <row r="4353">
      <c r="S4353" s="27"/>
      <c r="T4353" s="27"/>
      <c r="U4353" s="27"/>
    </row>
    <row r="4354">
      <c r="S4354" s="27"/>
      <c r="T4354" s="27"/>
      <c r="U4354" s="27"/>
    </row>
    <row r="4359">
      <c r="S4359" s="27"/>
      <c r="T4359" s="27"/>
      <c r="U4359" s="27"/>
    </row>
    <row r="4360">
      <c r="S4360" s="27"/>
      <c r="T4360" s="27"/>
      <c r="U4360" s="27"/>
    </row>
    <row r="4363">
      <c r="S4363" s="27"/>
      <c r="T4363" s="27"/>
      <c r="U4363" s="27"/>
    </row>
    <row r="4365">
      <c r="S4365" s="27"/>
      <c r="T4365" s="27"/>
      <c r="U4365" s="27"/>
    </row>
    <row r="4366">
      <c r="S4366" s="26"/>
      <c r="U4366" s="26"/>
    </row>
    <row r="4368">
      <c r="S4368" s="27"/>
      <c r="T4368" s="26"/>
      <c r="U4368" s="27"/>
    </row>
    <row r="4369">
      <c r="S4369" s="27"/>
      <c r="U4369" s="27"/>
    </row>
    <row r="4371">
      <c r="S4371" s="27"/>
      <c r="T4371" s="27"/>
      <c r="U4371" s="27"/>
    </row>
    <row r="4372">
      <c r="S4372" s="27"/>
      <c r="T4372" s="27"/>
      <c r="U4372" s="27"/>
    </row>
    <row r="4375">
      <c r="S4375" s="27"/>
      <c r="T4375" s="27"/>
      <c r="U4375" s="27"/>
    </row>
    <row r="4377">
      <c r="S4377" s="27"/>
      <c r="T4377" s="27"/>
    </row>
    <row r="4378">
      <c r="S4378" s="26"/>
      <c r="T4378" s="26"/>
      <c r="U4378" s="26"/>
    </row>
    <row r="4380">
      <c r="S4380" s="27"/>
      <c r="T4380" s="27"/>
      <c r="U4380" s="27"/>
    </row>
    <row r="4381">
      <c r="S4381" s="27"/>
      <c r="T4381" s="27"/>
      <c r="U4381" s="27"/>
    </row>
    <row r="4383">
      <c r="S4383" s="26"/>
      <c r="T4383" s="26"/>
      <c r="U4383" s="26"/>
    </row>
    <row r="4386">
      <c r="S4386" s="27"/>
      <c r="T4386" s="27"/>
      <c r="U4386" s="27"/>
    </row>
    <row r="4389">
      <c r="S4389" s="27"/>
      <c r="T4389" s="27"/>
      <c r="U4389" s="27"/>
    </row>
    <row r="4390">
      <c r="S4390" s="27"/>
      <c r="T4390" s="27"/>
      <c r="U4390" s="27"/>
    </row>
    <row r="4392">
      <c r="S4392" s="27"/>
      <c r="T4392" s="27"/>
      <c r="U4392" s="27"/>
    </row>
    <row r="4393">
      <c r="S4393" s="27"/>
      <c r="T4393" s="27"/>
      <c r="U4393" s="27"/>
    </row>
    <row r="4395">
      <c r="S4395" s="27"/>
      <c r="T4395" s="27"/>
      <c r="U4395" s="27"/>
    </row>
    <row r="4396">
      <c r="S4396" s="27"/>
      <c r="T4396" s="27"/>
      <c r="U4396" s="27"/>
    </row>
    <row r="4398">
      <c r="S4398" s="26"/>
    </row>
    <row r="4401">
      <c r="S4401" s="27"/>
      <c r="T4401" s="27"/>
      <c r="U4401" s="27"/>
    </row>
    <row r="4402">
      <c r="S4402" s="27"/>
      <c r="T4402" s="27"/>
      <c r="U4402" s="27"/>
    </row>
    <row r="4404">
      <c r="S4404" s="27"/>
      <c r="T4404" s="27"/>
      <c r="U4404" s="27"/>
    </row>
    <row r="4405">
      <c r="S4405" s="27"/>
      <c r="T4405" s="27"/>
      <c r="U4405" s="27"/>
    </row>
    <row r="4407">
      <c r="S4407" s="27"/>
      <c r="T4407" s="27"/>
      <c r="U4407" s="27"/>
    </row>
    <row r="4408">
      <c r="S4408" s="27"/>
      <c r="T4408" s="27"/>
      <c r="U4408" s="27"/>
    </row>
    <row r="4410">
      <c r="S4410" s="27"/>
      <c r="T4410" s="27"/>
      <c r="U4410" s="27"/>
    </row>
    <row r="4411">
      <c r="S4411" s="27"/>
      <c r="T4411" s="27"/>
      <c r="U4411" s="27"/>
    </row>
    <row r="4413">
      <c r="S4413" s="27"/>
      <c r="T4413" s="27"/>
      <c r="U4413" s="27"/>
    </row>
    <row r="4414">
      <c r="S4414" s="27"/>
      <c r="T4414" s="27"/>
      <c r="U4414" s="27"/>
    </row>
    <row r="4416">
      <c r="S4416" s="27"/>
      <c r="T4416" s="27"/>
      <c r="U4416" s="27"/>
    </row>
    <row r="4417">
      <c r="S4417" s="27"/>
      <c r="T4417" s="27"/>
      <c r="U4417" s="27"/>
    </row>
    <row r="4419">
      <c r="S4419" s="27"/>
      <c r="T4419" s="27"/>
      <c r="U4419" s="27"/>
    </row>
    <row r="4420">
      <c r="S4420" s="27"/>
      <c r="T4420" s="27"/>
      <c r="U4420" s="27"/>
    </row>
    <row r="4422">
      <c r="S4422" s="27"/>
      <c r="T4422" s="27"/>
      <c r="U4422" s="27"/>
    </row>
    <row r="4423">
      <c r="S4423" s="27"/>
      <c r="T4423" s="27"/>
      <c r="U4423" s="27"/>
    </row>
    <row r="4425">
      <c r="S4425" s="27"/>
      <c r="T4425" s="27"/>
      <c r="U4425" s="27"/>
    </row>
    <row r="4426">
      <c r="S4426" s="27"/>
      <c r="T4426" s="27"/>
      <c r="U4426" s="27"/>
    </row>
    <row r="4428">
      <c r="S4428" s="27"/>
      <c r="T4428" s="27"/>
      <c r="U4428" s="27"/>
    </row>
    <row r="4429">
      <c r="S4429" s="27"/>
      <c r="T4429" s="27"/>
      <c r="U4429" s="27"/>
    </row>
    <row r="4431">
      <c r="S4431" s="27"/>
      <c r="T4431" s="27"/>
      <c r="U4431" s="27"/>
    </row>
    <row r="4432">
      <c r="S4432" s="27"/>
      <c r="T4432" s="27"/>
      <c r="U4432" s="27"/>
    </row>
    <row r="4434">
      <c r="S4434" s="27"/>
      <c r="T4434" s="27"/>
      <c r="U4434" s="27"/>
    </row>
    <row r="4435">
      <c r="S4435" s="27"/>
      <c r="T4435" s="27"/>
      <c r="U4435" s="27"/>
    </row>
    <row r="4437">
      <c r="S4437" s="27"/>
      <c r="T4437" s="27"/>
      <c r="U4437" s="27"/>
    </row>
    <row r="4438">
      <c r="S4438" s="27"/>
      <c r="T4438" s="27"/>
      <c r="U4438" s="27"/>
    </row>
    <row r="4440">
      <c r="S4440" s="27"/>
      <c r="T4440" s="27"/>
      <c r="U4440" s="27"/>
    </row>
    <row r="4441">
      <c r="S4441" s="27"/>
      <c r="T4441" s="27"/>
      <c r="U4441" s="27"/>
    </row>
    <row r="4443">
      <c r="S4443" s="27"/>
      <c r="T4443" s="27"/>
      <c r="U4443" s="27"/>
    </row>
    <row r="4444">
      <c r="S4444" s="27"/>
      <c r="T4444" s="27"/>
      <c r="U4444" s="27"/>
    </row>
    <row r="4446">
      <c r="S4446" s="27"/>
      <c r="T4446" s="27"/>
      <c r="U4446" s="27"/>
    </row>
    <row r="4447">
      <c r="S4447" s="27"/>
      <c r="T4447" s="27"/>
      <c r="U4447" s="27"/>
    </row>
    <row r="4449">
      <c r="S4449" s="27"/>
      <c r="T4449" s="27"/>
      <c r="U4449" s="27"/>
    </row>
    <row r="4450">
      <c r="S4450" s="27"/>
      <c r="T4450" s="27"/>
      <c r="U4450" s="27"/>
    </row>
    <row r="4452">
      <c r="S4452" s="27"/>
      <c r="T4452" s="27"/>
      <c r="U4452" s="27"/>
    </row>
    <row r="4453">
      <c r="S4453" s="27"/>
      <c r="T4453" s="27"/>
      <c r="U4453" s="27"/>
    </row>
    <row r="4455">
      <c r="S4455" s="27"/>
      <c r="T4455" s="27"/>
      <c r="U4455" s="27"/>
    </row>
    <row r="4456">
      <c r="S4456" s="27"/>
      <c r="T4456" s="27"/>
      <c r="U4456" s="27"/>
    </row>
    <row r="4458">
      <c r="S4458" s="27"/>
      <c r="T4458" s="27"/>
      <c r="U4458" s="27"/>
    </row>
    <row r="4459">
      <c r="S4459" s="27"/>
      <c r="T4459" s="27"/>
      <c r="U4459" s="27"/>
    </row>
    <row r="4461">
      <c r="S4461" s="27"/>
      <c r="T4461" s="27"/>
      <c r="U4461" s="27"/>
    </row>
    <row r="4462">
      <c r="S4462" s="27"/>
      <c r="T4462" s="27"/>
      <c r="U4462" s="27"/>
    </row>
    <row r="4464">
      <c r="S4464" s="27"/>
      <c r="T4464" s="27"/>
      <c r="U4464" s="27"/>
    </row>
    <row r="4465">
      <c r="S4465" s="27"/>
      <c r="T4465" s="27"/>
      <c r="U4465" s="27"/>
    </row>
    <row r="4467">
      <c r="S4467" s="27"/>
      <c r="T4467" s="27"/>
      <c r="U4467" s="27"/>
    </row>
    <row r="4468">
      <c r="S4468" s="27"/>
      <c r="T4468" s="27"/>
      <c r="U4468" s="27"/>
    </row>
    <row r="4470">
      <c r="S4470" s="27"/>
      <c r="T4470" s="27"/>
      <c r="U4470" s="27"/>
    </row>
    <row r="4471">
      <c r="S4471" s="27"/>
      <c r="T4471" s="27"/>
      <c r="U4471" s="27"/>
    </row>
    <row r="4473">
      <c r="S4473" s="27"/>
      <c r="T4473" s="27"/>
      <c r="U4473" s="27"/>
    </row>
    <row r="4474">
      <c r="S4474" s="27"/>
      <c r="T4474" s="27"/>
      <c r="U4474" s="27"/>
    </row>
    <row r="4476">
      <c r="S4476" s="27"/>
      <c r="T4476" s="27"/>
      <c r="U4476" s="27"/>
    </row>
    <row r="4477">
      <c r="S4477" s="27"/>
      <c r="T4477" s="27"/>
      <c r="U4477" s="27"/>
    </row>
    <row r="4479">
      <c r="S4479" s="27"/>
      <c r="T4479" s="27"/>
      <c r="U4479" s="27"/>
    </row>
    <row r="4480">
      <c r="S4480" s="27"/>
      <c r="T4480" s="27"/>
      <c r="U4480" s="27"/>
    </row>
    <row r="4482">
      <c r="S4482" s="27"/>
      <c r="T4482" s="27"/>
      <c r="U4482" s="27"/>
    </row>
    <row r="4483">
      <c r="S4483" s="27"/>
      <c r="T4483" s="27"/>
      <c r="U4483" s="27"/>
    </row>
    <row r="4485">
      <c r="S4485" s="27"/>
      <c r="T4485" s="27"/>
      <c r="U4485" s="27"/>
    </row>
    <row r="4486">
      <c r="S4486" s="27"/>
      <c r="T4486" s="27"/>
      <c r="U4486" s="27"/>
    </row>
    <row r="4488">
      <c r="S4488" s="27"/>
      <c r="T4488" s="27"/>
      <c r="U4488" s="27"/>
    </row>
    <row r="4489">
      <c r="S4489" s="27"/>
      <c r="T4489" s="27"/>
      <c r="U4489" s="27"/>
    </row>
    <row r="4491">
      <c r="S4491" s="27"/>
      <c r="T4491" s="27"/>
      <c r="U4491" s="27"/>
    </row>
    <row r="4492">
      <c r="S4492" s="27"/>
      <c r="T4492" s="27"/>
      <c r="U4492" s="27"/>
    </row>
    <row r="4494">
      <c r="S4494" s="27"/>
      <c r="T4494" s="27"/>
      <c r="U4494" s="27"/>
    </row>
    <row r="4496">
      <c r="S4496" s="27"/>
      <c r="T4496" s="27"/>
      <c r="U4496" s="27"/>
    </row>
    <row r="4497">
      <c r="S4497" s="27"/>
      <c r="T4497" s="27"/>
      <c r="U4497" s="27"/>
    </row>
    <row r="4499">
      <c r="S4499" s="27"/>
      <c r="T4499" s="27"/>
      <c r="U4499" s="27"/>
    </row>
    <row r="4500">
      <c r="S4500" s="27"/>
      <c r="T4500" s="27"/>
      <c r="U4500" s="27"/>
    </row>
    <row r="4502">
      <c r="S4502" s="27"/>
      <c r="T4502" s="27"/>
      <c r="U4502" s="27"/>
    </row>
    <row r="4503">
      <c r="S4503" s="27"/>
      <c r="T4503" s="27"/>
      <c r="U4503" s="27"/>
    </row>
    <row r="4505">
      <c r="S4505" s="27"/>
      <c r="T4505" s="27"/>
      <c r="U4505" s="27"/>
    </row>
    <row r="4506">
      <c r="S4506" s="27"/>
      <c r="T4506" s="27"/>
      <c r="U4506" s="27"/>
    </row>
    <row r="4508">
      <c r="S4508" s="27"/>
      <c r="T4508" s="27"/>
      <c r="U4508" s="27"/>
    </row>
    <row r="4509">
      <c r="S4509" s="27"/>
      <c r="T4509" s="27"/>
      <c r="U4509" s="27"/>
    </row>
    <row r="4511">
      <c r="S4511" s="27"/>
      <c r="T4511" s="27"/>
      <c r="U4511" s="27"/>
    </row>
    <row r="4512">
      <c r="S4512" s="27"/>
      <c r="T4512" s="27"/>
      <c r="U4512" s="27"/>
    </row>
    <row r="4514">
      <c r="S4514" s="27"/>
      <c r="T4514" s="27"/>
      <c r="U4514" s="27"/>
    </row>
    <row r="4515">
      <c r="S4515" s="27"/>
      <c r="T4515" s="27"/>
      <c r="U4515" s="27"/>
    </row>
    <row r="4517">
      <c r="S4517" s="27"/>
      <c r="T4517" s="27"/>
      <c r="U4517" s="27"/>
    </row>
    <row r="4519">
      <c r="S4519" s="27"/>
      <c r="T4519" s="27"/>
      <c r="U4519" s="27"/>
    </row>
    <row r="4521">
      <c r="S4521" s="27"/>
      <c r="T4521" s="27"/>
      <c r="U4521" s="27"/>
    </row>
    <row r="4523">
      <c r="S4523" s="27"/>
      <c r="T4523" s="27"/>
      <c r="U4523" s="27"/>
    </row>
    <row r="4525">
      <c r="S4525" s="27"/>
      <c r="T4525" s="27"/>
      <c r="U4525" s="27"/>
    </row>
    <row r="4526">
      <c r="S4526" s="27"/>
      <c r="T4526" s="27"/>
      <c r="U4526" s="27"/>
    </row>
    <row r="4528">
      <c r="S4528" s="27"/>
      <c r="T4528" s="27"/>
      <c r="U4528" s="27"/>
    </row>
    <row r="4529">
      <c r="S4529" s="27"/>
      <c r="T4529" s="27"/>
      <c r="U4529" s="27"/>
    </row>
    <row r="4531">
      <c r="S4531" s="27"/>
      <c r="T4531" s="27"/>
      <c r="U4531" s="27"/>
    </row>
    <row r="4532">
      <c r="S4532" s="26"/>
      <c r="T4532" s="26"/>
      <c r="U4532" s="33"/>
    </row>
    <row r="4534">
      <c r="S4534" s="27"/>
      <c r="T4534" s="27"/>
      <c r="U4534" s="27"/>
    </row>
    <row r="4535">
      <c r="S4535" s="27"/>
      <c r="T4535" s="27"/>
      <c r="U4535" s="27"/>
    </row>
    <row r="4537">
      <c r="S4537" s="27"/>
      <c r="T4537" s="27"/>
      <c r="U4537" s="27"/>
    </row>
    <row r="4538">
      <c r="S4538" s="27"/>
      <c r="T4538" s="27"/>
      <c r="U4538" s="27"/>
    </row>
    <row r="4540">
      <c r="S4540" s="27"/>
      <c r="T4540" s="27"/>
      <c r="U4540" s="27"/>
    </row>
    <row r="4541">
      <c r="S4541" s="27"/>
      <c r="T4541" s="27"/>
      <c r="U4541" s="27"/>
    </row>
    <row r="4543">
      <c r="S4543" s="27"/>
      <c r="T4543" s="27"/>
      <c r="U4543" s="27"/>
    </row>
    <row r="4544">
      <c r="S4544" s="27"/>
      <c r="T4544" s="27"/>
      <c r="U4544" s="27"/>
    </row>
    <row r="4546">
      <c r="S4546" s="27"/>
      <c r="T4546" s="27"/>
      <c r="U4546" s="27"/>
    </row>
    <row r="4549">
      <c r="S4549" s="27"/>
      <c r="T4549" s="27"/>
      <c r="U4549" s="27"/>
    </row>
    <row r="4552">
      <c r="S4552" s="27"/>
      <c r="T4552" s="27"/>
      <c r="U4552" s="27"/>
    </row>
    <row r="4553">
      <c r="S4553" s="27"/>
      <c r="T4553" s="27"/>
      <c r="U4553" s="27"/>
    </row>
    <row r="4555">
      <c r="S4555" s="27"/>
      <c r="T4555" s="27"/>
      <c r="U4555" s="27"/>
    </row>
    <row r="4556">
      <c r="S4556" s="27"/>
      <c r="T4556" s="27"/>
      <c r="U4556" s="27"/>
    </row>
    <row r="4558">
      <c r="S4558" s="27"/>
      <c r="T4558" s="27"/>
      <c r="U4558" s="27"/>
    </row>
    <row r="4559">
      <c r="S4559" s="27"/>
      <c r="T4559" s="27"/>
      <c r="U4559" s="27"/>
    </row>
    <row r="4561">
      <c r="U4561" s="26"/>
    </row>
    <row r="4564">
      <c r="S4564" s="27"/>
      <c r="T4564" s="27"/>
      <c r="U4564" s="27"/>
    </row>
    <row r="4565">
      <c r="S4565" s="27"/>
      <c r="T4565" s="27"/>
      <c r="U4565" s="27"/>
    </row>
    <row r="4567">
      <c r="S4567" s="27"/>
      <c r="T4567" s="27"/>
      <c r="U4567" s="27"/>
    </row>
    <row r="4568">
      <c r="S4568" s="27"/>
      <c r="T4568" s="27"/>
      <c r="U4568" s="27"/>
    </row>
    <row r="4570">
      <c r="S4570" s="26"/>
      <c r="T4570" s="27"/>
    </row>
    <row r="4571">
      <c r="T4571" s="27"/>
      <c r="U4571" s="27"/>
    </row>
    <row r="4573">
      <c r="S4573" s="27"/>
      <c r="T4573" s="27"/>
      <c r="U4573" s="27"/>
    </row>
    <row r="4576">
      <c r="S4576" s="26"/>
      <c r="T4576" s="26"/>
      <c r="U4576" s="26"/>
    </row>
    <row r="4579">
      <c r="S4579" s="27"/>
      <c r="T4579" s="27"/>
      <c r="U4579" s="27"/>
    </row>
    <row r="4580">
      <c r="S4580" s="27"/>
      <c r="T4580" s="27"/>
      <c r="U4580" s="27"/>
    </row>
    <row r="4582">
      <c r="S4582" s="27"/>
      <c r="T4582" s="27"/>
      <c r="U4582" s="27"/>
    </row>
    <row r="4583">
      <c r="S4583" s="27"/>
      <c r="T4583" s="27"/>
      <c r="U4583" s="27"/>
    </row>
    <row r="4585">
      <c r="S4585" s="26"/>
      <c r="T4585" s="26"/>
      <c r="U4585" s="26"/>
    </row>
    <row r="4588">
      <c r="S4588" s="27"/>
    </row>
    <row r="4591">
      <c r="S4591" s="27"/>
      <c r="T4591" s="27"/>
      <c r="U4591" s="27"/>
    </row>
    <row r="4594">
      <c r="S4594" s="27"/>
      <c r="T4594" s="27"/>
      <c r="U4594" s="27"/>
    </row>
    <row r="4595">
      <c r="S4595" s="27"/>
      <c r="T4595" s="27"/>
      <c r="U4595" s="27"/>
    </row>
    <row r="4597">
      <c r="S4597" s="27"/>
      <c r="T4597" s="27"/>
      <c r="U4597" s="27"/>
    </row>
    <row r="4598">
      <c r="S4598" s="27"/>
      <c r="T4598" s="27"/>
      <c r="U4598" s="27"/>
    </row>
    <row r="4600">
      <c r="S4600" s="27"/>
      <c r="T4600" s="27"/>
      <c r="U4600" s="27"/>
    </row>
    <row r="4601">
      <c r="S4601" s="27"/>
      <c r="T4601" s="27"/>
      <c r="U4601" s="27"/>
    </row>
    <row r="4603">
      <c r="S4603" s="27"/>
      <c r="T4603" s="27"/>
      <c r="U4603" s="27"/>
    </row>
    <row r="4604">
      <c r="S4604" s="27"/>
      <c r="T4604" s="27"/>
      <c r="U4604" s="27"/>
    </row>
    <row r="4606">
      <c r="S4606" s="27"/>
      <c r="T4606" s="27"/>
      <c r="U4606" s="27"/>
    </row>
    <row r="4607">
      <c r="S4607" s="27"/>
      <c r="T4607" s="27"/>
      <c r="U4607" s="27"/>
    </row>
    <row r="4609">
      <c r="S4609" s="27"/>
      <c r="T4609" s="27"/>
      <c r="U4609" s="27"/>
    </row>
    <row r="4610">
      <c r="S4610" s="27"/>
      <c r="T4610" s="27"/>
      <c r="U4610" s="27"/>
    </row>
    <row r="4612">
      <c r="S4612" s="27"/>
      <c r="T4612" s="27"/>
      <c r="U4612" s="27"/>
    </row>
    <row r="4613">
      <c r="S4613" s="27"/>
      <c r="T4613" s="27"/>
      <c r="U4613" s="27"/>
    </row>
    <row r="4615">
      <c r="S4615" s="27"/>
      <c r="T4615" s="27"/>
      <c r="U4615" s="27"/>
    </row>
    <row r="4616">
      <c r="S4616" s="27"/>
      <c r="T4616" s="27"/>
      <c r="U4616" s="27"/>
    </row>
    <row r="4618">
      <c r="S4618" s="27"/>
      <c r="T4618" s="27"/>
      <c r="U4618" s="27"/>
    </row>
    <row r="4619">
      <c r="S4619" s="27"/>
      <c r="T4619" s="27"/>
      <c r="U4619" s="27"/>
    </row>
    <row r="4621">
      <c r="S4621" s="27"/>
      <c r="T4621" s="27"/>
      <c r="U4621" s="27"/>
    </row>
    <row r="4622">
      <c r="S4622" s="27"/>
      <c r="T4622" s="27"/>
      <c r="U4622" s="27"/>
    </row>
    <row r="4624">
      <c r="S4624" s="27"/>
      <c r="T4624" s="27"/>
      <c r="U4624" s="27"/>
    </row>
    <row r="4625">
      <c r="S4625" s="27"/>
      <c r="T4625" s="27"/>
      <c r="U4625" s="27"/>
    </row>
    <row r="4627">
      <c r="S4627" s="27"/>
      <c r="T4627" s="27"/>
      <c r="U4627" s="27"/>
    </row>
    <row r="4628">
      <c r="S4628" s="27"/>
      <c r="T4628" s="27"/>
      <c r="U4628" s="27"/>
    </row>
    <row r="4630">
      <c r="S4630" s="27"/>
      <c r="T4630" s="27"/>
      <c r="U4630" s="27"/>
    </row>
    <row r="4631">
      <c r="S4631" s="27"/>
      <c r="T4631" s="27"/>
      <c r="U4631" s="27"/>
    </row>
    <row r="4633">
      <c r="S4633" s="27"/>
      <c r="T4633" s="27"/>
      <c r="U4633" s="27"/>
    </row>
    <row r="4634">
      <c r="S4634" s="27"/>
      <c r="T4634" s="27"/>
      <c r="U4634" s="27"/>
    </row>
    <row r="4636">
      <c r="S4636" s="27"/>
      <c r="T4636" s="27"/>
      <c r="U4636" s="27"/>
    </row>
    <row r="4637">
      <c r="S4637" s="27"/>
      <c r="T4637" s="27"/>
      <c r="U4637" s="27"/>
    </row>
    <row r="4639">
      <c r="S4639" s="27"/>
      <c r="T4639" s="27"/>
      <c r="U4639" s="27"/>
    </row>
    <row r="4640">
      <c r="S4640" s="27"/>
      <c r="T4640" s="27"/>
      <c r="U4640" s="27"/>
    </row>
    <row r="4642">
      <c r="S4642" s="27"/>
      <c r="T4642" s="27"/>
      <c r="U4642" s="27"/>
    </row>
    <row r="4643">
      <c r="S4643" s="27"/>
      <c r="T4643" s="27"/>
      <c r="U4643" s="27"/>
    </row>
    <row r="4645">
      <c r="S4645" s="27"/>
      <c r="T4645" s="27"/>
      <c r="U4645" s="27"/>
    </row>
    <row r="4646">
      <c r="S4646" s="27"/>
      <c r="T4646" s="27"/>
      <c r="U4646" s="27"/>
    </row>
    <row r="4648">
      <c r="S4648" s="27"/>
      <c r="T4648" s="27"/>
      <c r="U4648" s="27"/>
    </row>
    <row r="4649">
      <c r="S4649" s="27"/>
      <c r="T4649" s="27"/>
      <c r="U4649" s="27"/>
    </row>
    <row r="4651">
      <c r="S4651" s="27"/>
      <c r="T4651" s="27"/>
      <c r="U4651" s="27"/>
    </row>
    <row r="4652">
      <c r="S4652" s="27"/>
      <c r="T4652" s="27"/>
      <c r="U4652" s="27"/>
    </row>
    <row r="4654">
      <c r="S4654" s="27"/>
      <c r="T4654" s="27"/>
      <c r="U4654" s="27"/>
    </row>
    <row r="4655">
      <c r="S4655" s="27"/>
      <c r="T4655" s="27"/>
      <c r="U4655" s="27"/>
    </row>
    <row r="4657">
      <c r="S4657" s="27"/>
      <c r="T4657" s="27"/>
      <c r="U4657" s="27"/>
    </row>
    <row r="4658">
      <c r="S4658" s="27"/>
      <c r="T4658" s="27"/>
      <c r="U4658" s="27"/>
    </row>
    <row r="4660">
      <c r="S4660" s="27"/>
      <c r="T4660" s="27"/>
      <c r="U4660" s="27"/>
    </row>
    <row r="4661">
      <c r="S4661" s="27"/>
      <c r="T4661" s="27"/>
      <c r="U4661" s="27"/>
    </row>
    <row r="4663">
      <c r="S4663" s="27"/>
      <c r="T4663" s="27"/>
      <c r="U4663" s="27"/>
    </row>
    <row r="4664">
      <c r="S4664" s="27"/>
      <c r="T4664" s="27"/>
      <c r="U4664" s="27"/>
    </row>
    <row r="4669">
      <c r="S4669" s="27"/>
      <c r="T4669" s="27"/>
      <c r="U4669" s="27"/>
    </row>
    <row r="4670">
      <c r="S4670" s="27"/>
      <c r="T4670" s="27"/>
      <c r="U4670" s="27"/>
    </row>
    <row r="4672">
      <c r="S4672" s="27"/>
      <c r="T4672" s="27"/>
      <c r="U4672" s="27"/>
    </row>
    <row r="4675">
      <c r="S4675" s="27"/>
      <c r="T4675" s="33"/>
    </row>
    <row r="4676">
      <c r="S4676" s="27"/>
      <c r="T4676" s="27"/>
    </row>
    <row r="4678">
      <c r="S4678" s="27"/>
      <c r="T4678" s="27"/>
      <c r="U4678" s="27"/>
    </row>
    <row r="4679">
      <c r="S4679" s="27"/>
      <c r="T4679" s="27"/>
      <c r="U4679" s="27"/>
    </row>
    <row r="4682">
      <c r="S4682" s="27"/>
    </row>
    <row r="4684">
      <c r="S4684" s="27"/>
      <c r="T4684" s="27"/>
      <c r="U4684" s="27"/>
    </row>
    <row r="4685">
      <c r="S4685" s="27"/>
      <c r="T4685" s="27"/>
      <c r="U4685" s="27"/>
    </row>
    <row r="4687">
      <c r="S4687" s="27"/>
      <c r="T4687" s="27"/>
      <c r="U4687" s="27"/>
    </row>
    <row r="4688">
      <c r="S4688" s="27"/>
      <c r="T4688" s="27"/>
      <c r="U4688" s="27"/>
    </row>
    <row r="4690">
      <c r="S4690" s="27"/>
      <c r="T4690" s="27"/>
      <c r="U4690" s="27"/>
    </row>
    <row r="4691">
      <c r="S4691" s="27"/>
      <c r="T4691" s="27"/>
      <c r="U4691" s="27"/>
    </row>
    <row r="4696">
      <c r="S4696" s="26"/>
      <c r="T4696" s="26"/>
      <c r="U4696" s="26"/>
    </row>
    <row r="4701">
      <c r="S4701" s="27"/>
      <c r="T4701" s="27"/>
      <c r="U4701" s="27"/>
    </row>
    <row r="4703">
      <c r="S4703" s="26"/>
      <c r="T4703" s="26"/>
      <c r="U4703" s="26"/>
    </row>
    <row r="4706">
      <c r="S4706" s="27"/>
      <c r="T4706" s="27"/>
      <c r="U4706" s="27"/>
    </row>
    <row r="4709">
      <c r="S4709" s="27"/>
      <c r="T4709" s="27"/>
      <c r="U4709" s="27"/>
    </row>
    <row r="4710">
      <c r="S4710" s="27"/>
      <c r="T4710" s="27"/>
      <c r="U4710" s="27"/>
    </row>
    <row r="4712">
      <c r="S4712" s="27"/>
      <c r="T4712" s="27"/>
      <c r="U4712" s="27"/>
    </row>
    <row r="4713">
      <c r="S4713" s="27"/>
      <c r="T4713" s="27"/>
      <c r="U4713" s="27"/>
    </row>
    <row r="4715">
      <c r="S4715" s="27"/>
      <c r="T4715" s="27"/>
      <c r="U4715" s="33"/>
    </row>
    <row r="4716">
      <c r="U4716" s="27"/>
    </row>
    <row r="4718">
      <c r="S4718" s="27"/>
      <c r="T4718" s="27"/>
      <c r="U4718" s="27"/>
    </row>
    <row r="4719">
      <c r="S4719" s="27"/>
      <c r="T4719" s="27"/>
      <c r="U4719" s="27"/>
    </row>
    <row r="4721">
      <c r="S4721" s="27"/>
      <c r="T4721" s="27"/>
      <c r="U4721" s="27"/>
    </row>
    <row r="4722">
      <c r="S4722" s="27"/>
      <c r="T4722" s="27"/>
      <c r="U4722" s="27"/>
    </row>
    <row r="4727">
      <c r="S4727" s="27"/>
      <c r="T4727" s="27"/>
      <c r="U4727" s="27"/>
    </row>
    <row r="4728">
      <c r="S4728" s="27"/>
      <c r="T4728" s="27"/>
      <c r="U4728" s="27"/>
    </row>
    <row r="4730">
      <c r="S4730" s="27"/>
      <c r="T4730" s="27"/>
      <c r="U4730" s="27"/>
    </row>
    <row r="4731">
      <c r="S4731" s="27"/>
      <c r="T4731" s="27"/>
      <c r="U4731" s="27"/>
    </row>
    <row r="4733">
      <c r="S4733" s="27"/>
      <c r="T4733" s="27"/>
      <c r="U4733" s="27"/>
    </row>
    <row r="4734">
      <c r="S4734" s="27"/>
      <c r="T4734" s="27"/>
      <c r="U4734" s="27"/>
    </row>
    <row r="4736">
      <c r="S4736" s="33"/>
      <c r="T4736" s="33"/>
      <c r="U4736" s="27"/>
    </row>
    <row r="4742">
      <c r="S4742" s="27"/>
      <c r="T4742" s="27"/>
      <c r="U4742" s="27"/>
    </row>
    <row r="4745">
      <c r="S4745" s="27"/>
      <c r="T4745" s="27"/>
      <c r="U4745" s="27"/>
    </row>
    <row r="4746">
      <c r="S4746" s="27"/>
      <c r="T4746" s="27"/>
      <c r="U4746" s="27"/>
    </row>
    <row r="4748">
      <c r="S4748" s="27"/>
      <c r="T4748" s="27"/>
      <c r="U4748" s="27"/>
    </row>
    <row r="4749">
      <c r="S4749" s="26"/>
      <c r="T4749" s="26"/>
      <c r="U4749" s="26"/>
    </row>
    <row r="4751">
      <c r="S4751" s="27"/>
      <c r="T4751" s="27"/>
      <c r="U4751" s="27"/>
    </row>
    <row r="4752">
      <c r="S4752" s="27"/>
      <c r="T4752" s="27"/>
      <c r="U4752" s="27"/>
    </row>
    <row r="4754">
      <c r="S4754" s="27"/>
      <c r="T4754" s="27"/>
      <c r="U4754" s="27"/>
    </row>
    <row r="4755">
      <c r="S4755" s="27"/>
      <c r="T4755" s="27"/>
      <c r="U4755" s="27"/>
    </row>
    <row r="4757">
      <c r="S4757" s="27"/>
      <c r="T4757" s="27"/>
      <c r="U4757" s="27"/>
    </row>
    <row r="4758">
      <c r="S4758" s="27"/>
      <c r="T4758" s="27"/>
      <c r="U4758" s="27"/>
    </row>
    <row r="4760">
      <c r="S4760" s="27"/>
      <c r="T4760" s="27"/>
      <c r="U4760" s="27"/>
    </row>
    <row r="4761">
      <c r="S4761" s="27"/>
      <c r="T4761" s="27"/>
      <c r="U4761" s="27"/>
    </row>
    <row r="4763">
      <c r="T4763" s="27"/>
      <c r="U4763" s="27"/>
    </row>
    <row r="4766">
      <c r="S4766" s="27"/>
      <c r="T4766" s="27"/>
      <c r="U4766" s="27"/>
    </row>
    <row r="4767">
      <c r="S4767" s="27"/>
      <c r="T4767" s="27"/>
      <c r="U4767" s="27"/>
    </row>
    <row r="4769">
      <c r="S4769" s="27"/>
      <c r="T4769" s="27"/>
      <c r="U4769" s="27"/>
    </row>
    <row r="4770">
      <c r="S4770" s="27"/>
      <c r="T4770" s="27"/>
      <c r="U4770" s="27"/>
    </row>
    <row r="4772">
      <c r="T4772" s="27"/>
      <c r="U4772" s="27"/>
    </row>
    <row r="4775">
      <c r="S4775" s="27"/>
      <c r="T4775" s="26"/>
      <c r="U4775" s="27"/>
    </row>
    <row r="4776">
      <c r="S4776" s="27"/>
      <c r="U4776" s="27"/>
    </row>
    <row r="4778">
      <c r="S4778" s="27"/>
      <c r="T4778" s="27"/>
      <c r="U4778" s="27"/>
    </row>
    <row r="4779">
      <c r="S4779" s="27"/>
      <c r="T4779" s="27"/>
      <c r="U4779" s="27"/>
    </row>
    <row r="4781">
      <c r="S4781" s="27"/>
      <c r="T4781" s="27"/>
      <c r="U4781" s="27"/>
    </row>
    <row r="4782">
      <c r="S4782" s="27"/>
      <c r="T4782" s="27"/>
      <c r="U4782" s="27"/>
    </row>
    <row r="4784">
      <c r="S4784" s="27"/>
      <c r="T4784" s="27"/>
      <c r="U4784" s="27"/>
    </row>
    <row r="4787">
      <c r="S4787" s="27"/>
      <c r="T4787" s="27"/>
      <c r="U4787" s="27"/>
    </row>
    <row r="4788">
      <c r="S4788" s="27"/>
      <c r="T4788" s="27"/>
      <c r="U4788" s="27"/>
    </row>
    <row r="4790">
      <c r="S4790" s="26"/>
      <c r="T4790" s="26"/>
      <c r="U4790" s="26"/>
    </row>
    <row r="4793">
      <c r="S4793" s="27"/>
      <c r="T4793" s="27"/>
      <c r="U4793" s="27"/>
    </row>
    <row r="4796">
      <c r="S4796" s="27"/>
      <c r="T4796" s="27"/>
      <c r="U4796" s="27"/>
    </row>
    <row r="4797">
      <c r="S4797" s="27"/>
      <c r="T4797" s="27"/>
      <c r="U4797" s="27"/>
    </row>
    <row r="4799">
      <c r="S4799" s="27"/>
      <c r="T4799" s="27"/>
      <c r="U4799" s="27"/>
    </row>
    <row r="4800">
      <c r="S4800" s="27"/>
      <c r="T4800" s="27"/>
      <c r="U4800" s="27"/>
    </row>
    <row r="4802">
      <c r="S4802" s="27"/>
      <c r="T4802" s="27"/>
      <c r="U4802" s="27"/>
    </row>
    <row r="4803">
      <c r="S4803" s="27"/>
      <c r="T4803" s="27"/>
      <c r="U4803" s="27"/>
    </row>
    <row r="4805">
      <c r="S4805" s="27"/>
    </row>
    <row r="4806">
      <c r="S4806" s="26"/>
      <c r="T4806" s="26"/>
      <c r="U4806" s="26"/>
    </row>
    <row r="4808">
      <c r="S4808" s="27"/>
      <c r="T4808" s="27"/>
      <c r="U4808" s="27"/>
    </row>
    <row r="4809">
      <c r="S4809" s="27"/>
      <c r="T4809" s="27"/>
      <c r="U4809" s="27"/>
    </row>
    <row r="4811">
      <c r="S4811" s="27"/>
      <c r="T4811" s="27"/>
      <c r="U4811" s="27"/>
    </row>
    <row r="4812">
      <c r="S4812" s="27"/>
      <c r="T4812" s="27"/>
      <c r="U4812" s="27"/>
    </row>
    <row r="4814">
      <c r="S4814" s="27"/>
      <c r="T4814" s="27"/>
      <c r="U4814" s="27"/>
    </row>
    <row r="4815">
      <c r="S4815" s="27"/>
      <c r="T4815" s="27"/>
      <c r="U4815" s="27"/>
    </row>
    <row r="4817">
      <c r="S4817" s="27"/>
      <c r="T4817" s="27"/>
      <c r="U4817" s="27"/>
    </row>
    <row r="4818">
      <c r="S4818" s="27"/>
      <c r="T4818" s="27"/>
      <c r="U4818" s="27"/>
    </row>
    <row r="4820">
      <c r="S4820" s="27"/>
      <c r="T4820" s="27"/>
      <c r="U4820" s="27"/>
    </row>
    <row r="4821">
      <c r="S4821" s="27"/>
      <c r="T4821" s="27"/>
      <c r="U4821" s="27"/>
    </row>
    <row r="4823">
      <c r="S4823" s="27"/>
      <c r="T4823" s="27"/>
      <c r="U4823" s="27"/>
    </row>
    <row r="4824">
      <c r="S4824" s="27"/>
      <c r="T4824" s="27"/>
      <c r="U4824" s="27"/>
    </row>
    <row r="4826">
      <c r="S4826" s="27"/>
      <c r="T4826" s="27"/>
      <c r="U4826" s="27"/>
    </row>
    <row r="4827">
      <c r="S4827" s="27"/>
      <c r="T4827" s="27"/>
      <c r="U4827" s="27"/>
    </row>
    <row r="4829">
      <c r="S4829" s="27"/>
      <c r="T4829" s="27"/>
      <c r="U4829" s="27"/>
    </row>
    <row r="4830">
      <c r="S4830" s="27"/>
      <c r="T4830" s="27"/>
      <c r="U4830" s="27"/>
    </row>
    <row r="4832">
      <c r="S4832" s="27"/>
      <c r="T4832" s="27"/>
      <c r="U4832" s="27"/>
    </row>
    <row r="4833">
      <c r="S4833" s="27"/>
      <c r="T4833" s="27"/>
      <c r="U4833" s="27"/>
    </row>
    <row r="4835">
      <c r="S4835" s="27"/>
      <c r="T4835" s="27"/>
      <c r="U4835" s="27"/>
    </row>
    <row r="4836">
      <c r="S4836" s="27"/>
      <c r="T4836" s="27"/>
      <c r="U4836" s="27"/>
    </row>
    <row r="4838">
      <c r="S4838" s="27"/>
      <c r="T4838" s="27"/>
      <c r="U4838" s="27"/>
    </row>
    <row r="4839">
      <c r="S4839" s="27"/>
      <c r="T4839" s="27"/>
      <c r="U4839" s="27"/>
    </row>
    <row r="4841">
      <c r="S4841" s="27"/>
      <c r="T4841" s="27"/>
      <c r="U4841" s="27"/>
    </row>
    <row r="4842">
      <c r="S4842" s="27"/>
      <c r="T4842" s="27"/>
      <c r="U4842" s="27"/>
    </row>
    <row r="4844">
      <c r="S4844" s="27"/>
      <c r="T4844" s="27"/>
      <c r="U4844" s="27"/>
    </row>
    <row r="4845">
      <c r="S4845" s="27"/>
      <c r="T4845" s="27"/>
      <c r="U4845" s="27"/>
    </row>
    <row r="4847">
      <c r="S4847" s="27"/>
      <c r="T4847" s="27"/>
      <c r="U4847" s="27"/>
    </row>
    <row r="4848">
      <c r="S4848" s="27"/>
      <c r="T4848" s="27"/>
      <c r="U4848" s="27"/>
    </row>
    <row r="4850">
      <c r="S4850" s="27"/>
      <c r="T4850" s="27"/>
      <c r="U4850" s="27"/>
    </row>
    <row r="4851">
      <c r="S4851" s="27"/>
      <c r="T4851" s="27"/>
      <c r="U4851" s="27"/>
    </row>
    <row r="4853">
      <c r="S4853" s="27"/>
      <c r="T4853" s="27"/>
      <c r="U4853" s="27"/>
    </row>
    <row r="4854">
      <c r="S4854" s="27"/>
      <c r="T4854" s="27"/>
      <c r="U4854" s="27"/>
    </row>
    <row r="4856">
      <c r="S4856" s="27"/>
      <c r="T4856" s="27"/>
      <c r="U4856" s="27"/>
    </row>
    <row r="4857">
      <c r="S4857" s="27"/>
      <c r="T4857" s="27"/>
      <c r="U4857" s="27"/>
    </row>
    <row r="4859">
      <c r="S4859" s="27"/>
      <c r="T4859" s="27"/>
      <c r="U4859" s="27"/>
    </row>
    <row r="4860">
      <c r="S4860" s="27"/>
      <c r="T4860" s="27"/>
      <c r="U4860" s="27"/>
    </row>
    <row r="4862">
      <c r="S4862" s="27"/>
      <c r="T4862" s="27"/>
      <c r="U4862" s="27"/>
    </row>
    <row r="4863">
      <c r="S4863" s="27"/>
      <c r="T4863" s="27"/>
      <c r="U4863" s="27"/>
    </row>
    <row r="4865">
      <c r="S4865" s="27"/>
      <c r="T4865" s="27"/>
      <c r="U4865" s="27"/>
    </row>
    <row r="4866">
      <c r="S4866" s="27"/>
      <c r="T4866" s="27"/>
      <c r="U4866" s="27"/>
    </row>
    <row r="4868">
      <c r="S4868" s="27"/>
      <c r="T4868" s="27"/>
      <c r="U4868" s="27"/>
    </row>
    <row r="4869">
      <c r="S4869" s="27"/>
      <c r="T4869" s="27"/>
      <c r="U4869" s="27"/>
    </row>
    <row r="4871">
      <c r="S4871" s="27"/>
      <c r="T4871" s="27"/>
      <c r="U4871" s="27"/>
    </row>
    <row r="4872">
      <c r="S4872" s="27"/>
      <c r="T4872" s="27"/>
      <c r="U4872" s="27"/>
    </row>
    <row r="4874">
      <c r="S4874" s="27"/>
      <c r="T4874" s="27"/>
      <c r="U4874" s="27"/>
    </row>
    <row r="4875">
      <c r="S4875" s="27"/>
      <c r="T4875" s="27"/>
      <c r="U4875" s="27"/>
    </row>
    <row r="4877">
      <c r="S4877" s="27"/>
      <c r="T4877" s="27"/>
      <c r="U4877" s="27"/>
    </row>
    <row r="4878">
      <c r="S4878" s="27"/>
      <c r="T4878" s="27"/>
      <c r="U4878" s="27"/>
    </row>
    <row r="4880">
      <c r="S4880" s="27"/>
      <c r="T4880" s="27"/>
      <c r="U4880" s="27"/>
    </row>
    <row r="4881">
      <c r="S4881" s="27"/>
      <c r="T4881" s="27"/>
      <c r="U4881" s="27"/>
    </row>
    <row r="4883">
      <c r="S4883" s="27"/>
      <c r="T4883" s="27"/>
      <c r="U4883" s="27"/>
    </row>
    <row r="4884">
      <c r="S4884" s="27"/>
      <c r="T4884" s="27"/>
      <c r="U4884" s="27"/>
    </row>
    <row r="4886">
      <c r="S4886" s="27"/>
      <c r="T4886" s="27"/>
      <c r="U4886" s="27"/>
    </row>
    <row r="4887">
      <c r="S4887" s="27"/>
      <c r="T4887" s="27"/>
      <c r="U4887" s="27"/>
    </row>
    <row r="4889">
      <c r="S4889" s="27"/>
      <c r="T4889" s="27"/>
      <c r="U4889" s="27"/>
    </row>
    <row r="4890">
      <c r="S4890" s="27"/>
      <c r="T4890" s="27"/>
      <c r="U4890" s="27"/>
    </row>
    <row r="4892">
      <c r="S4892" s="27"/>
      <c r="T4892" s="27"/>
      <c r="U4892" s="27"/>
    </row>
    <row r="4893">
      <c r="S4893" s="27"/>
      <c r="T4893" s="27"/>
      <c r="U4893" s="27"/>
    </row>
    <row r="4895">
      <c r="S4895" s="27"/>
      <c r="T4895" s="27"/>
      <c r="U4895" s="27"/>
    </row>
    <row r="4896">
      <c r="S4896" s="27"/>
      <c r="T4896" s="27"/>
      <c r="U4896" s="27"/>
    </row>
    <row r="4898">
      <c r="S4898" s="27"/>
      <c r="T4898" s="27"/>
      <c r="U4898" s="27"/>
    </row>
    <row r="4899">
      <c r="S4899" s="27"/>
      <c r="T4899" s="27"/>
      <c r="U4899" s="27"/>
    </row>
    <row r="4901">
      <c r="S4901" s="27"/>
      <c r="T4901" s="27"/>
      <c r="U4901" s="27"/>
    </row>
    <row r="4902">
      <c r="S4902" s="27"/>
      <c r="T4902" s="27"/>
      <c r="U4902" s="27"/>
    </row>
    <row r="4904">
      <c r="S4904" s="27"/>
      <c r="T4904" s="27"/>
      <c r="U4904" s="27"/>
    </row>
    <row r="4906">
      <c r="S4906" s="27"/>
      <c r="T4906" s="27"/>
      <c r="U4906" s="27"/>
    </row>
    <row r="4907">
      <c r="S4907" s="27"/>
      <c r="T4907" s="27"/>
      <c r="U4907" s="27"/>
    </row>
    <row r="4909">
      <c r="S4909" s="27"/>
      <c r="T4909" s="27"/>
      <c r="U4909" s="27"/>
    </row>
    <row r="4910">
      <c r="S4910" s="27"/>
      <c r="T4910" s="27"/>
      <c r="U4910" s="27"/>
    </row>
    <row r="4912">
      <c r="S4912" s="27"/>
      <c r="T4912" s="27"/>
      <c r="U4912" s="27"/>
    </row>
    <row r="4913">
      <c r="S4913" s="27"/>
      <c r="T4913" s="27"/>
      <c r="U4913" s="27"/>
    </row>
    <row r="4915">
      <c r="S4915" s="27"/>
      <c r="T4915" s="27"/>
      <c r="U4915" s="27"/>
    </row>
    <row r="4916">
      <c r="S4916" s="27"/>
      <c r="T4916" s="27"/>
      <c r="U4916" s="27"/>
    </row>
    <row r="4918">
      <c r="S4918" s="27"/>
      <c r="T4918" s="27"/>
      <c r="U4918" s="27"/>
    </row>
    <row r="4919">
      <c r="S4919" s="27"/>
      <c r="T4919" s="27"/>
      <c r="U4919" s="27"/>
    </row>
    <row r="4921">
      <c r="S4921" s="27"/>
      <c r="T4921" s="27"/>
      <c r="U4921" s="27"/>
    </row>
    <row r="4922">
      <c r="S4922" s="27"/>
      <c r="T4922" s="27"/>
      <c r="U4922" s="27"/>
    </row>
    <row r="4924">
      <c r="S4924" s="27"/>
      <c r="T4924" s="27"/>
      <c r="U4924" s="27"/>
    </row>
    <row r="4925">
      <c r="S4925" s="27"/>
      <c r="T4925" s="27"/>
      <c r="U4925" s="27"/>
    </row>
    <row r="4927">
      <c r="S4927" s="27"/>
      <c r="T4927" s="27"/>
      <c r="U4927" s="27"/>
    </row>
    <row r="4929">
      <c r="S4929" s="27"/>
      <c r="T4929" s="27"/>
      <c r="U4929" s="27"/>
    </row>
    <row r="4931">
      <c r="S4931" s="27"/>
      <c r="T4931" s="27"/>
      <c r="U4931" s="27"/>
    </row>
    <row r="4933">
      <c r="S4933" s="27"/>
      <c r="T4933" s="27"/>
      <c r="U4933" s="27"/>
    </row>
    <row r="4935">
      <c r="S4935" s="27"/>
      <c r="T4935" s="27"/>
      <c r="U4935" s="27"/>
    </row>
    <row r="4936">
      <c r="S4936" s="27"/>
      <c r="T4936" s="27"/>
      <c r="U4936" s="27"/>
    </row>
    <row r="4938">
      <c r="S4938" s="27"/>
    </row>
    <row r="4939">
      <c r="S4939" s="27"/>
      <c r="T4939" s="27"/>
      <c r="U4939" s="27"/>
    </row>
    <row r="4941">
      <c r="S4941" s="27"/>
      <c r="T4941" s="27"/>
      <c r="U4941" s="27"/>
    </row>
    <row r="4942">
      <c r="S4942" s="33"/>
      <c r="T4942" s="33"/>
      <c r="U4942" s="33"/>
    </row>
    <row r="4944">
      <c r="S4944" s="27"/>
      <c r="T4944" s="27"/>
      <c r="U4944" s="27"/>
    </row>
    <row r="4945">
      <c r="S4945" s="27"/>
      <c r="T4945" s="27"/>
      <c r="U4945" s="27"/>
    </row>
    <row r="4947">
      <c r="S4947" s="27"/>
      <c r="T4947" s="27"/>
      <c r="U4947" s="27"/>
    </row>
    <row r="4948">
      <c r="S4948" s="27"/>
      <c r="T4948" s="27"/>
      <c r="U4948" s="27"/>
    </row>
    <row r="4950">
      <c r="S4950" s="27"/>
      <c r="T4950" s="27"/>
      <c r="U4950" s="27"/>
    </row>
    <row r="4951">
      <c r="S4951" s="27"/>
      <c r="T4951" s="27"/>
      <c r="U4951" s="27"/>
    </row>
    <row r="4959">
      <c r="S4959" s="27"/>
      <c r="T4959" s="27"/>
      <c r="U4959" s="27"/>
    </row>
    <row r="4965">
      <c r="S4965" s="27"/>
      <c r="T4965" s="27"/>
      <c r="U4965" s="27"/>
    </row>
    <row r="4966">
      <c r="S4966" s="27"/>
      <c r="T4966" s="27"/>
      <c r="U4966" s="27"/>
    </row>
    <row r="4968">
      <c r="S4968" s="27"/>
      <c r="T4968" s="27"/>
      <c r="U4968" s="27"/>
    </row>
    <row r="4969">
      <c r="S4969" s="27"/>
      <c r="T4969" s="27"/>
      <c r="U4969" s="27"/>
    </row>
    <row r="4971">
      <c r="U4971" s="34"/>
    </row>
    <row r="4974">
      <c r="S4974" s="27"/>
      <c r="T4974" s="27"/>
      <c r="U4974" s="27"/>
    </row>
    <row r="4975">
      <c r="S4975" s="27"/>
      <c r="T4975" s="27"/>
      <c r="U4975" s="27"/>
    </row>
    <row r="4977">
      <c r="S4977" s="27"/>
      <c r="T4977" s="27"/>
      <c r="U4977" s="27"/>
    </row>
    <row r="4978">
      <c r="S4978" s="27"/>
      <c r="T4978" s="27"/>
      <c r="U4978" s="27"/>
    </row>
    <row r="4980">
      <c r="S4980" s="27"/>
      <c r="T4980" s="27"/>
      <c r="U4980" s="27"/>
    </row>
    <row r="4981">
      <c r="S4981" s="27"/>
      <c r="T4981" s="27"/>
      <c r="U4981" s="27"/>
    </row>
    <row r="4983">
      <c r="T4983" s="27"/>
      <c r="U4983" s="27"/>
    </row>
    <row r="4986">
      <c r="S4986" s="26"/>
      <c r="T4986" s="26"/>
      <c r="U4986" s="26"/>
    </row>
    <row r="4989">
      <c r="S4989" s="27"/>
      <c r="T4989" s="27"/>
      <c r="U4989" s="27"/>
    </row>
    <row r="4990">
      <c r="S4990" s="27"/>
      <c r="T4990" s="27"/>
      <c r="U4990" s="27"/>
    </row>
    <row r="4992">
      <c r="S4992" s="27"/>
      <c r="T4992" s="27"/>
      <c r="U4992" s="27"/>
    </row>
    <row r="4993">
      <c r="S4993" s="27"/>
      <c r="T4993" s="27"/>
      <c r="U4993" s="27"/>
    </row>
    <row r="5001">
      <c r="S5001" s="27"/>
      <c r="T5001" s="27"/>
      <c r="U5001" s="27"/>
    </row>
    <row r="5004">
      <c r="S5004" s="27"/>
      <c r="T5004" s="27"/>
      <c r="U5004" s="27"/>
    </row>
    <row r="5005">
      <c r="S5005" s="27"/>
      <c r="T5005" s="27"/>
      <c r="U5005" s="27"/>
    </row>
    <row r="5007">
      <c r="S5007" s="27"/>
      <c r="T5007" s="27"/>
      <c r="U5007" s="27"/>
    </row>
    <row r="5008">
      <c r="S5008" s="27"/>
      <c r="T5008" s="27"/>
      <c r="U5008" s="27"/>
    </row>
    <row r="5010">
      <c r="S5010" s="27"/>
      <c r="T5010" s="27"/>
      <c r="U5010" s="27"/>
    </row>
    <row r="5011">
      <c r="S5011" s="27"/>
      <c r="T5011" s="27"/>
      <c r="U5011" s="27"/>
    </row>
    <row r="5013">
      <c r="S5013" s="27"/>
      <c r="T5013" s="27"/>
      <c r="U5013" s="27"/>
    </row>
    <row r="5014">
      <c r="S5014" s="27"/>
      <c r="T5014" s="27"/>
      <c r="U5014" s="27"/>
    </row>
    <row r="5016">
      <c r="S5016" s="27"/>
      <c r="T5016" s="27"/>
      <c r="U5016" s="27"/>
    </row>
    <row r="5017">
      <c r="S5017" s="27"/>
      <c r="T5017" s="27"/>
      <c r="U5017" s="27"/>
    </row>
    <row r="5019">
      <c r="S5019" s="27"/>
      <c r="T5019" s="27"/>
      <c r="U5019" s="27"/>
    </row>
    <row r="5020">
      <c r="S5020" s="27"/>
      <c r="T5020" s="27"/>
      <c r="U5020" s="27"/>
    </row>
    <row r="5022">
      <c r="S5022" s="27"/>
      <c r="T5022" s="27"/>
      <c r="U5022" s="27"/>
    </row>
    <row r="5023">
      <c r="S5023" s="27"/>
      <c r="T5023" s="27"/>
      <c r="U5023" s="27"/>
    </row>
    <row r="5025">
      <c r="S5025" s="27"/>
      <c r="T5025" s="27"/>
      <c r="U5025" s="27"/>
    </row>
    <row r="5026">
      <c r="S5026" s="27"/>
      <c r="T5026" s="27"/>
      <c r="U5026" s="27"/>
    </row>
    <row r="5028">
      <c r="S5028" s="27"/>
      <c r="T5028" s="27"/>
      <c r="U5028" s="27"/>
    </row>
    <row r="5029">
      <c r="S5029" s="27"/>
      <c r="T5029" s="27"/>
      <c r="U5029" s="27"/>
    </row>
    <row r="5031">
      <c r="S5031" s="27"/>
      <c r="T5031" s="27"/>
      <c r="U5031" s="27"/>
    </row>
    <row r="5032">
      <c r="S5032" s="27"/>
      <c r="T5032" s="27"/>
      <c r="U5032" s="27"/>
    </row>
    <row r="5034">
      <c r="S5034" s="27"/>
      <c r="T5034" s="27"/>
      <c r="U5034" s="27"/>
    </row>
    <row r="5035">
      <c r="S5035" s="27"/>
      <c r="T5035" s="27"/>
      <c r="U5035" s="27"/>
    </row>
    <row r="5037">
      <c r="S5037" s="27"/>
      <c r="T5037" s="27"/>
      <c r="U5037" s="27"/>
    </row>
    <row r="5038">
      <c r="S5038" s="27"/>
      <c r="T5038" s="27"/>
      <c r="U5038" s="27"/>
    </row>
    <row r="5040">
      <c r="S5040" s="27"/>
      <c r="T5040" s="27"/>
      <c r="U5040" s="27"/>
    </row>
    <row r="5041">
      <c r="S5041" s="27"/>
      <c r="T5041" s="27"/>
      <c r="U5041" s="27"/>
    </row>
    <row r="5043">
      <c r="S5043" s="27"/>
      <c r="T5043" s="27"/>
      <c r="U5043" s="27"/>
    </row>
    <row r="5044">
      <c r="S5044" s="27"/>
      <c r="T5044" s="27"/>
      <c r="U5044" s="27"/>
    </row>
    <row r="5046">
      <c r="S5046" s="27"/>
      <c r="T5046" s="27"/>
      <c r="U5046" s="27"/>
    </row>
    <row r="5047">
      <c r="S5047" s="27"/>
      <c r="T5047" s="27"/>
      <c r="U5047" s="27"/>
    </row>
    <row r="5049">
      <c r="S5049" s="27"/>
      <c r="T5049" s="27"/>
      <c r="U5049" s="27"/>
    </row>
    <row r="5050">
      <c r="S5050" s="27"/>
      <c r="T5050" s="27"/>
      <c r="U5050" s="27"/>
    </row>
    <row r="5052">
      <c r="S5052" s="27"/>
      <c r="T5052" s="27"/>
      <c r="U5052" s="27"/>
    </row>
    <row r="5053">
      <c r="S5053" s="27"/>
      <c r="T5053" s="27"/>
      <c r="U5053" s="27"/>
    </row>
    <row r="5055">
      <c r="S5055" s="27"/>
      <c r="T5055" s="27"/>
      <c r="U5055" s="27"/>
    </row>
    <row r="5056">
      <c r="S5056" s="27"/>
      <c r="T5056" s="27"/>
      <c r="U5056" s="27"/>
    </row>
    <row r="5058">
      <c r="S5058" s="27"/>
      <c r="T5058" s="27"/>
      <c r="U5058" s="27"/>
    </row>
    <row r="5059">
      <c r="S5059" s="27"/>
      <c r="T5059" s="27"/>
      <c r="U5059" s="27"/>
    </row>
    <row r="5061">
      <c r="S5061" s="27"/>
      <c r="T5061" s="27"/>
      <c r="U5061" s="27"/>
    </row>
    <row r="5062">
      <c r="S5062" s="27"/>
      <c r="T5062" s="27"/>
      <c r="U5062" s="27"/>
    </row>
    <row r="5064">
      <c r="S5064" s="27"/>
      <c r="T5064" s="27"/>
      <c r="U5064" s="27"/>
    </row>
    <row r="5065">
      <c r="S5065" s="27"/>
      <c r="T5065" s="27"/>
      <c r="U5065" s="27"/>
    </row>
    <row r="5067">
      <c r="S5067" s="27"/>
      <c r="T5067" s="27"/>
      <c r="U5067" s="27"/>
    </row>
    <row r="5068">
      <c r="S5068" s="27"/>
      <c r="T5068" s="27"/>
      <c r="U5068" s="27"/>
    </row>
    <row r="5070">
      <c r="S5070" s="27"/>
      <c r="T5070" s="27"/>
      <c r="U5070" s="27"/>
    </row>
    <row r="5071">
      <c r="S5071" s="27"/>
      <c r="T5071" s="27"/>
      <c r="U5071" s="27"/>
    </row>
    <row r="5073">
      <c r="S5073" s="27"/>
      <c r="T5073" s="27"/>
      <c r="U5073" s="27"/>
    </row>
    <row r="5074">
      <c r="S5074" s="27"/>
      <c r="T5074" s="27"/>
      <c r="U5074" s="27"/>
    </row>
    <row r="5076">
      <c r="S5076" s="33"/>
      <c r="T5076" s="33"/>
      <c r="U5076" s="27"/>
    </row>
    <row r="5077">
      <c r="U5077" s="27"/>
    </row>
    <row r="5079">
      <c r="S5079" s="27"/>
      <c r="T5079" s="27"/>
      <c r="U5079" s="27"/>
    </row>
    <row r="5082">
      <c r="S5082" s="33"/>
      <c r="T5082" s="33"/>
      <c r="U5082" s="33"/>
    </row>
    <row r="5083">
      <c r="S5083" s="27"/>
      <c r="T5083" s="27"/>
      <c r="U5083" s="27"/>
    </row>
    <row r="5085">
      <c r="S5085" s="27"/>
      <c r="T5085" s="27"/>
      <c r="U5085" s="27"/>
    </row>
    <row r="5086">
      <c r="S5086" s="27"/>
      <c r="T5086" s="27"/>
      <c r="U5086" s="27"/>
    </row>
    <row r="5088">
      <c r="S5088" s="27"/>
    </row>
    <row r="5089">
      <c r="S5089" s="26"/>
      <c r="T5089" s="26"/>
      <c r="U5089" s="26"/>
    </row>
    <row r="5091">
      <c r="S5091" s="27"/>
      <c r="T5091" s="27"/>
      <c r="U5091" s="27"/>
    </row>
    <row r="5092">
      <c r="S5092" s="27"/>
      <c r="T5092" s="27"/>
      <c r="U5092" s="27"/>
    </row>
    <row r="5094">
      <c r="S5094" s="27"/>
      <c r="T5094" s="27"/>
      <c r="U5094" s="27"/>
    </row>
    <row r="5095">
      <c r="S5095" s="27"/>
      <c r="T5095" s="27"/>
      <c r="U5095" s="27"/>
    </row>
    <row r="5097">
      <c r="S5097" s="27"/>
      <c r="T5097" s="27"/>
      <c r="U5097" s="27"/>
    </row>
    <row r="5098">
      <c r="S5098" s="27"/>
      <c r="T5098" s="27"/>
      <c r="U5098" s="27"/>
    </row>
    <row r="5100">
      <c r="S5100" s="26"/>
    </row>
    <row r="5103">
      <c r="T5103" s="26"/>
      <c r="U5103" s="26"/>
    </row>
    <row r="5108">
      <c r="S5108" s="27"/>
    </row>
    <row r="5110">
      <c r="S5110" s="26"/>
      <c r="T5110" s="26"/>
      <c r="U5110" s="26"/>
    </row>
    <row r="5116">
      <c r="S5116" s="27"/>
      <c r="T5116" s="27"/>
      <c r="U5116" s="27"/>
    </row>
    <row r="5117">
      <c r="S5117" s="27"/>
      <c r="T5117" s="27"/>
      <c r="U5117" s="27"/>
    </row>
    <row r="5119">
      <c r="S5119" s="27"/>
      <c r="T5119" s="27"/>
      <c r="U5119" s="27"/>
    </row>
    <row r="5120">
      <c r="S5120" s="27"/>
      <c r="T5120" s="27"/>
      <c r="U5120" s="27"/>
    </row>
    <row r="5122">
      <c r="S5122" s="27"/>
      <c r="T5122" s="27"/>
      <c r="U5122" s="27"/>
    </row>
    <row r="5123">
      <c r="S5123" s="27"/>
      <c r="T5123" s="27"/>
      <c r="U5123" s="27"/>
    </row>
    <row r="5125">
      <c r="S5125" s="27"/>
      <c r="T5125" s="27"/>
      <c r="U5125" s="27"/>
    </row>
    <row r="5126">
      <c r="S5126" s="27"/>
      <c r="T5126" s="27"/>
      <c r="U5126" s="27"/>
    </row>
    <row r="5129">
      <c r="S5129" s="27"/>
      <c r="T5129" s="27"/>
      <c r="U5129" s="27"/>
    </row>
    <row r="5134">
      <c r="S5134" s="27"/>
      <c r="T5134" s="27"/>
      <c r="U5134" s="27"/>
    </row>
    <row r="5135">
      <c r="S5135" s="27"/>
      <c r="T5135" s="27"/>
      <c r="U5135" s="27"/>
    </row>
    <row r="5137">
      <c r="S5137" s="27"/>
      <c r="T5137" s="27"/>
    </row>
    <row r="5138">
      <c r="S5138" s="27"/>
      <c r="T5138" s="27"/>
    </row>
    <row r="5140">
      <c r="S5140" s="27"/>
      <c r="T5140" s="27"/>
      <c r="U5140" s="27"/>
    </row>
    <row r="5141">
      <c r="S5141" s="27"/>
      <c r="T5141" s="27"/>
      <c r="U5141" s="27"/>
    </row>
    <row r="5143">
      <c r="S5143" s="33"/>
      <c r="T5143" s="33"/>
      <c r="U5143" s="33"/>
    </row>
    <row r="5149">
      <c r="S5149" s="27"/>
      <c r="T5149" s="27"/>
      <c r="U5149" s="27"/>
    </row>
    <row r="5152">
      <c r="S5152" s="27"/>
      <c r="T5152" s="27"/>
      <c r="U5152" s="33"/>
    </row>
    <row r="5153">
      <c r="S5153" s="27"/>
      <c r="T5153" s="27"/>
      <c r="U5153" s="27"/>
    </row>
    <row r="5158">
      <c r="S5158" s="27"/>
      <c r="T5158" s="27"/>
      <c r="U5158" s="27"/>
    </row>
    <row r="5159">
      <c r="S5159" s="27"/>
      <c r="T5159" s="27"/>
      <c r="U5159" s="27"/>
    </row>
    <row r="5161">
      <c r="S5161" s="27"/>
      <c r="T5161" s="27"/>
      <c r="U5161" s="27"/>
    </row>
    <row r="5162">
      <c r="S5162" s="27"/>
      <c r="T5162" s="27"/>
      <c r="U5162" s="27"/>
    </row>
    <row r="5164">
      <c r="U5164" s="27"/>
    </row>
    <row r="5165">
      <c r="S5165" s="27"/>
      <c r="T5165" s="27"/>
      <c r="U5165" s="27"/>
    </row>
    <row r="5170">
      <c r="S5170" s="26"/>
    </row>
    <row r="5173">
      <c r="S5173" s="27"/>
      <c r="T5173" s="27"/>
      <c r="U5173" s="27"/>
    </row>
    <row r="5174">
      <c r="S5174" s="27"/>
      <c r="T5174" s="27"/>
      <c r="U5174" s="27"/>
    </row>
    <row r="5177">
      <c r="U5177" s="27"/>
    </row>
    <row r="5179">
      <c r="S5179" s="27"/>
      <c r="T5179" s="27"/>
      <c r="U5179" s="27"/>
    </row>
    <row r="5188">
      <c r="S5188" s="27"/>
      <c r="T5188" s="27"/>
      <c r="U5188" s="27"/>
    </row>
    <row r="5189">
      <c r="S5189" s="27"/>
      <c r="T5189" s="27"/>
      <c r="U5189" s="27"/>
    </row>
    <row r="5191">
      <c r="T5191" s="27"/>
      <c r="U5191" s="27"/>
    </row>
    <row r="5194">
      <c r="S5194" s="27"/>
      <c r="T5194" s="27"/>
      <c r="U5194" s="27"/>
    </row>
    <row r="5195">
      <c r="S5195" s="27"/>
      <c r="T5195" s="27"/>
      <c r="U5195" s="27"/>
    </row>
    <row r="5197">
      <c r="S5197" s="26"/>
      <c r="T5197" s="26"/>
      <c r="U5197" s="26"/>
    </row>
    <row r="5200">
      <c r="S5200" s="27"/>
      <c r="T5200" s="27"/>
      <c r="U5200" s="27"/>
    </row>
    <row r="5203">
      <c r="S5203" s="27"/>
      <c r="T5203" s="27"/>
      <c r="U5203" s="27"/>
    </row>
    <row r="5204">
      <c r="S5204" s="27"/>
      <c r="T5204" s="27"/>
      <c r="U5204" s="27"/>
    </row>
    <row r="5206">
      <c r="S5206" s="27"/>
      <c r="T5206" s="27"/>
      <c r="U5206" s="27"/>
    </row>
    <row r="5207">
      <c r="S5207" s="27"/>
      <c r="T5207" s="27"/>
      <c r="U5207" s="27"/>
    </row>
    <row r="5209">
      <c r="S5209" s="27"/>
      <c r="T5209" s="26"/>
      <c r="U5209" s="26"/>
    </row>
    <row r="5210">
      <c r="U5210" s="26"/>
    </row>
    <row r="5212">
      <c r="S5212" s="27"/>
      <c r="T5212" s="27"/>
      <c r="U5212" s="27"/>
    </row>
    <row r="5213">
      <c r="S5213" s="27"/>
      <c r="T5213" s="27"/>
      <c r="U5213" s="27"/>
    </row>
    <row r="5215">
      <c r="S5215" s="27"/>
      <c r="T5215" s="27"/>
      <c r="U5215" s="27"/>
    </row>
    <row r="5216">
      <c r="S5216" s="27"/>
      <c r="T5216" s="27"/>
      <c r="U5216" s="27"/>
    </row>
    <row r="5218">
      <c r="S5218" s="27"/>
      <c r="T5218" s="27"/>
      <c r="U5218" s="27"/>
    </row>
    <row r="5219">
      <c r="S5219" s="27"/>
      <c r="T5219" s="27"/>
      <c r="U5219" s="27"/>
    </row>
    <row r="5221">
      <c r="S5221" s="27"/>
      <c r="T5221" s="27"/>
      <c r="U5221" s="27"/>
    </row>
    <row r="5222">
      <c r="S5222" s="27"/>
      <c r="T5222" s="27"/>
      <c r="U5222" s="27"/>
    </row>
    <row r="5224">
      <c r="S5224" s="27"/>
      <c r="T5224" s="27"/>
      <c r="U5224" s="27"/>
    </row>
    <row r="5225">
      <c r="S5225" s="27"/>
      <c r="T5225" s="27"/>
      <c r="U5225" s="27"/>
    </row>
    <row r="5227">
      <c r="S5227" s="27"/>
      <c r="T5227" s="27"/>
      <c r="U5227" s="27"/>
    </row>
    <row r="5228">
      <c r="S5228" s="27"/>
      <c r="T5228" s="27"/>
      <c r="U5228" s="27"/>
    </row>
    <row r="5230">
      <c r="S5230" s="27"/>
      <c r="T5230" s="27"/>
      <c r="U5230" s="27"/>
    </row>
    <row r="5231">
      <c r="S5231" s="27"/>
      <c r="T5231" s="27"/>
      <c r="U5231" s="27"/>
    </row>
    <row r="5233">
      <c r="S5233" s="27"/>
      <c r="T5233" s="27"/>
      <c r="U5233" s="27"/>
    </row>
    <row r="5234">
      <c r="S5234" s="27"/>
      <c r="T5234" s="27"/>
      <c r="U5234" s="27"/>
    </row>
    <row r="5236">
      <c r="S5236" s="27"/>
      <c r="T5236" s="27"/>
      <c r="U5236" s="27"/>
    </row>
    <row r="5237">
      <c r="S5237" s="27"/>
      <c r="T5237" s="27"/>
      <c r="U5237" s="27"/>
    </row>
    <row r="5239">
      <c r="S5239" s="27"/>
      <c r="T5239" s="27"/>
      <c r="U5239" s="27"/>
    </row>
    <row r="5240">
      <c r="S5240" s="27"/>
      <c r="T5240" s="27"/>
      <c r="U5240" s="27"/>
    </row>
    <row r="5242">
      <c r="S5242" s="27"/>
      <c r="T5242" s="27"/>
      <c r="U5242" s="27"/>
    </row>
    <row r="5243">
      <c r="S5243" s="27"/>
      <c r="T5243" s="27"/>
      <c r="U5243" s="27"/>
    </row>
    <row r="5245">
      <c r="S5245" s="27"/>
      <c r="T5245" s="27"/>
      <c r="U5245" s="27"/>
    </row>
    <row r="5246">
      <c r="S5246" s="27"/>
      <c r="T5246" s="27"/>
      <c r="U5246" s="27"/>
    </row>
    <row r="5248">
      <c r="S5248" s="27"/>
      <c r="T5248" s="27"/>
      <c r="U5248" s="27"/>
    </row>
    <row r="5249">
      <c r="S5249" s="27"/>
      <c r="T5249" s="27"/>
      <c r="U5249" s="27"/>
    </row>
    <row r="5251">
      <c r="S5251" s="27"/>
      <c r="T5251" s="27"/>
      <c r="U5251" s="27"/>
    </row>
    <row r="5252">
      <c r="S5252" s="27"/>
      <c r="T5252" s="27"/>
      <c r="U5252" s="27"/>
    </row>
    <row r="5254">
      <c r="S5254" s="27"/>
      <c r="T5254" s="27"/>
      <c r="U5254" s="27"/>
    </row>
    <row r="5255">
      <c r="S5255" s="27"/>
      <c r="T5255" s="27"/>
      <c r="U5255" s="27"/>
    </row>
    <row r="5257">
      <c r="S5257" s="27"/>
      <c r="T5257" s="27"/>
      <c r="U5257" s="27"/>
    </row>
    <row r="5258">
      <c r="S5258" s="27"/>
      <c r="T5258" s="27"/>
      <c r="U5258" s="27"/>
    </row>
    <row r="5260">
      <c r="S5260" s="27"/>
      <c r="T5260" s="27"/>
      <c r="U5260" s="27"/>
    </row>
    <row r="5261">
      <c r="S5261" s="27"/>
      <c r="T5261" s="27"/>
      <c r="U5261" s="27"/>
    </row>
    <row r="5263">
      <c r="S5263" s="27"/>
      <c r="T5263" s="27"/>
      <c r="U5263" s="27"/>
    </row>
    <row r="5264">
      <c r="S5264" s="27"/>
      <c r="T5264" s="27"/>
      <c r="U5264" s="27"/>
    </row>
    <row r="5266">
      <c r="S5266" s="27"/>
      <c r="T5266" s="27"/>
      <c r="U5266" s="27"/>
    </row>
    <row r="5267">
      <c r="S5267" s="27"/>
      <c r="T5267" s="27"/>
      <c r="U5267" s="27"/>
    </row>
    <row r="5269">
      <c r="S5269" s="27"/>
      <c r="T5269" s="27"/>
      <c r="U5269" s="27"/>
    </row>
    <row r="5270">
      <c r="S5270" s="27"/>
      <c r="T5270" s="27"/>
      <c r="U5270" s="27"/>
    </row>
    <row r="5272">
      <c r="S5272" s="27"/>
      <c r="T5272" s="27"/>
      <c r="U5272" s="27"/>
    </row>
    <row r="5273">
      <c r="S5273" s="27"/>
      <c r="T5273" s="27"/>
      <c r="U5273" s="27"/>
    </row>
    <row r="5275">
      <c r="S5275" s="27"/>
      <c r="T5275" s="27"/>
      <c r="U5275" s="27"/>
    </row>
    <row r="5276">
      <c r="S5276" s="27"/>
      <c r="T5276" s="27"/>
      <c r="U5276" s="27"/>
    </row>
    <row r="5278">
      <c r="S5278" s="27"/>
      <c r="T5278" s="27"/>
      <c r="U5278" s="27"/>
    </row>
    <row r="5279">
      <c r="S5279" s="27"/>
      <c r="T5279" s="27"/>
      <c r="U5279" s="27"/>
    </row>
    <row r="5281">
      <c r="S5281" s="27"/>
      <c r="T5281" s="27"/>
      <c r="U5281" s="27"/>
    </row>
    <row r="5282">
      <c r="S5282" s="27"/>
      <c r="T5282" s="27"/>
      <c r="U5282" s="27"/>
    </row>
    <row r="5284">
      <c r="S5284" s="27"/>
      <c r="T5284" s="27"/>
      <c r="U5284" s="27"/>
    </row>
    <row r="5285">
      <c r="S5285" s="27"/>
      <c r="T5285" s="27"/>
      <c r="U5285" s="27"/>
    </row>
    <row r="5287">
      <c r="S5287" s="27"/>
      <c r="T5287" s="27"/>
      <c r="U5287" s="27"/>
    </row>
    <row r="5288">
      <c r="S5288" s="27"/>
      <c r="T5288" s="27"/>
      <c r="U5288" s="27"/>
    </row>
    <row r="5290">
      <c r="S5290" s="27"/>
      <c r="T5290" s="27"/>
      <c r="U5290" s="27"/>
    </row>
    <row r="5291">
      <c r="S5291" s="27"/>
      <c r="T5291" s="27"/>
      <c r="U5291" s="27"/>
    </row>
    <row r="5293">
      <c r="S5293" s="27"/>
      <c r="T5293" s="27"/>
      <c r="U5293" s="27"/>
    </row>
    <row r="5294">
      <c r="S5294" s="27"/>
      <c r="T5294" s="27"/>
      <c r="U5294" s="27"/>
    </row>
    <row r="5296">
      <c r="S5296" s="27"/>
      <c r="T5296" s="27"/>
      <c r="U5296" s="27"/>
    </row>
    <row r="5297">
      <c r="S5297" s="27"/>
      <c r="T5297" s="27"/>
      <c r="U5297" s="27"/>
    </row>
    <row r="5299">
      <c r="S5299" s="27"/>
      <c r="T5299" s="27"/>
      <c r="U5299" s="27"/>
    </row>
    <row r="5300">
      <c r="S5300" s="27"/>
      <c r="T5300" s="27"/>
      <c r="U5300" s="27"/>
    </row>
    <row r="5302">
      <c r="S5302" s="27"/>
      <c r="T5302" s="27"/>
      <c r="U5302" s="27"/>
    </row>
    <row r="5303">
      <c r="S5303" s="27"/>
      <c r="T5303" s="27"/>
      <c r="U5303" s="27"/>
    </row>
    <row r="5305">
      <c r="S5305" s="27"/>
      <c r="T5305" s="27"/>
      <c r="U5305" s="27"/>
    </row>
    <row r="5307">
      <c r="S5307" s="27"/>
      <c r="T5307" s="27"/>
      <c r="U5307" s="27"/>
    </row>
    <row r="5308">
      <c r="S5308" s="27"/>
      <c r="T5308" s="27"/>
      <c r="U5308" s="27"/>
    </row>
    <row r="5310">
      <c r="S5310" s="27"/>
      <c r="T5310" s="27"/>
      <c r="U5310" s="27"/>
    </row>
    <row r="5311">
      <c r="S5311" s="27"/>
      <c r="T5311" s="27"/>
      <c r="U5311" s="27"/>
    </row>
    <row r="5313">
      <c r="S5313" s="27"/>
      <c r="T5313" s="27"/>
      <c r="U5313" s="27"/>
    </row>
    <row r="5314">
      <c r="S5314" s="27"/>
      <c r="T5314" s="27"/>
      <c r="U5314" s="27"/>
    </row>
    <row r="5316">
      <c r="S5316" s="27"/>
      <c r="T5316" s="27"/>
      <c r="U5316" s="27"/>
    </row>
    <row r="5317">
      <c r="S5317" s="27"/>
      <c r="T5317" s="27"/>
      <c r="U5317" s="27"/>
    </row>
    <row r="5319">
      <c r="S5319" s="27"/>
      <c r="T5319" s="27"/>
      <c r="U5319" s="27"/>
    </row>
    <row r="5320">
      <c r="S5320" s="27"/>
      <c r="T5320" s="27"/>
      <c r="U5320" s="27"/>
    </row>
    <row r="5322">
      <c r="S5322" s="27"/>
      <c r="T5322" s="27"/>
      <c r="U5322" s="27"/>
    </row>
    <row r="5323">
      <c r="S5323" s="27"/>
      <c r="T5323" s="27"/>
      <c r="U5323" s="27"/>
    </row>
    <row r="5325">
      <c r="S5325" s="27"/>
      <c r="T5325" s="27"/>
      <c r="U5325" s="27"/>
    </row>
    <row r="5326">
      <c r="S5326" s="27"/>
      <c r="T5326" s="27"/>
      <c r="U5326" s="27"/>
    </row>
    <row r="5328">
      <c r="S5328" s="27"/>
      <c r="T5328" s="27"/>
      <c r="U5328" s="27"/>
    </row>
    <row r="5330">
      <c r="S5330" s="27"/>
      <c r="T5330" s="27"/>
      <c r="U5330" s="27"/>
    </row>
    <row r="5332">
      <c r="S5332" s="27"/>
      <c r="T5332" s="27"/>
      <c r="U5332" s="27"/>
    </row>
    <row r="5334">
      <c r="S5334" s="27"/>
      <c r="T5334" s="27"/>
      <c r="U5334" s="27"/>
    </row>
    <row r="5336">
      <c r="S5336" s="27"/>
      <c r="T5336" s="27"/>
      <c r="U5336" s="27"/>
    </row>
    <row r="5337">
      <c r="S5337" s="27"/>
      <c r="T5337" s="27"/>
      <c r="U5337" s="27"/>
    </row>
    <row r="5339">
      <c r="S5339" s="27"/>
      <c r="T5339" s="27"/>
      <c r="U5339" s="27"/>
    </row>
    <row r="5340">
      <c r="S5340" s="27"/>
      <c r="T5340" s="27"/>
      <c r="U5340" s="27"/>
    </row>
    <row r="5342">
      <c r="S5342" s="27"/>
      <c r="T5342" s="27"/>
      <c r="U5342" s="27"/>
    </row>
    <row r="5343">
      <c r="U5343" s="27"/>
    </row>
    <row r="5345">
      <c r="S5345" s="27"/>
      <c r="T5345" s="27"/>
      <c r="U5345" s="27"/>
    </row>
    <row r="5346">
      <c r="S5346" s="27"/>
      <c r="T5346" s="27"/>
      <c r="U5346" s="27"/>
    </row>
    <row r="5349">
      <c r="S5349" s="27"/>
      <c r="T5349" s="27"/>
      <c r="U5349" s="27"/>
    </row>
    <row r="5351">
      <c r="S5351" s="27"/>
      <c r="T5351" s="27"/>
      <c r="U5351" s="27"/>
    </row>
    <row r="5352">
      <c r="S5352" s="27"/>
      <c r="T5352" s="27"/>
      <c r="U5352" s="27"/>
    </row>
    <row r="5357">
      <c r="S5357" s="26"/>
      <c r="T5357" s="26"/>
      <c r="U5357" s="26"/>
    </row>
    <row r="5360">
      <c r="S5360" s="27"/>
      <c r="T5360" s="27"/>
      <c r="U5360" s="27"/>
    </row>
    <row r="5363">
      <c r="S5363" s="27"/>
      <c r="T5363" s="27"/>
      <c r="U5363" s="27"/>
    </row>
    <row r="5364">
      <c r="S5364" s="27"/>
      <c r="T5364" s="27"/>
      <c r="U5364" s="27"/>
    </row>
    <row r="5366">
      <c r="S5366" s="27"/>
      <c r="T5366" s="27"/>
      <c r="U5366" s="27"/>
    </row>
    <row r="5367">
      <c r="S5367" s="27"/>
      <c r="T5367" s="27"/>
      <c r="U5367" s="27"/>
    </row>
    <row r="5369">
      <c r="S5369" s="27"/>
      <c r="T5369" s="27"/>
    </row>
    <row r="5370">
      <c r="S5370" s="27"/>
      <c r="T5370" s="27"/>
    </row>
    <row r="5372">
      <c r="S5372" s="26"/>
      <c r="T5372" s="26"/>
      <c r="U5372" s="26"/>
    </row>
    <row r="5375">
      <c r="S5375" s="27"/>
      <c r="T5375" s="27"/>
      <c r="U5375" s="27"/>
    </row>
    <row r="5376">
      <c r="S5376" s="27"/>
      <c r="T5376" s="27"/>
      <c r="U5376" s="27"/>
    </row>
    <row r="5378">
      <c r="S5378" s="27"/>
      <c r="T5378" s="27"/>
      <c r="U5378" s="27"/>
    </row>
    <row r="5379">
      <c r="S5379" s="27"/>
      <c r="T5379" s="27"/>
      <c r="U5379" s="27"/>
    </row>
    <row r="5381">
      <c r="S5381" s="27"/>
      <c r="T5381" s="27"/>
      <c r="U5381" s="27"/>
    </row>
    <row r="5382">
      <c r="S5382" s="27"/>
      <c r="T5382" s="27"/>
      <c r="U5382" s="27"/>
    </row>
    <row r="5384">
      <c r="T5384" s="27"/>
      <c r="U5384" s="27"/>
    </row>
    <row r="5387">
      <c r="S5387" s="26"/>
      <c r="T5387" s="26"/>
      <c r="U5387" s="26"/>
    </row>
    <row r="5390">
      <c r="S5390" s="27"/>
      <c r="T5390" s="27"/>
      <c r="U5390" s="27"/>
    </row>
    <row r="5391">
      <c r="S5391" s="27"/>
      <c r="T5391" s="27"/>
      <c r="U5391" s="27"/>
    </row>
    <row r="5393">
      <c r="S5393" s="27"/>
      <c r="T5393" s="27"/>
      <c r="U5393" s="27"/>
    </row>
    <row r="5394">
      <c r="S5394" s="27"/>
      <c r="T5394" s="27"/>
      <c r="U5394" s="27"/>
    </row>
    <row r="5399">
      <c r="S5399" s="26"/>
    </row>
    <row r="5402">
      <c r="S5402" s="27"/>
      <c r="T5402" s="27"/>
      <c r="U5402" s="27"/>
    </row>
    <row r="5405">
      <c r="S5405" s="27"/>
      <c r="T5405" s="27"/>
      <c r="U5405" s="27"/>
    </row>
    <row r="5406">
      <c r="S5406" s="27"/>
      <c r="T5406" s="27"/>
      <c r="U5406" s="27"/>
    </row>
    <row r="5408">
      <c r="S5408" s="27"/>
      <c r="T5408" s="27"/>
      <c r="U5408" s="27"/>
    </row>
    <row r="5409">
      <c r="S5409" s="27"/>
      <c r="T5409" s="27"/>
      <c r="U5409" s="27"/>
    </row>
    <row r="5411">
      <c r="S5411" s="27"/>
      <c r="T5411" s="27"/>
      <c r="U5411" s="27"/>
    </row>
    <row r="5412">
      <c r="S5412" s="27"/>
      <c r="T5412" s="27"/>
      <c r="U5412" s="27"/>
    </row>
    <row r="5414">
      <c r="S5414" s="27"/>
      <c r="T5414" s="27"/>
      <c r="U5414" s="27"/>
    </row>
    <row r="5415">
      <c r="S5415" s="27"/>
      <c r="T5415" s="27"/>
      <c r="U5415" s="27"/>
    </row>
    <row r="5417">
      <c r="S5417" s="27"/>
      <c r="T5417" s="27"/>
      <c r="U5417" s="27"/>
    </row>
    <row r="5418">
      <c r="S5418" s="27"/>
      <c r="T5418" s="27"/>
      <c r="U5418" s="27"/>
    </row>
    <row r="5420">
      <c r="S5420" s="27"/>
      <c r="T5420" s="27"/>
      <c r="U5420" s="27"/>
    </row>
    <row r="5421">
      <c r="S5421" s="27"/>
      <c r="T5421" s="27"/>
      <c r="U5421" s="27"/>
    </row>
    <row r="5423">
      <c r="S5423" s="27"/>
      <c r="T5423" s="27"/>
      <c r="U5423" s="27"/>
    </row>
    <row r="5424">
      <c r="S5424" s="27"/>
      <c r="T5424" s="27"/>
      <c r="U5424" s="27"/>
    </row>
    <row r="5426">
      <c r="S5426" s="27"/>
      <c r="T5426" s="27"/>
      <c r="U5426" s="27"/>
    </row>
    <row r="5427">
      <c r="S5427" s="27"/>
      <c r="T5427" s="27"/>
      <c r="U5427" s="27"/>
    </row>
    <row r="5429">
      <c r="S5429" s="27"/>
      <c r="T5429" s="27"/>
      <c r="U5429" s="27"/>
    </row>
    <row r="5430">
      <c r="S5430" s="27"/>
      <c r="T5430" s="27"/>
      <c r="U5430" s="27"/>
    </row>
    <row r="5432">
      <c r="S5432" s="27"/>
      <c r="T5432" s="27"/>
      <c r="U5432" s="27"/>
    </row>
    <row r="5433">
      <c r="S5433" s="27"/>
      <c r="T5433" s="27"/>
      <c r="U5433" s="27"/>
    </row>
    <row r="5435">
      <c r="S5435" s="27"/>
      <c r="T5435" s="27"/>
      <c r="U5435" s="27"/>
    </row>
    <row r="5436">
      <c r="S5436" s="27"/>
      <c r="T5436" s="27"/>
      <c r="U5436" s="27"/>
    </row>
    <row r="5438">
      <c r="S5438" s="27"/>
      <c r="T5438" s="27"/>
      <c r="U5438" s="27"/>
    </row>
    <row r="5439">
      <c r="S5439" s="27"/>
      <c r="T5439" s="27"/>
      <c r="U5439" s="27"/>
    </row>
    <row r="5441">
      <c r="S5441" s="27"/>
      <c r="T5441" s="27"/>
      <c r="U5441" s="27"/>
    </row>
    <row r="5442">
      <c r="S5442" s="27"/>
      <c r="T5442" s="27"/>
      <c r="U5442" s="27"/>
    </row>
    <row r="5444">
      <c r="S5444" s="27"/>
      <c r="T5444" s="27"/>
      <c r="U5444" s="27"/>
    </row>
    <row r="5445">
      <c r="S5445" s="27"/>
      <c r="T5445" s="27"/>
      <c r="U5445" s="27"/>
    </row>
    <row r="5447">
      <c r="S5447" s="27"/>
      <c r="T5447" s="27"/>
      <c r="U5447" s="27"/>
    </row>
    <row r="5448">
      <c r="S5448" s="27"/>
      <c r="T5448" s="27"/>
      <c r="U5448" s="27"/>
    </row>
    <row r="5450">
      <c r="S5450" s="27"/>
      <c r="T5450" s="27"/>
      <c r="U5450" s="27"/>
    </row>
    <row r="5451">
      <c r="S5451" s="27"/>
      <c r="T5451" s="27"/>
      <c r="U5451" s="27"/>
    </row>
    <row r="5453">
      <c r="S5453" s="27"/>
      <c r="T5453" s="27"/>
      <c r="U5453" s="27"/>
    </row>
    <row r="5454">
      <c r="S5454" s="27"/>
      <c r="T5454" s="27"/>
      <c r="U5454" s="27"/>
    </row>
    <row r="5456">
      <c r="S5456" s="27"/>
      <c r="T5456" s="27"/>
      <c r="U5456" s="27"/>
    </row>
    <row r="5457">
      <c r="S5457" s="27"/>
      <c r="T5457" s="27"/>
      <c r="U5457" s="27"/>
    </row>
    <row r="5459">
      <c r="S5459" s="27"/>
      <c r="T5459" s="27"/>
      <c r="U5459" s="27"/>
    </row>
    <row r="5460">
      <c r="S5460" s="27"/>
      <c r="T5460" s="27"/>
      <c r="U5460" s="27"/>
    </row>
    <row r="5462">
      <c r="S5462" s="27"/>
      <c r="T5462" s="27"/>
      <c r="U5462" s="27"/>
    </row>
    <row r="5463">
      <c r="S5463" s="27"/>
      <c r="T5463" s="27"/>
      <c r="U5463" s="27"/>
    </row>
    <row r="5465">
      <c r="S5465" s="26"/>
      <c r="T5465" s="27"/>
      <c r="U5465" s="27"/>
    </row>
    <row r="5466">
      <c r="S5466" s="26"/>
      <c r="T5466" s="27"/>
      <c r="U5466" s="27"/>
    </row>
    <row r="5468">
      <c r="S5468" s="27"/>
      <c r="T5468" s="27"/>
      <c r="U5468" s="27"/>
    </row>
    <row r="5469">
      <c r="S5469" s="27"/>
      <c r="T5469" s="27"/>
      <c r="U5469" s="27"/>
    </row>
    <row r="5471">
      <c r="S5471" s="27"/>
      <c r="T5471" s="27"/>
      <c r="U5471" s="27"/>
    </row>
    <row r="5472">
      <c r="S5472" s="27"/>
      <c r="T5472" s="27"/>
      <c r="U5472" s="27"/>
    </row>
    <row r="5474">
      <c r="S5474" s="27"/>
      <c r="T5474" s="27"/>
      <c r="U5474" s="27"/>
    </row>
    <row r="5475">
      <c r="S5475" s="27"/>
      <c r="T5475" s="27"/>
      <c r="U5475" s="27"/>
    </row>
    <row r="5480">
      <c r="S5480" s="27"/>
      <c r="T5480" s="27"/>
      <c r="U5480" s="27"/>
    </row>
    <row r="5481">
      <c r="S5481" s="27"/>
      <c r="T5481" s="27"/>
      <c r="U5481" s="27"/>
    </row>
    <row r="5483">
      <c r="S5483" s="27"/>
      <c r="T5483" s="27"/>
      <c r="U5483" s="27"/>
    </row>
    <row r="5486">
      <c r="S5486" s="33"/>
      <c r="T5486" s="33"/>
    </row>
    <row r="5487">
      <c r="S5487" s="27"/>
      <c r="T5487" s="27"/>
    </row>
    <row r="5489">
      <c r="S5489" s="27"/>
      <c r="T5489" s="27"/>
      <c r="U5489" s="27"/>
    </row>
    <row r="5490">
      <c r="S5490" s="27"/>
      <c r="T5490" s="27"/>
      <c r="U5490" s="27"/>
    </row>
    <row r="5492">
      <c r="S5492" s="27"/>
      <c r="T5492" s="27"/>
      <c r="U5492" s="27"/>
    </row>
    <row r="5493">
      <c r="S5493" s="27"/>
      <c r="T5493" s="27"/>
      <c r="U5493" s="27"/>
    </row>
    <row r="5496">
      <c r="S5496" s="27"/>
      <c r="T5496" s="27"/>
      <c r="U5496" s="27"/>
    </row>
    <row r="5497">
      <c r="S5497" s="27"/>
      <c r="T5497" s="27"/>
      <c r="U5497" s="27"/>
    </row>
    <row r="5499">
      <c r="S5499" s="27"/>
      <c r="T5499" s="27"/>
      <c r="U5499" s="27"/>
    </row>
    <row r="5500">
      <c r="S5500" s="27"/>
      <c r="T5500" s="27"/>
      <c r="U5500" s="27"/>
    </row>
    <row r="5505">
      <c r="S5505" s="26"/>
      <c r="T5505" s="26"/>
    </row>
    <row r="5508">
      <c r="S5508" s="27"/>
      <c r="T5508" s="27"/>
      <c r="U5508" s="27"/>
    </row>
    <row r="5510">
      <c r="S5510" s="27"/>
      <c r="T5510" s="27"/>
      <c r="U5510" s="27"/>
    </row>
    <row r="5512">
      <c r="S5512" s="27"/>
      <c r="T5512" s="26"/>
      <c r="U5512" s="26"/>
    </row>
    <row r="5515">
      <c r="S5515" s="27"/>
      <c r="T5515" s="27"/>
      <c r="U5515" s="27"/>
    </row>
    <row r="5518">
      <c r="S5518" s="27"/>
      <c r="T5518" s="27"/>
      <c r="U5518" s="27"/>
    </row>
    <row r="5519">
      <c r="S5519" s="27"/>
      <c r="T5519" s="27"/>
      <c r="U5519" s="27"/>
    </row>
    <row r="5521">
      <c r="S5521" s="27"/>
      <c r="T5521" s="27"/>
      <c r="U5521" s="27"/>
    </row>
    <row r="5522">
      <c r="S5522" s="27"/>
      <c r="T5522" s="27"/>
      <c r="U5522" s="27"/>
    </row>
    <row r="5524">
      <c r="S5524" s="27"/>
      <c r="T5524" s="27"/>
      <c r="U5524" s="27"/>
    </row>
    <row r="5525">
      <c r="S5525" s="27"/>
      <c r="U5525" s="27"/>
    </row>
    <row r="5527">
      <c r="S5527" s="27"/>
      <c r="T5527" s="27"/>
      <c r="U5527" s="27"/>
    </row>
    <row r="5528">
      <c r="S5528" s="26"/>
      <c r="T5528" s="26"/>
      <c r="U5528" s="26"/>
    </row>
    <row r="5530">
      <c r="S5530" s="27"/>
      <c r="T5530" s="27"/>
      <c r="U5530" s="27"/>
    </row>
    <row r="5531">
      <c r="S5531" s="27"/>
      <c r="T5531" s="27"/>
      <c r="U5531" s="27"/>
    </row>
    <row r="5536">
      <c r="S5536" s="27"/>
      <c r="T5536" s="27"/>
      <c r="U5536" s="27"/>
    </row>
    <row r="5537">
      <c r="S5537" s="27"/>
      <c r="T5537" s="27"/>
      <c r="U5537" s="27"/>
    </row>
    <row r="5539">
      <c r="S5539" s="27"/>
      <c r="T5539" s="27"/>
      <c r="U5539" s="27"/>
    </row>
    <row r="5540">
      <c r="S5540" s="27"/>
      <c r="T5540" s="27"/>
      <c r="U5540" s="27"/>
    </row>
    <row r="5542">
      <c r="S5542" s="27"/>
      <c r="T5542" s="27"/>
      <c r="U5542" s="27"/>
    </row>
    <row r="5543">
      <c r="S5543" s="27"/>
      <c r="T5543" s="27"/>
      <c r="U5543" s="27"/>
    </row>
    <row r="5545">
      <c r="S5545" s="33"/>
      <c r="T5545" s="33"/>
      <c r="U5545" s="33"/>
    </row>
    <row r="5551">
      <c r="S5551" s="27"/>
      <c r="T5551" s="27"/>
      <c r="U5551" s="27"/>
    </row>
    <row r="5554">
      <c r="S5554" s="27"/>
      <c r="T5554" s="27"/>
      <c r="U5554" s="27"/>
    </row>
    <row r="5555">
      <c r="S5555" s="33"/>
      <c r="T5555" s="33"/>
      <c r="U5555" s="33"/>
    </row>
    <row r="5557">
      <c r="S5557" s="27"/>
      <c r="T5557" s="26"/>
      <c r="U5557" s="26"/>
    </row>
    <row r="5558">
      <c r="S5558" s="26"/>
      <c r="T5558" s="26"/>
      <c r="U5558" s="26"/>
    </row>
    <row r="5560">
      <c r="S5560" s="27"/>
      <c r="T5560" s="27"/>
      <c r="U5560" s="27"/>
    </row>
    <row r="5561">
      <c r="S5561" s="27"/>
      <c r="T5561" s="27"/>
      <c r="U5561" s="27"/>
    </row>
    <row r="5563">
      <c r="S5563" s="27"/>
      <c r="T5563" s="27"/>
      <c r="U5563" s="27"/>
    </row>
    <row r="5564">
      <c r="S5564" s="27"/>
      <c r="T5564" s="27"/>
      <c r="U5564" s="27"/>
    </row>
    <row r="5566">
      <c r="T5566" s="27"/>
      <c r="U5566" s="27"/>
    </row>
    <row r="5567">
      <c r="T5567" s="27"/>
      <c r="U5567" s="27"/>
    </row>
    <row r="5569">
      <c r="S5569" s="27"/>
      <c r="T5569" s="27"/>
      <c r="U5569" s="27"/>
    </row>
    <row r="5570">
      <c r="S5570" s="27"/>
      <c r="T5570" s="27"/>
      <c r="U5570" s="27"/>
    </row>
    <row r="5575">
      <c r="S5575" s="27"/>
      <c r="T5575" s="27"/>
      <c r="U5575" s="27"/>
    </row>
    <row r="5576">
      <c r="S5576" s="27"/>
      <c r="T5576" s="27"/>
      <c r="U5576" s="27"/>
    </row>
    <row r="5578">
      <c r="S5578" s="27"/>
      <c r="T5578" s="27"/>
      <c r="U5578" s="27"/>
    </row>
    <row r="5579">
      <c r="S5579" s="27"/>
      <c r="T5579" s="27"/>
      <c r="U5579" s="27"/>
    </row>
    <row r="5581">
      <c r="S5581" s="27"/>
      <c r="T5581" s="27"/>
    </row>
    <row r="5584">
      <c r="S5584" s="26"/>
      <c r="U5584" s="27"/>
    </row>
    <row r="5585">
      <c r="T5585" s="27"/>
      <c r="U5585" s="27"/>
    </row>
    <row r="5587">
      <c r="S5587" s="27"/>
      <c r="T5587" s="27"/>
      <c r="U5587" s="27"/>
    </row>
    <row r="5588">
      <c r="S5588" s="27"/>
      <c r="T5588" s="27"/>
      <c r="U5588" s="27"/>
    </row>
    <row r="5590">
      <c r="S5590" s="27"/>
      <c r="T5590" s="27"/>
      <c r="U5590" s="27"/>
    </row>
    <row r="5591">
      <c r="S5591" s="27"/>
      <c r="T5591" s="27"/>
      <c r="U5591" s="27"/>
    </row>
    <row r="5593">
      <c r="S5593" s="27"/>
      <c r="T5593" s="27"/>
      <c r="U5593" s="27"/>
    </row>
    <row r="5597">
      <c r="S5597" s="26"/>
      <c r="T5597" s="26"/>
      <c r="U5597" s="26"/>
    </row>
    <row r="5600">
      <c r="S5600" s="27"/>
      <c r="T5600" s="27"/>
      <c r="U5600" s="27"/>
    </row>
    <row r="5603">
      <c r="S5603" s="27"/>
      <c r="T5603" s="27"/>
      <c r="U5603" s="27"/>
    </row>
    <row r="5604">
      <c r="S5604" s="27"/>
      <c r="T5604" s="27"/>
      <c r="U5604" s="27"/>
    </row>
    <row r="5606">
      <c r="S5606" s="27"/>
      <c r="T5606" s="27"/>
      <c r="U5606" s="27"/>
    </row>
    <row r="5607">
      <c r="S5607" s="27"/>
      <c r="T5607" s="27"/>
      <c r="U5607" s="27"/>
    </row>
    <row r="5609">
      <c r="S5609" s="27"/>
      <c r="T5609" s="27"/>
      <c r="U5609" s="27"/>
    </row>
    <row r="5610">
      <c r="S5610" s="27"/>
      <c r="T5610" s="27"/>
      <c r="U5610" s="27"/>
    </row>
    <row r="5612">
      <c r="S5612" s="27"/>
    </row>
    <row r="5613">
      <c r="T5613" s="26"/>
      <c r="U5613" s="26"/>
    </row>
    <row r="5615">
      <c r="S5615" s="27"/>
      <c r="T5615" s="27"/>
      <c r="U5615" s="27"/>
    </row>
    <row r="5616">
      <c r="S5616" s="27"/>
      <c r="T5616" s="27"/>
      <c r="U5616" s="27"/>
    </row>
    <row r="5618">
      <c r="S5618" s="27"/>
      <c r="T5618" s="27"/>
      <c r="U5618" s="27"/>
    </row>
    <row r="5619">
      <c r="S5619" s="27"/>
      <c r="T5619" s="27"/>
      <c r="U5619" s="27"/>
    </row>
    <row r="5621">
      <c r="S5621" s="27"/>
      <c r="T5621" s="27"/>
      <c r="U5621" s="27"/>
    </row>
    <row r="5622">
      <c r="S5622" s="27"/>
      <c r="T5622" s="27"/>
      <c r="U5622" s="27"/>
    </row>
    <row r="5624">
      <c r="S5624" s="27"/>
      <c r="T5624" s="27"/>
      <c r="U5624" s="27"/>
    </row>
    <row r="5625">
      <c r="S5625" s="27"/>
      <c r="T5625" s="27"/>
      <c r="U5625" s="27"/>
    </row>
    <row r="5627">
      <c r="S5627" s="27"/>
      <c r="T5627" s="27"/>
      <c r="U5627" s="27"/>
    </row>
    <row r="5628">
      <c r="S5628" s="27"/>
      <c r="T5628" s="27"/>
      <c r="U5628" s="27"/>
    </row>
    <row r="5630">
      <c r="S5630" s="27"/>
      <c r="T5630" s="27"/>
      <c r="U5630" s="27"/>
    </row>
    <row r="5631">
      <c r="S5631" s="27"/>
      <c r="T5631" s="27"/>
      <c r="U5631" s="27"/>
    </row>
    <row r="5633">
      <c r="S5633" s="27"/>
      <c r="T5633" s="27"/>
      <c r="U5633" s="27"/>
    </row>
    <row r="5634">
      <c r="S5634" s="27"/>
      <c r="T5634" s="27"/>
      <c r="U5634" s="27"/>
    </row>
    <row r="5636">
      <c r="S5636" s="27"/>
      <c r="T5636" s="27"/>
      <c r="U5636" s="27"/>
    </row>
    <row r="5637">
      <c r="S5637" s="27"/>
      <c r="T5637" s="27"/>
      <c r="U5637" s="27"/>
    </row>
    <row r="5639">
      <c r="S5639" s="27"/>
      <c r="T5639" s="27"/>
      <c r="U5639" s="27"/>
    </row>
    <row r="5640">
      <c r="S5640" s="27"/>
      <c r="T5640" s="27"/>
      <c r="U5640" s="27"/>
    </row>
    <row r="5642">
      <c r="S5642" s="27"/>
      <c r="T5642" s="27"/>
      <c r="U5642" s="27"/>
    </row>
    <row r="5643">
      <c r="S5643" s="27"/>
      <c r="T5643" s="27"/>
      <c r="U5643" s="27"/>
    </row>
    <row r="5645">
      <c r="S5645" s="27"/>
      <c r="T5645" s="27"/>
      <c r="U5645" s="27"/>
    </row>
    <row r="5646">
      <c r="S5646" s="27"/>
      <c r="T5646" s="27"/>
      <c r="U5646" s="27"/>
    </row>
    <row r="5648">
      <c r="S5648" s="27"/>
      <c r="T5648" s="27"/>
      <c r="U5648" s="27"/>
    </row>
    <row r="5649">
      <c r="S5649" s="27"/>
      <c r="T5649" s="27"/>
      <c r="U5649" s="27"/>
    </row>
    <row r="5651">
      <c r="S5651" s="27"/>
      <c r="T5651" s="27"/>
      <c r="U5651" s="27"/>
    </row>
    <row r="5652">
      <c r="S5652" s="27"/>
      <c r="T5652" s="27"/>
      <c r="U5652" s="27"/>
    </row>
    <row r="5654">
      <c r="S5654" s="27"/>
      <c r="T5654" s="27"/>
      <c r="U5654" s="27"/>
    </row>
    <row r="5655">
      <c r="S5655" s="27"/>
      <c r="T5655" s="27"/>
      <c r="U5655" s="27"/>
    </row>
    <row r="5657">
      <c r="S5657" s="27"/>
      <c r="T5657" s="27"/>
      <c r="U5657" s="27"/>
    </row>
    <row r="5658">
      <c r="S5658" s="27"/>
      <c r="T5658" s="27"/>
      <c r="U5658" s="27"/>
    </row>
    <row r="5660">
      <c r="S5660" s="27"/>
      <c r="T5660" s="27"/>
      <c r="U5660" s="27"/>
    </row>
    <row r="5661">
      <c r="S5661" s="27"/>
      <c r="T5661" s="27"/>
      <c r="U5661" s="27"/>
    </row>
    <row r="5663">
      <c r="S5663" s="27"/>
      <c r="T5663" s="27"/>
      <c r="U5663" s="27"/>
    </row>
    <row r="5664">
      <c r="S5664" s="27"/>
      <c r="T5664" s="27"/>
      <c r="U5664" s="27"/>
    </row>
    <row r="5666">
      <c r="S5666" s="27"/>
      <c r="T5666" s="27"/>
      <c r="U5666" s="27"/>
    </row>
    <row r="5667">
      <c r="S5667" s="27"/>
      <c r="T5667" s="27"/>
      <c r="U5667" s="27"/>
    </row>
    <row r="5669">
      <c r="S5669" s="27"/>
      <c r="T5669" s="27"/>
      <c r="U5669" s="27"/>
    </row>
    <row r="5670">
      <c r="S5670" s="27"/>
      <c r="T5670" s="27"/>
      <c r="U5670" s="27"/>
    </row>
    <row r="5672">
      <c r="S5672" s="27"/>
      <c r="T5672" s="27"/>
      <c r="U5672" s="27"/>
    </row>
    <row r="5673">
      <c r="S5673" s="27"/>
      <c r="T5673" s="27"/>
      <c r="U5673" s="27"/>
    </row>
    <row r="5675">
      <c r="S5675" s="27"/>
      <c r="T5675" s="27"/>
      <c r="U5675" s="27"/>
    </row>
    <row r="5676">
      <c r="S5676" s="27"/>
      <c r="T5676" s="27"/>
      <c r="U5676" s="27"/>
    </row>
    <row r="5678">
      <c r="S5678" s="27"/>
      <c r="T5678" s="27"/>
      <c r="U5678" s="27"/>
    </row>
    <row r="5679">
      <c r="S5679" s="27"/>
      <c r="T5679" s="27"/>
      <c r="U5679" s="27"/>
    </row>
    <row r="5681">
      <c r="S5681" s="27"/>
      <c r="T5681" s="27"/>
      <c r="U5681" s="27"/>
    </row>
    <row r="5682">
      <c r="S5682" s="27"/>
      <c r="T5682" s="27"/>
      <c r="U5682" s="27"/>
    </row>
    <row r="5684">
      <c r="S5684" s="27"/>
      <c r="T5684" s="27"/>
      <c r="U5684" s="27"/>
    </row>
    <row r="5685">
      <c r="S5685" s="27"/>
      <c r="T5685" s="27"/>
      <c r="U5685" s="27"/>
    </row>
    <row r="5687">
      <c r="S5687" s="27"/>
      <c r="T5687" s="27"/>
      <c r="U5687" s="27"/>
    </row>
    <row r="5688">
      <c r="S5688" s="27"/>
      <c r="T5688" s="27"/>
      <c r="U5688" s="27"/>
    </row>
    <row r="5690">
      <c r="S5690" s="27"/>
      <c r="T5690" s="27"/>
      <c r="U5690" s="27"/>
    </row>
    <row r="5691">
      <c r="S5691" s="27"/>
      <c r="T5691" s="27"/>
      <c r="U5691" s="27"/>
    </row>
    <row r="5693">
      <c r="S5693" s="27"/>
      <c r="T5693" s="27"/>
      <c r="U5693" s="27"/>
    </row>
    <row r="5694">
      <c r="S5694" s="27"/>
      <c r="T5694" s="27"/>
      <c r="U5694" s="27"/>
    </row>
    <row r="5696">
      <c r="S5696" s="27"/>
      <c r="T5696" s="27"/>
      <c r="U5696" s="27"/>
    </row>
    <row r="5697">
      <c r="S5697" s="27"/>
      <c r="T5697" s="27"/>
      <c r="U5697" s="27"/>
    </row>
    <row r="5699">
      <c r="S5699" s="27"/>
      <c r="T5699" s="27"/>
      <c r="U5699" s="27"/>
    </row>
    <row r="5700">
      <c r="S5700" s="27"/>
      <c r="T5700" s="27"/>
      <c r="U5700" s="27"/>
    </row>
    <row r="5702">
      <c r="S5702" s="27"/>
      <c r="T5702" s="27"/>
      <c r="U5702" s="27"/>
    </row>
    <row r="5703">
      <c r="S5703" s="27"/>
      <c r="T5703" s="27"/>
      <c r="U5703" s="27"/>
    </row>
    <row r="5705">
      <c r="S5705" s="27"/>
      <c r="T5705" s="27"/>
      <c r="U5705" s="27"/>
    </row>
    <row r="5706">
      <c r="S5706" s="27"/>
      <c r="T5706" s="27"/>
      <c r="U5706" s="27"/>
    </row>
    <row r="5708">
      <c r="S5708" s="27"/>
      <c r="T5708" s="27"/>
      <c r="U5708" s="27"/>
    </row>
    <row r="5710">
      <c r="S5710" s="27"/>
      <c r="T5710" s="27"/>
      <c r="U5710" s="27"/>
    </row>
    <row r="5711">
      <c r="S5711" s="27"/>
      <c r="T5711" s="27"/>
      <c r="U5711" s="27"/>
    </row>
    <row r="5713">
      <c r="S5713" s="27"/>
      <c r="T5713" s="27"/>
      <c r="U5713" s="27"/>
    </row>
    <row r="5714">
      <c r="S5714" s="27"/>
      <c r="T5714" s="27"/>
      <c r="U5714" s="27"/>
    </row>
    <row r="5716">
      <c r="S5716" s="27"/>
      <c r="T5716" s="27"/>
      <c r="U5716" s="27"/>
    </row>
    <row r="5717">
      <c r="S5717" s="27"/>
      <c r="T5717" s="27"/>
      <c r="U5717" s="27"/>
    </row>
    <row r="5719">
      <c r="S5719" s="27"/>
      <c r="T5719" s="27"/>
      <c r="U5719" s="27"/>
    </row>
    <row r="5720">
      <c r="S5720" s="27"/>
      <c r="T5720" s="27"/>
      <c r="U5720" s="27"/>
    </row>
    <row r="5722">
      <c r="S5722" s="27"/>
      <c r="T5722" s="27"/>
      <c r="U5722" s="27"/>
    </row>
    <row r="5723">
      <c r="S5723" s="27"/>
      <c r="T5723" s="27"/>
      <c r="U5723" s="27"/>
    </row>
    <row r="5725">
      <c r="S5725" s="27"/>
      <c r="T5725" s="27"/>
      <c r="U5725" s="27"/>
    </row>
    <row r="5726">
      <c r="S5726" s="27"/>
      <c r="T5726" s="27"/>
      <c r="U5726" s="27"/>
    </row>
    <row r="5728">
      <c r="S5728" s="27"/>
      <c r="T5728" s="27"/>
      <c r="U5728" s="27"/>
    </row>
    <row r="5729">
      <c r="S5729" s="27"/>
      <c r="T5729" s="27"/>
      <c r="U5729" s="27"/>
    </row>
    <row r="5731">
      <c r="S5731" s="27"/>
      <c r="T5731" s="27"/>
      <c r="U5731" s="27"/>
    </row>
    <row r="5733">
      <c r="S5733" s="27"/>
      <c r="T5733" s="27"/>
      <c r="U5733" s="27"/>
    </row>
    <row r="5735">
      <c r="S5735" s="27"/>
      <c r="T5735" s="27"/>
      <c r="U5735" s="27"/>
    </row>
    <row r="5737">
      <c r="S5737" s="27"/>
      <c r="T5737" s="27"/>
      <c r="U5737" s="27"/>
    </row>
    <row r="5739">
      <c r="S5739" s="27"/>
      <c r="T5739" s="27"/>
      <c r="U5739" s="27"/>
    </row>
    <row r="5740">
      <c r="S5740" s="27"/>
      <c r="T5740" s="27"/>
      <c r="U5740" s="27"/>
    </row>
    <row r="5742">
      <c r="S5742" s="27"/>
      <c r="T5742" s="27"/>
      <c r="U5742" s="27"/>
    </row>
    <row r="5743">
      <c r="S5743" s="27"/>
      <c r="T5743" s="27"/>
      <c r="U5743" s="27"/>
    </row>
    <row r="5745">
      <c r="S5745" s="27"/>
      <c r="T5745" s="27"/>
      <c r="U5745" s="27"/>
    </row>
    <row r="5746">
      <c r="S5746" s="33"/>
      <c r="T5746" s="33"/>
    </row>
    <row r="5748">
      <c r="S5748" s="27"/>
      <c r="T5748" s="27"/>
      <c r="U5748" s="27"/>
    </row>
    <row r="5749">
      <c r="S5749" s="27"/>
      <c r="T5749" s="27"/>
      <c r="U5749" s="27"/>
    </row>
    <row r="5751">
      <c r="S5751" s="27"/>
      <c r="T5751" s="27"/>
      <c r="U5751" s="27"/>
    </row>
    <row r="5752">
      <c r="S5752" s="27"/>
      <c r="T5752" s="27"/>
      <c r="U5752" s="27"/>
    </row>
    <row r="5754">
      <c r="S5754" s="27"/>
      <c r="T5754" s="27"/>
      <c r="U5754" s="27"/>
    </row>
    <row r="5755">
      <c r="S5755" s="27"/>
      <c r="T5755" s="27"/>
      <c r="U5755" s="27"/>
    </row>
    <row r="5757">
      <c r="S5757" s="27"/>
      <c r="T5757" s="27"/>
      <c r="U5757" s="27"/>
    </row>
    <row r="5758">
      <c r="S5758" s="27"/>
      <c r="T5758" s="27"/>
      <c r="U5758" s="27"/>
    </row>
    <row r="5760">
      <c r="S5760" s="27"/>
      <c r="T5760" s="27"/>
      <c r="U5760" s="27"/>
    </row>
    <row r="5763">
      <c r="S5763" s="33"/>
      <c r="T5763" s="33"/>
      <c r="U5763" s="33"/>
    </row>
    <row r="5764">
      <c r="S5764" s="26"/>
      <c r="T5764" s="26"/>
      <c r="U5764" s="26"/>
    </row>
    <row r="5766">
      <c r="S5766" s="27"/>
      <c r="T5766" s="27"/>
      <c r="U5766" s="27"/>
    </row>
    <row r="5767">
      <c r="S5767" s="27"/>
      <c r="T5767" s="27"/>
      <c r="U5767" s="27"/>
    </row>
    <row r="5769">
      <c r="S5769" s="27"/>
      <c r="T5769" s="27"/>
      <c r="U5769" s="27"/>
    </row>
    <row r="5770">
      <c r="S5770" s="27"/>
      <c r="T5770" s="27"/>
      <c r="U5770" s="27"/>
    </row>
    <row r="5772">
      <c r="S5772" s="27"/>
      <c r="T5772" s="27"/>
      <c r="U5772" s="27"/>
    </row>
    <row r="5773">
      <c r="S5773" s="27"/>
      <c r="T5773" s="27"/>
      <c r="U5773" s="27"/>
    </row>
    <row r="5775">
      <c r="U5775" s="27"/>
    </row>
    <row r="5778">
      <c r="S5778" s="27"/>
      <c r="T5778" s="27"/>
      <c r="U5778" s="27"/>
    </row>
    <row r="5779">
      <c r="S5779" s="27"/>
      <c r="T5779" s="27"/>
      <c r="U5779" s="27"/>
    </row>
    <row r="5781">
      <c r="S5781" s="27"/>
      <c r="T5781" s="27"/>
      <c r="U5781" s="27"/>
    </row>
    <row r="5782">
      <c r="S5782" s="27"/>
      <c r="T5782" s="27"/>
      <c r="U5782" s="27"/>
    </row>
    <row r="5784">
      <c r="S5784" s="34"/>
      <c r="T5784" s="27"/>
      <c r="U5784" s="34"/>
    </row>
    <row r="5785">
      <c r="S5785" s="27"/>
      <c r="T5785" s="27"/>
      <c r="U5785" s="27"/>
    </row>
    <row r="5787">
      <c r="S5787" s="27"/>
      <c r="T5787" s="27"/>
      <c r="U5787" s="27"/>
    </row>
    <row r="5790">
      <c r="S5790" s="26"/>
      <c r="T5790" s="26"/>
      <c r="U5790" s="26"/>
    </row>
    <row r="5793">
      <c r="S5793" s="27"/>
      <c r="T5793" s="27"/>
      <c r="U5793" s="27"/>
    </row>
    <row r="5794">
      <c r="S5794" s="27"/>
      <c r="T5794" s="27"/>
      <c r="U5794" s="27"/>
    </row>
    <row r="5796">
      <c r="S5796" s="27"/>
      <c r="T5796" s="27"/>
      <c r="U5796" s="27"/>
    </row>
    <row r="5797">
      <c r="S5797" s="27"/>
      <c r="T5797" s="27"/>
      <c r="U5797" s="27"/>
    </row>
    <row r="5799">
      <c r="S5799" s="27"/>
      <c r="T5799" s="27"/>
      <c r="U5799" s="27"/>
    </row>
    <row r="5805">
      <c r="S5805" s="27"/>
      <c r="T5805" s="27"/>
      <c r="U5805" s="27"/>
    </row>
    <row r="5808">
      <c r="S5808" s="27"/>
      <c r="T5808" s="27"/>
      <c r="U5808" s="27"/>
    </row>
    <row r="5809">
      <c r="S5809" s="27"/>
      <c r="T5809" s="27"/>
      <c r="U5809" s="27"/>
    </row>
    <row r="5811">
      <c r="S5811" s="27"/>
      <c r="T5811" s="27"/>
      <c r="U5811" s="27"/>
    </row>
    <row r="5812">
      <c r="S5812" s="27"/>
      <c r="T5812" s="27"/>
      <c r="U5812" s="27"/>
    </row>
    <row r="5814">
      <c r="S5814" s="27"/>
      <c r="T5814" s="27"/>
      <c r="U5814" s="27"/>
    </row>
    <row r="5815">
      <c r="S5815" s="27"/>
      <c r="T5815" s="27"/>
      <c r="U5815" s="27"/>
    </row>
    <row r="5817">
      <c r="S5817" s="27"/>
      <c r="T5817" s="27"/>
      <c r="U5817" s="27"/>
    </row>
    <row r="5818">
      <c r="S5818" s="27"/>
      <c r="T5818" s="27"/>
      <c r="U5818" s="27"/>
    </row>
    <row r="5820">
      <c r="S5820" s="27"/>
      <c r="T5820" s="27"/>
      <c r="U5820" s="27"/>
    </row>
    <row r="5821">
      <c r="S5821" s="27"/>
      <c r="T5821" s="27"/>
      <c r="U5821" s="27"/>
    </row>
    <row r="5823">
      <c r="S5823" s="27"/>
      <c r="T5823" s="27"/>
      <c r="U5823" s="27"/>
    </row>
    <row r="5824">
      <c r="S5824" s="27"/>
      <c r="T5824" s="27"/>
      <c r="U5824" s="27"/>
    </row>
    <row r="5826">
      <c r="S5826" s="27"/>
      <c r="T5826" s="27"/>
      <c r="U5826" s="27"/>
    </row>
    <row r="5827">
      <c r="S5827" s="27"/>
      <c r="T5827" s="27"/>
      <c r="U5827" s="27"/>
    </row>
    <row r="5829">
      <c r="S5829" s="27"/>
      <c r="T5829" s="27"/>
      <c r="U5829" s="27"/>
    </row>
    <row r="5830">
      <c r="S5830" s="27"/>
      <c r="T5830" s="27"/>
      <c r="U5830" s="27"/>
    </row>
    <row r="5832">
      <c r="S5832" s="27"/>
      <c r="T5832" s="27"/>
      <c r="U5832" s="27"/>
    </row>
    <row r="5833">
      <c r="S5833" s="27"/>
      <c r="T5833" s="27"/>
      <c r="U5833" s="27"/>
    </row>
    <row r="5835">
      <c r="S5835" s="27"/>
      <c r="T5835" s="27"/>
      <c r="U5835" s="27"/>
    </row>
    <row r="5836">
      <c r="S5836" s="27"/>
      <c r="T5836" s="27"/>
      <c r="U5836" s="27"/>
    </row>
    <row r="5838">
      <c r="S5838" s="27"/>
      <c r="T5838" s="27"/>
      <c r="U5838" s="27"/>
    </row>
    <row r="5839">
      <c r="S5839" s="27"/>
      <c r="T5839" s="27"/>
      <c r="U5839" s="27"/>
    </row>
    <row r="5841">
      <c r="S5841" s="27"/>
      <c r="T5841" s="27"/>
      <c r="U5841" s="27"/>
    </row>
    <row r="5842">
      <c r="S5842" s="27"/>
      <c r="T5842" s="27"/>
      <c r="U5842" s="27"/>
    </row>
    <row r="5844">
      <c r="S5844" s="27"/>
      <c r="T5844" s="27"/>
      <c r="U5844" s="27"/>
    </row>
    <row r="5845">
      <c r="S5845" s="27"/>
      <c r="T5845" s="27"/>
      <c r="U5845" s="27"/>
    </row>
    <row r="5847">
      <c r="S5847" s="27"/>
      <c r="T5847" s="27"/>
      <c r="U5847" s="27"/>
    </row>
    <row r="5848">
      <c r="S5848" s="27"/>
      <c r="T5848" s="27"/>
      <c r="U5848" s="27"/>
    </row>
    <row r="5850">
      <c r="S5850" s="27"/>
      <c r="T5850" s="27"/>
      <c r="U5850" s="27"/>
    </row>
    <row r="5851">
      <c r="S5851" s="27"/>
      <c r="T5851" s="27"/>
      <c r="U5851" s="27"/>
    </row>
    <row r="5853">
      <c r="S5853" s="27"/>
      <c r="T5853" s="27"/>
      <c r="U5853" s="27"/>
    </row>
    <row r="5854">
      <c r="S5854" s="27"/>
      <c r="T5854" s="27"/>
      <c r="U5854" s="27"/>
    </row>
    <row r="5856">
      <c r="S5856" s="27"/>
      <c r="T5856" s="27"/>
      <c r="U5856" s="27"/>
    </row>
    <row r="5857">
      <c r="S5857" s="27"/>
      <c r="T5857" s="27"/>
      <c r="U5857" s="27"/>
    </row>
    <row r="5859">
      <c r="S5859" s="27"/>
      <c r="T5859" s="27"/>
      <c r="U5859" s="27"/>
    </row>
    <row r="5860">
      <c r="S5860" s="27"/>
      <c r="T5860" s="27"/>
      <c r="U5860" s="27"/>
    </row>
    <row r="5862">
      <c r="S5862" s="27"/>
      <c r="T5862" s="27"/>
      <c r="U5862" s="27"/>
    </row>
    <row r="5863">
      <c r="S5863" s="27"/>
      <c r="T5863" s="27"/>
      <c r="U5863" s="27"/>
    </row>
    <row r="5865">
      <c r="S5865" s="27"/>
      <c r="T5865" s="27"/>
      <c r="U5865" s="27"/>
    </row>
    <row r="5866">
      <c r="S5866" s="27"/>
      <c r="T5866" s="27"/>
      <c r="U5866" s="27"/>
    </row>
    <row r="5868">
      <c r="S5868" s="27"/>
      <c r="T5868" s="27"/>
      <c r="U5868" s="27"/>
    </row>
    <row r="5869">
      <c r="S5869" s="27"/>
      <c r="T5869" s="27"/>
      <c r="U5869" s="27"/>
    </row>
    <row r="5871">
      <c r="S5871" s="27"/>
      <c r="T5871" s="27"/>
      <c r="U5871" s="27"/>
    </row>
    <row r="5872">
      <c r="S5872" s="27"/>
      <c r="T5872" s="27"/>
      <c r="U5872" s="27"/>
    </row>
    <row r="5874">
      <c r="S5874" s="27"/>
      <c r="T5874" s="27"/>
      <c r="U5874" s="27"/>
    </row>
    <row r="5875">
      <c r="S5875" s="27"/>
      <c r="T5875" s="27"/>
      <c r="U5875" s="27"/>
    </row>
    <row r="5877">
      <c r="S5877" s="27"/>
      <c r="T5877" s="27"/>
      <c r="U5877" s="27"/>
    </row>
    <row r="5878">
      <c r="S5878" s="27"/>
      <c r="T5878" s="27"/>
      <c r="U5878" s="27"/>
    </row>
    <row r="5883">
      <c r="S5883" s="27"/>
      <c r="T5883" s="27"/>
      <c r="U5883" s="27"/>
    </row>
    <row r="5884">
      <c r="S5884" s="27"/>
      <c r="T5884" s="27"/>
      <c r="U5884" s="27"/>
    </row>
    <row r="5886">
      <c r="S5886" s="27"/>
      <c r="T5886" s="27"/>
      <c r="U5886" s="27"/>
    </row>
    <row r="5889">
      <c r="T5889" s="27"/>
    </row>
    <row r="5890">
      <c r="T5890" s="27"/>
    </row>
    <row r="5892">
      <c r="S5892" s="27"/>
      <c r="T5892" s="27"/>
      <c r="U5892" s="27"/>
    </row>
    <row r="5893">
      <c r="S5893" s="27"/>
      <c r="T5893" s="27"/>
      <c r="U5893" s="27"/>
    </row>
    <row r="5895">
      <c r="S5895" s="27"/>
      <c r="T5895" s="27"/>
      <c r="U5895" s="27"/>
    </row>
    <row r="5896">
      <c r="S5896" s="26"/>
      <c r="T5896" s="26"/>
      <c r="U5896" s="26"/>
    </row>
    <row r="5899">
      <c r="S5899" s="27"/>
      <c r="T5899" s="27"/>
      <c r="U5899" s="27"/>
    </row>
    <row r="5900">
      <c r="S5900" s="27"/>
      <c r="T5900" s="27"/>
      <c r="U5900" s="27"/>
    </row>
    <row r="5902">
      <c r="S5902" s="27"/>
      <c r="T5902" s="27"/>
      <c r="U5902" s="27"/>
    </row>
    <row r="5903">
      <c r="S5903" s="27"/>
      <c r="T5903" s="27"/>
      <c r="U5903" s="27"/>
    </row>
    <row r="5905">
      <c r="S5905" s="27"/>
    </row>
    <row r="5908">
      <c r="S5908" s="27"/>
      <c r="T5908" s="26"/>
      <c r="U5908" s="26"/>
    </row>
    <row r="5911">
      <c r="T5911" s="27"/>
      <c r="U5911" s="27"/>
    </row>
    <row r="5913">
      <c r="S5913" s="27"/>
      <c r="T5913" s="27"/>
      <c r="U5913" s="27"/>
    </row>
    <row r="5915">
      <c r="S5915" s="26"/>
      <c r="T5915" s="26"/>
      <c r="U5915" s="26"/>
    </row>
    <row r="5918">
      <c r="S5918" s="27"/>
      <c r="T5918" s="27"/>
      <c r="U5918" s="27"/>
    </row>
    <row r="5921">
      <c r="S5921" s="27"/>
      <c r="T5921" s="27"/>
      <c r="U5921" s="27"/>
    </row>
    <row r="5922">
      <c r="S5922" s="27"/>
      <c r="T5922" s="27"/>
      <c r="U5922" s="27"/>
    </row>
    <row r="5924">
      <c r="S5924" s="27"/>
      <c r="T5924" s="27"/>
      <c r="U5924" s="27"/>
    </row>
    <row r="5925">
      <c r="S5925" s="27"/>
      <c r="T5925" s="27"/>
      <c r="U5925" s="27"/>
    </row>
    <row r="5927">
      <c r="S5927" s="27"/>
      <c r="T5927" s="27"/>
      <c r="U5927" s="27"/>
    </row>
    <row r="5928">
      <c r="U5928" s="27"/>
    </row>
    <row r="5930">
      <c r="S5930" s="27"/>
      <c r="T5930" s="27"/>
      <c r="U5930" s="27"/>
    </row>
    <row r="5931">
      <c r="S5931" s="27"/>
      <c r="T5931" s="27"/>
      <c r="U5931" s="27"/>
    </row>
    <row r="5933">
      <c r="S5933" s="27"/>
      <c r="T5933" s="27"/>
      <c r="U5933" s="27"/>
    </row>
    <row r="5934">
      <c r="S5934" s="27"/>
      <c r="T5934" s="27"/>
      <c r="U5934" s="27"/>
    </row>
    <row r="5939">
      <c r="S5939" s="27"/>
      <c r="T5939" s="27"/>
      <c r="U5939" s="27"/>
    </row>
    <row r="5940">
      <c r="S5940" s="27"/>
      <c r="T5940" s="27"/>
      <c r="U5940" s="27"/>
    </row>
    <row r="5942">
      <c r="S5942" s="27"/>
      <c r="T5942" s="27"/>
      <c r="U5942" s="27"/>
    </row>
    <row r="5943">
      <c r="S5943" s="27"/>
      <c r="T5943" s="27"/>
      <c r="U5943" s="27"/>
    </row>
    <row r="5945">
      <c r="S5945" s="27"/>
      <c r="T5945" s="27"/>
      <c r="U5945" s="27"/>
    </row>
    <row r="5946">
      <c r="S5946" s="27"/>
      <c r="T5946" s="27"/>
      <c r="U5946" s="27"/>
    </row>
    <row r="5948">
      <c r="U5948" s="27"/>
    </row>
    <row r="5949">
      <c r="U5949" s="27"/>
    </row>
    <row r="5951">
      <c r="S5951" s="27"/>
      <c r="T5951" s="27"/>
      <c r="U5951" s="27"/>
    </row>
    <row r="5954">
      <c r="S5954" s="27"/>
      <c r="T5954" s="27"/>
      <c r="U5954" s="27"/>
    </row>
    <row r="5955">
      <c r="S5955" s="33"/>
      <c r="T5955" s="33"/>
      <c r="U5955" s="33"/>
    </row>
    <row r="5957">
      <c r="S5957" s="27"/>
    </row>
    <row r="5958">
      <c r="S5958" s="26"/>
      <c r="T5958" s="26"/>
      <c r="U5958" s="26"/>
    </row>
    <row r="5960">
      <c r="S5960" s="27"/>
      <c r="T5960" s="27"/>
      <c r="U5960" s="27"/>
    </row>
    <row r="5961">
      <c r="S5961" s="27"/>
      <c r="T5961" s="27"/>
      <c r="U5961" s="27"/>
    </row>
    <row r="5963">
      <c r="S5963" s="27"/>
      <c r="T5963" s="27"/>
      <c r="U5963" s="27"/>
    </row>
    <row r="5964">
      <c r="S5964" s="27"/>
      <c r="T5964" s="27"/>
      <c r="U5964" s="27"/>
    </row>
    <row r="5966">
      <c r="S5966" s="27"/>
      <c r="T5966" s="27"/>
      <c r="U5966" s="27"/>
    </row>
    <row r="5967">
      <c r="S5967" s="27"/>
      <c r="T5967" s="27"/>
      <c r="U5967" s="27"/>
    </row>
    <row r="5969">
      <c r="S5969" s="27"/>
      <c r="T5969" s="27"/>
      <c r="U5969" s="27"/>
    </row>
    <row r="5970">
      <c r="S5970" s="27"/>
      <c r="T5970" s="27"/>
      <c r="U5970" s="27"/>
    </row>
    <row r="5972">
      <c r="T5972" s="27"/>
    </row>
    <row r="5975">
      <c r="S5975" s="27"/>
      <c r="T5975" s="27"/>
      <c r="U5975" s="27"/>
    </row>
    <row r="5976">
      <c r="S5976" s="27"/>
      <c r="T5976" s="27"/>
      <c r="U5976" s="27"/>
    </row>
    <row r="5978">
      <c r="S5978" s="27"/>
      <c r="T5978" s="27"/>
      <c r="U5978" s="27"/>
    </row>
    <row r="5979">
      <c r="S5979" s="27"/>
      <c r="T5979" s="27"/>
      <c r="U5979" s="27"/>
    </row>
    <row r="5981">
      <c r="S5981" s="34"/>
      <c r="T5981" s="26"/>
      <c r="U5981" s="27"/>
    </row>
    <row r="5982">
      <c r="S5982" s="26"/>
      <c r="T5982" s="26"/>
      <c r="U5982" s="26"/>
    </row>
    <row r="5984">
      <c r="S5984" s="26"/>
      <c r="T5984" s="27"/>
      <c r="U5984" s="27"/>
    </row>
    <row r="5985">
      <c r="T5985" s="27"/>
      <c r="U5985" s="27"/>
    </row>
    <row r="5987">
      <c r="S5987" s="27"/>
      <c r="T5987" s="27"/>
      <c r="U5987" s="27"/>
    </row>
    <row r="5988">
      <c r="S5988" s="27"/>
      <c r="T5988" s="27"/>
      <c r="U5988" s="27"/>
    </row>
    <row r="5990">
      <c r="S5990" s="27"/>
      <c r="T5990" s="27"/>
      <c r="U5990" s="27"/>
    </row>
    <row r="5991">
      <c r="S5991" s="27"/>
      <c r="T5991" s="27"/>
      <c r="U5991" s="27"/>
    </row>
    <row r="5993">
      <c r="S5993" s="27"/>
      <c r="T5993" s="27"/>
      <c r="U5993" s="27"/>
    </row>
    <row r="5996">
      <c r="S5996" s="27"/>
      <c r="T5996" s="27"/>
      <c r="U5996" s="27"/>
    </row>
    <row r="5997">
      <c r="S5997" s="27"/>
      <c r="T5997" s="27"/>
      <c r="U5997" s="27"/>
    </row>
    <row r="5999">
      <c r="S5999" s="26"/>
      <c r="T5999" s="26"/>
      <c r="U5999" s="26"/>
    </row>
    <row r="6002">
      <c r="S6002" s="27"/>
      <c r="T6002" s="27"/>
      <c r="U6002" s="27"/>
    </row>
    <row r="6005">
      <c r="S6005" s="27"/>
      <c r="T6005" s="27"/>
      <c r="U6005" s="27"/>
    </row>
    <row r="6006">
      <c r="S6006" s="27"/>
      <c r="T6006" s="27"/>
      <c r="U6006" s="27"/>
    </row>
    <row r="6008">
      <c r="S6008" s="27"/>
      <c r="T6008" s="27"/>
      <c r="U6008" s="27"/>
    </row>
    <row r="6009">
      <c r="S6009" s="27"/>
      <c r="T6009" s="27"/>
      <c r="U6009" s="27"/>
    </row>
    <row r="6011">
      <c r="S6011" s="27"/>
      <c r="T6011" s="27"/>
      <c r="U6011" s="27"/>
    </row>
    <row r="6012">
      <c r="S6012" s="27"/>
      <c r="T6012" s="27"/>
      <c r="U6012" s="27"/>
    </row>
    <row r="6014">
      <c r="S6014" s="26"/>
    </row>
    <row r="6015">
      <c r="T6015" s="26"/>
      <c r="U6015" s="26"/>
    </row>
    <row r="6017">
      <c r="S6017" s="27"/>
      <c r="T6017" s="27"/>
      <c r="U6017" s="27"/>
    </row>
    <row r="6018">
      <c r="S6018" s="27"/>
      <c r="T6018" s="27"/>
      <c r="U6018" s="27"/>
    </row>
    <row r="6020">
      <c r="S6020" s="27"/>
      <c r="T6020" s="27"/>
      <c r="U6020" s="27"/>
    </row>
    <row r="6021">
      <c r="S6021" s="27"/>
      <c r="T6021" s="27"/>
      <c r="U6021" s="27"/>
    </row>
    <row r="6023">
      <c r="S6023" s="27"/>
      <c r="T6023" s="27"/>
      <c r="U6023" s="27"/>
    </row>
    <row r="6024">
      <c r="S6024" s="27"/>
      <c r="T6024" s="27"/>
      <c r="U6024" s="27"/>
    </row>
    <row r="6026">
      <c r="S6026" s="27"/>
      <c r="T6026" s="27"/>
      <c r="U6026" s="27"/>
    </row>
    <row r="6027">
      <c r="S6027" s="27"/>
      <c r="T6027" s="27"/>
      <c r="U6027" s="27"/>
    </row>
    <row r="6029">
      <c r="S6029" s="27"/>
      <c r="T6029" s="27"/>
      <c r="U6029" s="27"/>
    </row>
    <row r="6030">
      <c r="S6030" s="27"/>
      <c r="T6030" s="27"/>
      <c r="U6030" s="27"/>
    </row>
    <row r="6032">
      <c r="S6032" s="27"/>
      <c r="T6032" s="27"/>
      <c r="U6032" s="27"/>
    </row>
    <row r="6033">
      <c r="S6033" s="27"/>
      <c r="T6033" s="27"/>
      <c r="U6033" s="27"/>
    </row>
    <row r="6035">
      <c r="S6035" s="27"/>
      <c r="T6035" s="27"/>
      <c r="U6035" s="27"/>
    </row>
    <row r="6036">
      <c r="S6036" s="27"/>
      <c r="T6036" s="27"/>
      <c r="U6036" s="27"/>
    </row>
    <row r="6038">
      <c r="S6038" s="27"/>
      <c r="T6038" s="27"/>
      <c r="U6038" s="27"/>
    </row>
    <row r="6039">
      <c r="S6039" s="27"/>
      <c r="T6039" s="27"/>
      <c r="U6039" s="27"/>
    </row>
    <row r="6041">
      <c r="S6041" s="27"/>
      <c r="T6041" s="27"/>
      <c r="U6041" s="27"/>
    </row>
    <row r="6042">
      <c r="S6042" s="27"/>
      <c r="T6042" s="27"/>
      <c r="U6042" s="27"/>
    </row>
    <row r="6044">
      <c r="S6044" s="27"/>
      <c r="T6044" s="27"/>
      <c r="U6044" s="27"/>
    </row>
    <row r="6045">
      <c r="S6045" s="27"/>
      <c r="T6045" s="27"/>
      <c r="U6045" s="27"/>
    </row>
    <row r="6047">
      <c r="S6047" s="27"/>
      <c r="T6047" s="27"/>
      <c r="U6047" s="27"/>
    </row>
    <row r="6048">
      <c r="S6048" s="27"/>
      <c r="T6048" s="27"/>
      <c r="U6048" s="27"/>
    </row>
    <row r="6050">
      <c r="S6050" s="27"/>
      <c r="T6050" s="27"/>
      <c r="U6050" s="27"/>
    </row>
    <row r="6051">
      <c r="S6051" s="27"/>
      <c r="T6051" s="27"/>
      <c r="U6051" s="27"/>
    </row>
    <row r="6053">
      <c r="S6053" s="27"/>
      <c r="T6053" s="27"/>
      <c r="U6053" s="27"/>
    </row>
    <row r="6054">
      <c r="S6054" s="27"/>
      <c r="T6054" s="27"/>
      <c r="U6054" s="27"/>
    </row>
    <row r="6056">
      <c r="S6056" s="27"/>
      <c r="T6056" s="27"/>
      <c r="U6056" s="27"/>
    </row>
    <row r="6057">
      <c r="S6057" s="27"/>
      <c r="T6057" s="27"/>
      <c r="U6057" s="27"/>
    </row>
    <row r="6059">
      <c r="S6059" s="27"/>
      <c r="T6059" s="27"/>
      <c r="U6059" s="27"/>
    </row>
    <row r="6060">
      <c r="S6060" s="27"/>
      <c r="T6060" s="27"/>
      <c r="U6060" s="27"/>
    </row>
    <row r="6062">
      <c r="S6062" s="27"/>
      <c r="T6062" s="27"/>
      <c r="U6062" s="27"/>
    </row>
    <row r="6063">
      <c r="S6063" s="27"/>
      <c r="T6063" s="27"/>
      <c r="U6063" s="27"/>
    </row>
    <row r="6065">
      <c r="S6065" s="27"/>
      <c r="T6065" s="27"/>
      <c r="U6065" s="27"/>
    </row>
    <row r="6066">
      <c r="S6066" s="27"/>
      <c r="T6066" s="27"/>
      <c r="U6066" s="27"/>
    </row>
    <row r="6068">
      <c r="S6068" s="27"/>
      <c r="T6068" s="27"/>
      <c r="U6068" s="27"/>
    </row>
    <row r="6069">
      <c r="S6069" s="27"/>
      <c r="T6069" s="27"/>
      <c r="U6069" s="27"/>
    </row>
    <row r="6071">
      <c r="S6071" s="27"/>
      <c r="T6071" s="27"/>
      <c r="U6071" s="27"/>
    </row>
    <row r="6072">
      <c r="S6072" s="27"/>
      <c r="T6072" s="27"/>
      <c r="U6072" s="27"/>
    </row>
    <row r="6074">
      <c r="S6074" s="27"/>
      <c r="T6074" s="27"/>
      <c r="U6074" s="27"/>
    </row>
    <row r="6075">
      <c r="S6075" s="27"/>
      <c r="T6075" s="27"/>
      <c r="U6075" s="27"/>
    </row>
    <row r="6077">
      <c r="S6077" s="27"/>
      <c r="T6077" s="27"/>
      <c r="U6077" s="27"/>
    </row>
    <row r="6078">
      <c r="S6078" s="27"/>
      <c r="T6078" s="27"/>
      <c r="U6078" s="27"/>
    </row>
    <row r="6080">
      <c r="S6080" s="27"/>
      <c r="T6080" s="27"/>
      <c r="U6080" s="27"/>
    </row>
    <row r="6081">
      <c r="S6081" s="27"/>
      <c r="T6081" s="27"/>
      <c r="U6081" s="27"/>
    </row>
    <row r="6083">
      <c r="S6083" s="27"/>
      <c r="T6083" s="27"/>
      <c r="U6083" s="27"/>
    </row>
    <row r="6084">
      <c r="S6084" s="27"/>
      <c r="T6084" s="27"/>
      <c r="U6084" s="27"/>
    </row>
    <row r="6086">
      <c r="S6086" s="27"/>
      <c r="T6086" s="27"/>
      <c r="U6086" s="27"/>
    </row>
    <row r="6087">
      <c r="S6087" s="27"/>
      <c r="T6087" s="27"/>
      <c r="U6087" s="27"/>
    </row>
    <row r="6089">
      <c r="S6089" s="27"/>
      <c r="T6089" s="27"/>
      <c r="U6089" s="27"/>
    </row>
    <row r="6090">
      <c r="S6090" s="27"/>
      <c r="T6090" s="27"/>
      <c r="U6090" s="27"/>
    </row>
    <row r="6092">
      <c r="S6092" s="27"/>
      <c r="T6092" s="27"/>
      <c r="U6092" s="27"/>
    </row>
    <row r="6093">
      <c r="S6093" s="27"/>
      <c r="T6093" s="27"/>
      <c r="U6093" s="27"/>
    </row>
    <row r="6095">
      <c r="S6095" s="27"/>
      <c r="T6095" s="27"/>
      <c r="U6095" s="27"/>
    </row>
    <row r="6096">
      <c r="S6096" s="27"/>
      <c r="T6096" s="27"/>
      <c r="U6096" s="27"/>
    </row>
    <row r="6098">
      <c r="S6098" s="27"/>
      <c r="T6098" s="27"/>
      <c r="U6098" s="27"/>
    </row>
    <row r="6099">
      <c r="S6099" s="27"/>
      <c r="T6099" s="27"/>
      <c r="U6099" s="27"/>
    </row>
    <row r="6101">
      <c r="S6101" s="27"/>
      <c r="T6101" s="27"/>
      <c r="U6101" s="27"/>
    </row>
    <row r="6102">
      <c r="S6102" s="27"/>
      <c r="T6102" s="27"/>
      <c r="U6102" s="27"/>
    </row>
    <row r="6104">
      <c r="S6104" s="27"/>
      <c r="T6104" s="27"/>
      <c r="U6104" s="27"/>
    </row>
    <row r="6105">
      <c r="S6105" s="27"/>
      <c r="T6105" s="27"/>
      <c r="U6105" s="27"/>
    </row>
    <row r="6107">
      <c r="S6107" s="27"/>
      <c r="T6107" s="27"/>
      <c r="U6107" s="27"/>
    </row>
    <row r="6108">
      <c r="S6108" s="27"/>
      <c r="T6108" s="27"/>
      <c r="U6108" s="27"/>
    </row>
    <row r="6110">
      <c r="S6110" s="27"/>
      <c r="T6110" s="27"/>
      <c r="U6110" s="27"/>
    </row>
    <row r="6112">
      <c r="S6112" s="27"/>
      <c r="T6112" s="27"/>
      <c r="U6112" s="27"/>
    </row>
    <row r="6113">
      <c r="S6113" s="27"/>
      <c r="T6113" s="27"/>
      <c r="U6113" s="27"/>
    </row>
    <row r="6115">
      <c r="S6115" s="27"/>
      <c r="T6115" s="27"/>
      <c r="U6115" s="27"/>
    </row>
    <row r="6116">
      <c r="S6116" s="27"/>
      <c r="T6116" s="27"/>
      <c r="U6116" s="27"/>
    </row>
    <row r="6118">
      <c r="S6118" s="27"/>
      <c r="T6118" s="27"/>
      <c r="U6118" s="27"/>
    </row>
    <row r="6119">
      <c r="S6119" s="27"/>
      <c r="T6119" s="27"/>
      <c r="U6119" s="27"/>
    </row>
    <row r="6121">
      <c r="S6121" s="27"/>
      <c r="T6121" s="27"/>
      <c r="U6121" s="27"/>
    </row>
    <row r="6122">
      <c r="S6122" s="27"/>
      <c r="T6122" s="27"/>
      <c r="U6122" s="27"/>
    </row>
    <row r="6124">
      <c r="S6124" s="27"/>
      <c r="T6124" s="27"/>
      <c r="U6124" s="27"/>
    </row>
    <row r="6125">
      <c r="S6125" s="27"/>
      <c r="T6125" s="27"/>
      <c r="U6125" s="27"/>
    </row>
    <row r="6127">
      <c r="S6127" s="27"/>
      <c r="T6127" s="27"/>
      <c r="U6127" s="27"/>
    </row>
    <row r="6128">
      <c r="S6128" s="27"/>
      <c r="T6128" s="27"/>
      <c r="U6128" s="27"/>
    </row>
    <row r="6130">
      <c r="S6130" s="27"/>
      <c r="T6130" s="27"/>
      <c r="U6130" s="27"/>
    </row>
    <row r="6131">
      <c r="S6131" s="27"/>
      <c r="T6131" s="27"/>
      <c r="U6131" s="27"/>
    </row>
    <row r="6133">
      <c r="S6133" s="27"/>
      <c r="T6133" s="27"/>
      <c r="U6133" s="27"/>
    </row>
    <row r="6135">
      <c r="S6135" s="27"/>
      <c r="T6135" s="27"/>
      <c r="U6135" s="27"/>
    </row>
    <row r="6137">
      <c r="S6137" s="27"/>
      <c r="T6137" s="27"/>
      <c r="U6137" s="27"/>
    </row>
    <row r="6139">
      <c r="S6139" s="27"/>
      <c r="T6139" s="27"/>
      <c r="U6139" s="27"/>
    </row>
    <row r="6141">
      <c r="S6141" s="27"/>
      <c r="T6141" s="27"/>
      <c r="U6141" s="27"/>
    </row>
    <row r="6142">
      <c r="S6142" s="27"/>
      <c r="T6142" s="27"/>
      <c r="U6142" s="27"/>
    </row>
    <row r="6144">
      <c r="S6144" s="27"/>
      <c r="T6144" s="27"/>
      <c r="U6144" s="27"/>
    </row>
    <row r="6145">
      <c r="S6145" s="27"/>
      <c r="T6145" s="27"/>
      <c r="U6145" s="27"/>
    </row>
    <row r="6147">
      <c r="S6147" s="27"/>
      <c r="T6147" s="27"/>
      <c r="U6147" s="27"/>
    </row>
    <row r="6150">
      <c r="S6150" s="27"/>
      <c r="T6150" s="27"/>
      <c r="U6150" s="27"/>
    </row>
    <row r="6151">
      <c r="S6151" s="27"/>
      <c r="T6151" s="27"/>
      <c r="U6151" s="27"/>
    </row>
    <row r="6153">
      <c r="S6153" s="27"/>
      <c r="T6153" s="27"/>
      <c r="U6153" s="27"/>
    </row>
    <row r="6154">
      <c r="S6154" s="27"/>
      <c r="T6154" s="27"/>
      <c r="U6154" s="27"/>
    </row>
    <row r="6156">
      <c r="S6156" s="27"/>
      <c r="T6156" s="27"/>
      <c r="U6156" s="27"/>
    </row>
    <row r="6157">
      <c r="S6157" s="27"/>
      <c r="T6157" s="27"/>
      <c r="U6157" s="27"/>
    </row>
    <row r="6159">
      <c r="S6159" s="27"/>
      <c r="T6159" s="27"/>
      <c r="U6159" s="27"/>
    </row>
    <row r="6160">
      <c r="S6160" s="27"/>
      <c r="T6160" s="27"/>
      <c r="U6160" s="27"/>
    </row>
    <row r="6162">
      <c r="S6162" s="27"/>
      <c r="T6162" s="27"/>
      <c r="U6162" s="27"/>
    </row>
    <row r="6165">
      <c r="S6165" s="33"/>
      <c r="T6165" s="33"/>
      <c r="U6165" s="33"/>
    </row>
    <row r="6166">
      <c r="S6166" s="26"/>
      <c r="T6166" s="26"/>
      <c r="U6166" s="26"/>
    </row>
    <row r="6168">
      <c r="S6168" s="27"/>
      <c r="T6168" s="27"/>
      <c r="U6168" s="27"/>
    </row>
    <row r="6169">
      <c r="S6169" s="27"/>
      <c r="T6169" s="27"/>
      <c r="U6169" s="27"/>
    </row>
    <row r="6171">
      <c r="S6171" s="27"/>
      <c r="T6171" s="27"/>
      <c r="U6171" s="27"/>
    </row>
    <row r="6172">
      <c r="S6172" s="27"/>
      <c r="T6172" s="27"/>
      <c r="U6172" s="27"/>
    </row>
    <row r="6174">
      <c r="S6174" s="27"/>
      <c r="T6174" s="27"/>
      <c r="U6174" s="27"/>
    </row>
    <row r="6175">
      <c r="S6175" s="27"/>
      <c r="T6175" s="27"/>
      <c r="U6175" s="27"/>
    </row>
    <row r="6177">
      <c r="S6177" s="26"/>
      <c r="T6177" s="26"/>
      <c r="U6177" s="26"/>
    </row>
    <row r="6180">
      <c r="S6180" s="27"/>
      <c r="T6180" s="27"/>
      <c r="U6180" s="27"/>
    </row>
    <row r="6181">
      <c r="S6181" s="27"/>
      <c r="T6181" s="27"/>
      <c r="U6181" s="27"/>
    </row>
    <row r="6183">
      <c r="S6183" s="27"/>
      <c r="T6183" s="27"/>
      <c r="U6183" s="27"/>
    </row>
    <row r="6184">
      <c r="S6184" s="27"/>
      <c r="T6184" s="27"/>
      <c r="U6184" s="27"/>
    </row>
    <row r="6186">
      <c r="S6186" s="27"/>
      <c r="T6186" s="27"/>
      <c r="U6186" s="27"/>
    </row>
    <row r="6187">
      <c r="S6187" s="27"/>
      <c r="T6187" s="27"/>
      <c r="U6187" s="27"/>
    </row>
    <row r="6189">
      <c r="S6189" s="27"/>
    </row>
    <row r="6192">
      <c r="S6192" s="26"/>
      <c r="T6192" s="27"/>
      <c r="U6192" s="27"/>
    </row>
    <row r="6193">
      <c r="T6193" s="26"/>
      <c r="U6193" s="26"/>
    </row>
    <row r="6195">
      <c r="S6195" s="27"/>
      <c r="T6195" s="27"/>
      <c r="U6195" s="27"/>
    </row>
    <row r="6196">
      <c r="S6196" s="27"/>
      <c r="T6196" s="27"/>
      <c r="U6196" s="27"/>
    </row>
    <row r="6198">
      <c r="S6198" s="27"/>
      <c r="T6198" s="27"/>
      <c r="U6198" s="27"/>
    </row>
    <row r="6199">
      <c r="S6199" s="27"/>
      <c r="T6199" s="27"/>
      <c r="U6199" s="27"/>
    </row>
    <row r="6207">
      <c r="S6207" s="27"/>
      <c r="T6207" s="27"/>
      <c r="U6207" s="27"/>
    </row>
    <row r="6210">
      <c r="S6210" s="27"/>
      <c r="T6210" s="27"/>
      <c r="U6210" s="27"/>
    </row>
    <row r="6211">
      <c r="S6211" s="27"/>
      <c r="T6211" s="27"/>
      <c r="U6211" s="27"/>
    </row>
    <row r="6213">
      <c r="S6213" s="27"/>
      <c r="T6213" s="27"/>
      <c r="U6213" s="27"/>
    </row>
    <row r="6214">
      <c r="S6214" s="27"/>
      <c r="T6214" s="27"/>
      <c r="U6214" s="27"/>
    </row>
    <row r="6216">
      <c r="S6216" s="27"/>
      <c r="T6216" s="27"/>
      <c r="U6216" s="27"/>
    </row>
    <row r="6217">
      <c r="S6217" s="27"/>
      <c r="T6217" s="27"/>
      <c r="U6217" s="27"/>
    </row>
    <row r="6219">
      <c r="S6219" s="27"/>
      <c r="T6219" s="27"/>
      <c r="U6219" s="27"/>
    </row>
    <row r="6220">
      <c r="S6220" s="27"/>
      <c r="T6220" s="27"/>
      <c r="U6220" s="27"/>
    </row>
    <row r="6222">
      <c r="S6222" s="27"/>
      <c r="T6222" s="27"/>
      <c r="U6222" s="27"/>
    </row>
    <row r="6223">
      <c r="S6223" s="27"/>
      <c r="T6223" s="27"/>
      <c r="U6223" s="27"/>
    </row>
    <row r="6225">
      <c r="S6225" s="27"/>
      <c r="T6225" s="27"/>
      <c r="U6225" s="27"/>
    </row>
    <row r="6226">
      <c r="S6226" s="27"/>
      <c r="T6226" s="27"/>
      <c r="U6226" s="27"/>
    </row>
    <row r="6228">
      <c r="S6228" s="27"/>
      <c r="T6228" s="27"/>
      <c r="U6228" s="27"/>
    </row>
    <row r="6229">
      <c r="S6229" s="27"/>
      <c r="T6229" s="27"/>
      <c r="U6229" s="27"/>
    </row>
    <row r="6231">
      <c r="S6231" s="27"/>
      <c r="T6231" s="27"/>
      <c r="U6231" s="27"/>
    </row>
    <row r="6232">
      <c r="S6232" s="27"/>
      <c r="T6232" s="27"/>
      <c r="U6232" s="27"/>
    </row>
    <row r="6234">
      <c r="S6234" s="27"/>
      <c r="T6234" s="27"/>
      <c r="U6234" s="27"/>
    </row>
    <row r="6235">
      <c r="S6235" s="27"/>
      <c r="T6235" s="27"/>
      <c r="U6235" s="27"/>
    </row>
    <row r="6237">
      <c r="S6237" s="27"/>
      <c r="T6237" s="27"/>
      <c r="U6237" s="27"/>
    </row>
    <row r="6238">
      <c r="S6238" s="27"/>
      <c r="T6238" s="27"/>
      <c r="U6238" s="27"/>
    </row>
    <row r="6240">
      <c r="S6240" s="27"/>
      <c r="T6240" s="27"/>
      <c r="U6240" s="27"/>
    </row>
    <row r="6241">
      <c r="S6241" s="27"/>
      <c r="T6241" s="27"/>
      <c r="U6241" s="27"/>
    </row>
    <row r="6243">
      <c r="S6243" s="27"/>
      <c r="T6243" s="27"/>
      <c r="U6243" s="27"/>
    </row>
    <row r="6244">
      <c r="S6244" s="27"/>
      <c r="T6244" s="27"/>
      <c r="U6244" s="27"/>
    </row>
    <row r="6246">
      <c r="S6246" s="27"/>
      <c r="T6246" s="27"/>
      <c r="U6246" s="27"/>
    </row>
    <row r="6247">
      <c r="S6247" s="27"/>
      <c r="T6247" s="27"/>
      <c r="U6247" s="27"/>
    </row>
    <row r="6249">
      <c r="S6249" s="27"/>
      <c r="T6249" s="27"/>
      <c r="U6249" s="27"/>
    </row>
    <row r="6250">
      <c r="S6250" s="27"/>
      <c r="T6250" s="27"/>
      <c r="U6250" s="27"/>
    </row>
    <row r="6252">
      <c r="S6252" s="27"/>
      <c r="T6252" s="27"/>
      <c r="U6252" s="27"/>
    </row>
    <row r="6253">
      <c r="S6253" s="27"/>
      <c r="T6253" s="27"/>
      <c r="U6253" s="27"/>
    </row>
    <row r="6255">
      <c r="S6255" s="27"/>
      <c r="T6255" s="27"/>
      <c r="U6255" s="27"/>
    </row>
    <row r="6256">
      <c r="S6256" s="27"/>
      <c r="T6256" s="27"/>
      <c r="U6256" s="27"/>
    </row>
    <row r="6258">
      <c r="S6258" s="27"/>
      <c r="T6258" s="27"/>
      <c r="U6258" s="27"/>
    </row>
    <row r="6259">
      <c r="S6259" s="27"/>
      <c r="T6259" s="27"/>
      <c r="U6259" s="27"/>
    </row>
    <row r="6261">
      <c r="S6261" s="27"/>
      <c r="T6261" s="27"/>
      <c r="U6261" s="27"/>
    </row>
    <row r="6262">
      <c r="S6262" s="27"/>
      <c r="T6262" s="27"/>
      <c r="U6262" s="27"/>
    </row>
    <row r="6264">
      <c r="S6264" s="27"/>
      <c r="T6264" s="27"/>
      <c r="U6264" s="27"/>
    </row>
    <row r="6265">
      <c r="S6265" s="27"/>
      <c r="T6265" s="27"/>
      <c r="U6265" s="27"/>
    </row>
    <row r="6267">
      <c r="S6267" s="27"/>
      <c r="T6267" s="27"/>
      <c r="U6267" s="27"/>
    </row>
    <row r="6268">
      <c r="S6268" s="27"/>
      <c r="T6268" s="27"/>
      <c r="U6268" s="27"/>
    </row>
    <row r="6270">
      <c r="S6270" s="27"/>
      <c r="T6270" s="27"/>
      <c r="U6270" s="27"/>
    </row>
    <row r="6271">
      <c r="S6271" s="27"/>
      <c r="T6271" s="27"/>
      <c r="U6271" s="27"/>
    </row>
    <row r="6273">
      <c r="S6273" s="27"/>
      <c r="T6273" s="27"/>
      <c r="U6273" s="27"/>
    </row>
    <row r="6274">
      <c r="S6274" s="27"/>
      <c r="T6274" s="27"/>
      <c r="U6274" s="27"/>
    </row>
    <row r="6276">
      <c r="S6276" s="27"/>
      <c r="T6276" s="27"/>
      <c r="U6276" s="27"/>
    </row>
    <row r="6277">
      <c r="S6277" s="27"/>
      <c r="T6277" s="27"/>
      <c r="U6277" s="27"/>
    </row>
    <row r="6279">
      <c r="S6279" s="27"/>
      <c r="T6279" s="27"/>
      <c r="U6279" s="27"/>
    </row>
    <row r="6280">
      <c r="S6280" s="27"/>
      <c r="T6280" s="27"/>
      <c r="U6280" s="27"/>
    </row>
    <row r="6282">
      <c r="S6282" s="27"/>
      <c r="T6282" s="27"/>
      <c r="U6282" s="27"/>
    </row>
    <row r="6283">
      <c r="S6283" s="27"/>
      <c r="T6283" s="27"/>
      <c r="U6283" s="27"/>
    </row>
    <row r="6285">
      <c r="S6285" s="27"/>
      <c r="T6285" s="27"/>
      <c r="U6285" s="27"/>
    </row>
    <row r="6286">
      <c r="S6286" s="27"/>
      <c r="T6286" s="27"/>
      <c r="U6286" s="27"/>
    </row>
    <row r="6288">
      <c r="S6288" s="27"/>
      <c r="T6288" s="27"/>
      <c r="U6288" s="27"/>
    </row>
    <row r="6291">
      <c r="S6291" s="33"/>
      <c r="T6291" s="33"/>
      <c r="U6291" s="33"/>
    </row>
    <row r="6292">
      <c r="S6292" s="27"/>
      <c r="T6292" s="27"/>
      <c r="U6292" s="27"/>
    </row>
    <row r="6294">
      <c r="S6294" s="27"/>
      <c r="T6294" s="27"/>
      <c r="U6294" s="27"/>
    </row>
    <row r="6295">
      <c r="S6295" s="27"/>
      <c r="T6295" s="27"/>
      <c r="U6295" s="27"/>
    </row>
    <row r="6297">
      <c r="S6297" s="27"/>
      <c r="T6297" s="27"/>
      <c r="U6297" s="27"/>
    </row>
    <row r="6298">
      <c r="S6298" s="26"/>
      <c r="T6298" s="26"/>
      <c r="U6298" s="26"/>
    </row>
    <row r="6300">
      <c r="S6300" s="27"/>
      <c r="U6300" s="27"/>
    </row>
    <row r="6301">
      <c r="S6301" s="27"/>
      <c r="T6301" s="27"/>
      <c r="U6301" s="27"/>
    </row>
    <row r="6303">
      <c r="S6303" s="27"/>
      <c r="T6303" s="27"/>
      <c r="U6303" s="27"/>
    </row>
    <row r="6304">
      <c r="S6304" s="27"/>
      <c r="T6304" s="27"/>
      <c r="U6304" s="27"/>
    </row>
    <row r="6306">
      <c r="S6306" s="27"/>
      <c r="T6306" s="27"/>
      <c r="U6306" s="27"/>
    </row>
    <row r="6307">
      <c r="S6307" s="27"/>
      <c r="T6307" s="27"/>
      <c r="U6307" s="27"/>
    </row>
    <row r="6312">
      <c r="S6312" s="26"/>
      <c r="T6312" s="26"/>
      <c r="U6312" s="26"/>
    </row>
    <row r="6315">
      <c r="S6315" s="27"/>
      <c r="T6315" s="27"/>
      <c r="U6315" s="27"/>
    </row>
    <row r="6317">
      <c r="S6317" s="27"/>
      <c r="T6317" s="27"/>
      <c r="U6317" s="27"/>
    </row>
    <row r="6319">
      <c r="S6319" s="26"/>
      <c r="T6319" s="26"/>
      <c r="U6319" s="26"/>
    </row>
    <row r="6325">
      <c r="S6325" s="27"/>
      <c r="T6325" s="27"/>
      <c r="U6325" s="27"/>
    </row>
    <row r="6326">
      <c r="S6326" s="27"/>
      <c r="T6326" s="27"/>
      <c r="U6326" s="27"/>
    </row>
    <row r="6328">
      <c r="S6328" s="27"/>
      <c r="T6328" s="27"/>
      <c r="U6328" s="27"/>
    </row>
    <row r="6329">
      <c r="S6329" s="27"/>
      <c r="T6329" s="27"/>
      <c r="U6329" s="27"/>
    </row>
    <row r="6331">
      <c r="S6331" s="27"/>
      <c r="T6331" s="27"/>
      <c r="U6331" s="27"/>
    </row>
    <row r="6332">
      <c r="U6332" s="27"/>
    </row>
    <row r="6334">
      <c r="S6334" s="27"/>
      <c r="T6334" s="27"/>
      <c r="U6334" s="27"/>
    </row>
    <row r="6335">
      <c r="S6335" s="27"/>
      <c r="T6335" s="27"/>
      <c r="U6335" s="27"/>
    </row>
    <row r="6337">
      <c r="S6337" s="27"/>
      <c r="T6337" s="27"/>
      <c r="U6337" s="27"/>
    </row>
    <row r="6338">
      <c r="S6338" s="27"/>
      <c r="T6338" s="27"/>
      <c r="U6338" s="27"/>
    </row>
    <row r="6341">
      <c r="T6341" s="26"/>
      <c r="U6341" s="26"/>
    </row>
    <row r="6343">
      <c r="S6343" s="27"/>
      <c r="T6343" s="27"/>
      <c r="U6343" s="27"/>
    </row>
    <row r="6344">
      <c r="S6344" s="27"/>
      <c r="T6344" s="27"/>
      <c r="U6344" s="27"/>
    </row>
    <row r="6346">
      <c r="S6346" s="27"/>
      <c r="T6346" s="27"/>
      <c r="U6346" s="27"/>
    </row>
    <row r="6347">
      <c r="S6347" s="27"/>
      <c r="T6347" s="27"/>
      <c r="U6347" s="27"/>
    </row>
    <row r="6349">
      <c r="S6349" s="27"/>
      <c r="T6349" s="27"/>
      <c r="U6349" s="27"/>
    </row>
    <row r="6350">
      <c r="S6350" s="27"/>
      <c r="T6350" s="27"/>
      <c r="U6350" s="27"/>
    </row>
    <row r="6352">
      <c r="S6352" s="33"/>
      <c r="T6352" s="33"/>
      <c r="U6352" s="33"/>
    </row>
    <row r="6355">
      <c r="S6355" s="27"/>
      <c r="T6355" s="27"/>
      <c r="U6355" s="27"/>
    </row>
    <row r="6356">
      <c r="S6356" s="27"/>
      <c r="T6356" s="27"/>
      <c r="U6356" s="27"/>
    </row>
    <row r="6358">
      <c r="S6358" s="27"/>
      <c r="T6358" s="27"/>
      <c r="U6358" s="27"/>
    </row>
    <row r="6361">
      <c r="S6361" s="27"/>
      <c r="T6361" s="27"/>
      <c r="U6361" s="33"/>
    </row>
    <row r="6362">
      <c r="S6362" s="33"/>
      <c r="T6362" s="33"/>
      <c r="U6362" s="27"/>
    </row>
    <row r="6365">
      <c r="S6365" s="26"/>
      <c r="T6365" s="26"/>
      <c r="U6365" s="26"/>
    </row>
    <row r="6367">
      <c r="S6367" s="27"/>
      <c r="T6367" s="27"/>
      <c r="U6367" s="27"/>
    </row>
    <row r="6368">
      <c r="S6368" s="27"/>
      <c r="T6368" s="27"/>
      <c r="U6368" s="27"/>
    </row>
    <row r="6370">
      <c r="S6370" s="27"/>
      <c r="T6370" s="27"/>
      <c r="U6370" s="27"/>
    </row>
    <row r="6371">
      <c r="S6371" s="27"/>
      <c r="T6371" s="27"/>
      <c r="U6371" s="27"/>
    </row>
    <row r="6374">
      <c r="S6374" s="27"/>
      <c r="T6374" s="27"/>
      <c r="U6374" s="27"/>
    </row>
    <row r="6376">
      <c r="S6376" s="27"/>
      <c r="T6376" s="27"/>
      <c r="U6376" s="27"/>
    </row>
    <row r="6377">
      <c r="S6377" s="27"/>
      <c r="T6377" s="27"/>
      <c r="U6377" s="27"/>
    </row>
    <row r="6379">
      <c r="S6379" s="27"/>
    </row>
    <row r="6382">
      <c r="S6382" s="27"/>
      <c r="T6382" s="27"/>
      <c r="U6382" s="27"/>
    </row>
    <row r="6383">
      <c r="S6383" s="27"/>
      <c r="T6383" s="27"/>
      <c r="U6383" s="27"/>
    </row>
    <row r="6385">
      <c r="S6385" s="27"/>
      <c r="T6385" s="27"/>
      <c r="U6385" s="27"/>
    </row>
    <row r="6386">
      <c r="S6386" s="27"/>
      <c r="T6386" s="27"/>
      <c r="U6386" s="27"/>
    </row>
    <row r="6388">
      <c r="S6388" s="27"/>
      <c r="T6388" s="27"/>
    </row>
    <row r="6391">
      <c r="S6391" s="27"/>
      <c r="T6391" s="26"/>
      <c r="U6391" s="26"/>
    </row>
    <row r="6392">
      <c r="S6392" s="27"/>
    </row>
    <row r="6394">
      <c r="S6394" s="27"/>
      <c r="T6394" s="27"/>
      <c r="U6394" s="27"/>
    </row>
    <row r="6395">
      <c r="S6395" s="27"/>
      <c r="T6395" s="27"/>
      <c r="U6395" s="27"/>
    </row>
    <row r="6397">
      <c r="S6397" s="27"/>
      <c r="T6397" s="27"/>
      <c r="U6397" s="27"/>
    </row>
    <row r="6398">
      <c r="S6398" s="27"/>
      <c r="T6398" s="27"/>
      <c r="U6398" s="27"/>
    </row>
    <row r="6400">
      <c r="S6400" s="27"/>
      <c r="T6400" s="27"/>
      <c r="U6400" s="27"/>
    </row>
    <row r="6403">
      <c r="S6403" s="27"/>
      <c r="T6403" s="27"/>
      <c r="U6403" s="27"/>
    </row>
    <row r="6404">
      <c r="S6404" s="27"/>
      <c r="T6404" s="27"/>
      <c r="U6404" s="27"/>
    </row>
    <row r="6409">
      <c r="S6409" s="27"/>
      <c r="T6409" s="27"/>
      <c r="U6409" s="27"/>
    </row>
    <row r="6412">
      <c r="S6412" s="27"/>
      <c r="T6412" s="27"/>
      <c r="U6412" s="27"/>
    </row>
    <row r="6413">
      <c r="S6413" s="27"/>
      <c r="T6413" s="27"/>
      <c r="U6413" s="27"/>
    </row>
    <row r="6415">
      <c r="S6415" s="27"/>
      <c r="T6415" s="27"/>
      <c r="U6415" s="27"/>
    </row>
    <row r="6416">
      <c r="S6416" s="27"/>
      <c r="T6416" s="27"/>
      <c r="U6416" s="27"/>
    </row>
    <row r="6418">
      <c r="S6418" s="27"/>
      <c r="T6418" s="27"/>
      <c r="U6418" s="27"/>
    </row>
    <row r="6419">
      <c r="S6419" s="27"/>
      <c r="T6419" s="27"/>
      <c r="U6419" s="27"/>
    </row>
    <row r="6421">
      <c r="S6421" s="27"/>
      <c r="T6421" s="26"/>
    </row>
    <row r="6422">
      <c r="S6422" s="26"/>
      <c r="T6422" s="26"/>
      <c r="U6422" s="26"/>
    </row>
    <row r="6424">
      <c r="S6424" s="27"/>
      <c r="T6424" s="27"/>
      <c r="U6424" s="27"/>
    </row>
    <row r="6425">
      <c r="S6425" s="27"/>
      <c r="T6425" s="27"/>
      <c r="U6425" s="27"/>
    </row>
    <row r="6427">
      <c r="S6427" s="27"/>
      <c r="T6427" s="27"/>
      <c r="U6427" s="27"/>
    </row>
    <row r="6428">
      <c r="S6428" s="27"/>
      <c r="T6428" s="27"/>
      <c r="U6428" s="27"/>
    </row>
    <row r="6433">
      <c r="S6433" s="27"/>
      <c r="T6433" s="27"/>
      <c r="U6433" s="27"/>
    </row>
    <row r="6434">
      <c r="S6434" s="27"/>
      <c r="T6434" s="27"/>
      <c r="U6434" s="27"/>
    </row>
    <row r="6436">
      <c r="S6436" s="27"/>
      <c r="T6436" s="27"/>
      <c r="U6436" s="27"/>
    </row>
    <row r="6437">
      <c r="S6437" s="27"/>
      <c r="T6437" s="27"/>
      <c r="U6437" s="27"/>
    </row>
    <row r="6439">
      <c r="S6439" s="27"/>
      <c r="T6439" s="27"/>
      <c r="U6439" s="27"/>
    </row>
    <row r="6440">
      <c r="S6440" s="27"/>
      <c r="T6440" s="27"/>
      <c r="U6440" s="27"/>
    </row>
    <row r="6442">
      <c r="S6442" s="27"/>
      <c r="T6442" s="27"/>
      <c r="U6442" s="27"/>
    </row>
    <row r="6443">
      <c r="S6443" s="27"/>
      <c r="T6443" s="27"/>
      <c r="U6443" s="27"/>
    </row>
    <row r="6445">
      <c r="S6445" s="27"/>
      <c r="T6445" s="27"/>
      <c r="U6445" s="27"/>
    </row>
    <row r="6446">
      <c r="S6446" s="27"/>
      <c r="T6446" s="27"/>
      <c r="U6446" s="27"/>
    </row>
    <row r="6448">
      <c r="S6448" s="27"/>
      <c r="T6448" s="27"/>
      <c r="U6448" s="27"/>
    </row>
    <row r="6449">
      <c r="S6449" s="27"/>
      <c r="T6449" s="27"/>
      <c r="U6449" s="27"/>
    </row>
    <row r="6451">
      <c r="S6451" s="27"/>
      <c r="T6451" s="27"/>
      <c r="U6451" s="27"/>
    </row>
    <row r="6452">
      <c r="S6452" s="27"/>
      <c r="T6452" s="27"/>
      <c r="U6452" s="27"/>
    </row>
    <row r="6454">
      <c r="S6454" s="27"/>
      <c r="T6454" s="27"/>
      <c r="U6454" s="27"/>
    </row>
    <row r="6455">
      <c r="S6455" s="27"/>
      <c r="T6455" s="27"/>
      <c r="U6455" s="27"/>
    </row>
    <row r="6457">
      <c r="S6457" s="27"/>
      <c r="T6457" s="27"/>
      <c r="U6457" s="27"/>
    </row>
    <row r="6458">
      <c r="S6458" s="27"/>
      <c r="T6458" s="27"/>
      <c r="U6458" s="27"/>
    </row>
    <row r="6460">
      <c r="S6460" s="27"/>
      <c r="T6460" s="27"/>
      <c r="U6460" s="27"/>
    </row>
    <row r="6461">
      <c r="S6461" s="27"/>
      <c r="T6461" s="27"/>
      <c r="U6461" s="27"/>
    </row>
    <row r="6463">
      <c r="S6463" s="27"/>
      <c r="T6463" s="27"/>
      <c r="U6463" s="27"/>
    </row>
    <row r="6464">
      <c r="S6464" s="27"/>
      <c r="T6464" s="27"/>
      <c r="U6464" s="27"/>
    </row>
    <row r="6466">
      <c r="S6466" s="27"/>
      <c r="T6466" s="27"/>
      <c r="U6466" s="27"/>
    </row>
    <row r="6467">
      <c r="S6467" s="27"/>
      <c r="T6467" s="27"/>
      <c r="U6467" s="27"/>
    </row>
    <row r="6469">
      <c r="S6469" s="27"/>
      <c r="T6469" s="27"/>
      <c r="U6469" s="27"/>
    </row>
    <row r="6470">
      <c r="S6470" s="27"/>
      <c r="T6470" s="27"/>
      <c r="U6470" s="27"/>
    </row>
    <row r="6472">
      <c r="S6472" s="27"/>
      <c r="T6472" s="27"/>
      <c r="U6472" s="27"/>
    </row>
    <row r="6473">
      <c r="S6473" s="27"/>
      <c r="T6473" s="27"/>
      <c r="U6473" s="27"/>
    </row>
    <row r="6475">
      <c r="S6475" s="27"/>
      <c r="T6475" s="27"/>
      <c r="U6475" s="27"/>
    </row>
    <row r="6476">
      <c r="S6476" s="27"/>
      <c r="T6476" s="27"/>
      <c r="U6476" s="27"/>
    </row>
    <row r="6478">
      <c r="S6478" s="27"/>
      <c r="T6478" s="27"/>
      <c r="U6478" s="27"/>
    </row>
    <row r="6479">
      <c r="S6479" s="27"/>
      <c r="T6479" s="27"/>
      <c r="U6479" s="27"/>
    </row>
    <row r="6481">
      <c r="S6481" s="27"/>
      <c r="T6481" s="27"/>
      <c r="U6481" s="27"/>
    </row>
    <row r="6482">
      <c r="S6482" s="27"/>
      <c r="T6482" s="27"/>
      <c r="U6482" s="27"/>
    </row>
    <row r="6484">
      <c r="S6484" s="27"/>
      <c r="T6484" s="27"/>
      <c r="U6484" s="27"/>
    </row>
    <row r="6485">
      <c r="S6485" s="27"/>
      <c r="T6485" s="27"/>
      <c r="U6485" s="27"/>
    </row>
    <row r="6487">
      <c r="S6487" s="27"/>
      <c r="T6487" s="27"/>
      <c r="U6487" s="27"/>
    </row>
    <row r="6488">
      <c r="S6488" s="27"/>
      <c r="T6488" s="27"/>
      <c r="U6488" s="27"/>
    </row>
    <row r="6490">
      <c r="S6490" s="27"/>
      <c r="T6490" s="27"/>
      <c r="U6490" s="27"/>
    </row>
    <row r="6491">
      <c r="S6491" s="27"/>
      <c r="T6491" s="27"/>
      <c r="U6491" s="27"/>
    </row>
    <row r="6493">
      <c r="S6493" s="27"/>
      <c r="T6493" s="27"/>
      <c r="U6493" s="27"/>
    </row>
    <row r="6494">
      <c r="S6494" s="27"/>
      <c r="T6494" s="27"/>
      <c r="U6494" s="27"/>
    </row>
    <row r="6496">
      <c r="S6496" s="27"/>
      <c r="T6496" s="27"/>
      <c r="U6496" s="27"/>
    </row>
    <row r="6497">
      <c r="S6497" s="27"/>
      <c r="T6497" s="27"/>
      <c r="U6497" s="27"/>
    </row>
    <row r="6499">
      <c r="S6499" s="27"/>
      <c r="T6499" s="27"/>
      <c r="U6499" s="27"/>
    </row>
    <row r="6500">
      <c r="S6500" s="27"/>
      <c r="T6500" s="27"/>
      <c r="U6500" s="27"/>
    </row>
    <row r="6502">
      <c r="S6502" s="27"/>
      <c r="T6502" s="27"/>
      <c r="U6502" s="27"/>
    </row>
    <row r="6503">
      <c r="S6503" s="27"/>
      <c r="T6503" s="27"/>
      <c r="U6503" s="27"/>
    </row>
    <row r="6505">
      <c r="S6505" s="27"/>
      <c r="T6505" s="27"/>
      <c r="U6505" s="27"/>
    </row>
    <row r="6506">
      <c r="S6506" s="27"/>
      <c r="T6506" s="27"/>
      <c r="U6506" s="27"/>
    </row>
    <row r="6508">
      <c r="S6508" s="27"/>
      <c r="T6508" s="27"/>
      <c r="U6508" s="27"/>
    </row>
    <row r="6509">
      <c r="S6509" s="27"/>
      <c r="T6509" s="27"/>
      <c r="U6509" s="27"/>
    </row>
    <row r="6511">
      <c r="S6511" s="27"/>
      <c r="T6511" s="27"/>
      <c r="U6511" s="27"/>
    </row>
    <row r="6512">
      <c r="S6512" s="27"/>
      <c r="T6512" s="27"/>
      <c r="U6512" s="27"/>
    </row>
    <row r="6514">
      <c r="S6514" s="27"/>
      <c r="T6514" s="27"/>
      <c r="U6514" s="27"/>
    </row>
    <row r="6515">
      <c r="S6515" s="27"/>
      <c r="T6515" s="27"/>
      <c r="U6515" s="27"/>
    </row>
    <row r="6517">
      <c r="S6517" s="27"/>
      <c r="T6517" s="27"/>
      <c r="U6517" s="27"/>
    </row>
    <row r="6518">
      <c r="S6518" s="27"/>
      <c r="T6518" s="27"/>
      <c r="U6518" s="27"/>
    </row>
    <row r="6520">
      <c r="S6520" s="27"/>
      <c r="T6520" s="27"/>
      <c r="U6520" s="27"/>
    </row>
    <row r="6522">
      <c r="S6522" s="27"/>
      <c r="T6522" s="27"/>
      <c r="U6522" s="27"/>
    </row>
    <row r="6523">
      <c r="S6523" s="27"/>
      <c r="T6523" s="27"/>
      <c r="U6523" s="27"/>
    </row>
    <row r="6525">
      <c r="S6525" s="27"/>
      <c r="T6525" s="27"/>
      <c r="U6525" s="27"/>
    </row>
    <row r="6526">
      <c r="S6526" s="27"/>
      <c r="T6526" s="27"/>
      <c r="U6526" s="27"/>
    </row>
    <row r="6528">
      <c r="S6528" s="27"/>
      <c r="T6528" s="27"/>
      <c r="U6528" s="27"/>
    </row>
    <row r="6529">
      <c r="S6529" s="27"/>
      <c r="T6529" s="27"/>
      <c r="U6529" s="27"/>
    </row>
    <row r="6531">
      <c r="S6531" s="27"/>
      <c r="T6531" s="27"/>
      <c r="U6531" s="27"/>
    </row>
    <row r="6532">
      <c r="S6532" s="27"/>
      <c r="T6532" s="27"/>
      <c r="U6532" s="27"/>
    </row>
    <row r="6534">
      <c r="S6534" s="27"/>
      <c r="T6534" s="27"/>
      <c r="U6534" s="27"/>
    </row>
    <row r="6535">
      <c r="S6535" s="27"/>
      <c r="T6535" s="27"/>
      <c r="U6535" s="27"/>
    </row>
    <row r="6537">
      <c r="S6537" s="27"/>
      <c r="T6537" s="27"/>
      <c r="U6537" s="27"/>
    </row>
    <row r="6538">
      <c r="S6538" s="27"/>
      <c r="T6538" s="27"/>
      <c r="U6538" s="27"/>
    </row>
    <row r="6540">
      <c r="S6540" s="27"/>
      <c r="T6540" s="27"/>
      <c r="U6540" s="27"/>
    </row>
    <row r="6541">
      <c r="S6541" s="27"/>
      <c r="T6541" s="27"/>
      <c r="U6541" s="27"/>
    </row>
    <row r="6543">
      <c r="S6543" s="27"/>
      <c r="T6543" s="27"/>
      <c r="U6543" s="27"/>
    </row>
    <row r="6545">
      <c r="S6545" s="27"/>
      <c r="T6545" s="27"/>
      <c r="U6545" s="27"/>
    </row>
    <row r="6547">
      <c r="T6547" s="27"/>
    </row>
    <row r="6549">
      <c r="S6549" s="27"/>
      <c r="T6549" s="27"/>
      <c r="U6549" s="27"/>
    </row>
    <row r="6551">
      <c r="S6551" s="27"/>
      <c r="T6551" s="27"/>
      <c r="U6551" s="27"/>
    </row>
    <row r="6552">
      <c r="S6552" s="27"/>
      <c r="T6552" s="27"/>
      <c r="U6552" s="27"/>
    </row>
    <row r="6554">
      <c r="S6554" s="27"/>
      <c r="T6554" s="27"/>
      <c r="U6554" s="27"/>
    </row>
    <row r="6555">
      <c r="S6555" s="27"/>
      <c r="T6555" s="27"/>
      <c r="U6555" s="27"/>
    </row>
    <row r="6557">
      <c r="S6557" s="27"/>
      <c r="T6557" s="27"/>
      <c r="U6557" s="27"/>
    </row>
    <row r="6558">
      <c r="S6558" s="27"/>
      <c r="T6558" s="27"/>
    </row>
    <row r="6560">
      <c r="S6560" s="27"/>
      <c r="T6560" s="27"/>
      <c r="U6560" s="27"/>
    </row>
    <row r="6561">
      <c r="S6561" s="27"/>
      <c r="T6561" s="27"/>
      <c r="U6561" s="27"/>
    </row>
    <row r="6563">
      <c r="S6563" s="27"/>
      <c r="T6563" s="27"/>
      <c r="U6563" s="27"/>
    </row>
    <row r="6564">
      <c r="S6564" s="27"/>
      <c r="T6564" s="27"/>
      <c r="U6564" s="27"/>
    </row>
    <row r="6566">
      <c r="S6566" s="27"/>
      <c r="T6566" s="27"/>
      <c r="U6566" s="27"/>
    </row>
    <row r="6567">
      <c r="S6567" s="27"/>
      <c r="T6567" s="27"/>
      <c r="U6567" s="27"/>
    </row>
    <row r="6569">
      <c r="S6569" s="27"/>
    </row>
    <row r="6570">
      <c r="S6570" s="27"/>
    </row>
    <row r="6575">
      <c r="S6575" s="33"/>
      <c r="T6575" s="33"/>
      <c r="U6575" s="33"/>
    </row>
    <row r="6576">
      <c r="S6576" s="26"/>
      <c r="T6576" s="26"/>
      <c r="U6576" s="26"/>
    </row>
    <row r="6578">
      <c r="S6578" s="27"/>
      <c r="T6578" s="27"/>
      <c r="U6578" s="27"/>
    </row>
    <row r="6579">
      <c r="S6579" s="27"/>
      <c r="T6579" s="27"/>
      <c r="U6579" s="27"/>
    </row>
    <row r="6581">
      <c r="S6581" s="27"/>
      <c r="T6581" s="27"/>
      <c r="U6581" s="27"/>
    </row>
    <row r="6582">
      <c r="S6582" s="27"/>
      <c r="T6582" s="27"/>
      <c r="U6582" s="27"/>
    </row>
    <row r="6584">
      <c r="S6584" s="27"/>
      <c r="T6584" s="27"/>
      <c r="U6584" s="27"/>
    </row>
    <row r="6585">
      <c r="S6585" s="27"/>
      <c r="T6585" s="27"/>
      <c r="U6585" s="27"/>
    </row>
    <row r="6587">
      <c r="S6587" s="26"/>
      <c r="T6587" s="26"/>
      <c r="U6587" s="26"/>
    </row>
    <row r="6590">
      <c r="S6590" s="27"/>
      <c r="T6590" s="27"/>
      <c r="U6590" s="27"/>
    </row>
    <row r="6591">
      <c r="S6591" s="27"/>
      <c r="T6591" s="27"/>
      <c r="U6591" s="27"/>
    </row>
    <row r="6593">
      <c r="S6593" s="27"/>
      <c r="T6593" s="27"/>
      <c r="U6593" s="27"/>
    </row>
    <row r="6594">
      <c r="S6594" s="27"/>
      <c r="T6594" s="27"/>
      <c r="U6594" s="27"/>
    </row>
    <row r="6602">
      <c r="S6602" s="26"/>
      <c r="T6602" s="26"/>
      <c r="U6602" s="26"/>
    </row>
    <row r="6605">
      <c r="S6605" s="27"/>
      <c r="T6605" s="27"/>
      <c r="U6605" s="27"/>
    </row>
    <row r="6606">
      <c r="S6606" s="27"/>
      <c r="T6606" s="27"/>
      <c r="U6606" s="27"/>
    </row>
    <row r="6609">
      <c r="S6609" s="26"/>
      <c r="T6609" s="26"/>
      <c r="U6609" s="26"/>
    </row>
    <row r="6612">
      <c r="S6612" s="27"/>
      <c r="T6612" s="27"/>
      <c r="U6612" s="27"/>
    </row>
    <row r="6615">
      <c r="S6615" s="27"/>
      <c r="T6615" s="27"/>
      <c r="U6615" s="27"/>
    </row>
    <row r="6616">
      <c r="S6616" s="27"/>
      <c r="T6616" s="27"/>
      <c r="U6616" s="27"/>
    </row>
    <row r="6618">
      <c r="T6618" s="27"/>
      <c r="U6618" s="27"/>
    </row>
    <row r="6619">
      <c r="T6619" s="27"/>
      <c r="U6619" s="27"/>
    </row>
    <row r="6621">
      <c r="S6621" s="27"/>
      <c r="T6621" s="27"/>
      <c r="U6621" s="26"/>
    </row>
    <row r="6622">
      <c r="S6622" s="27"/>
      <c r="T6622" s="27"/>
      <c r="U6622" s="26"/>
    </row>
    <row r="6624">
      <c r="S6624" s="27"/>
      <c r="T6624" s="27"/>
      <c r="U6624" s="27"/>
    </row>
    <row r="6625">
      <c r="S6625" s="27"/>
      <c r="T6625" s="27"/>
      <c r="U6625" s="27"/>
    </row>
    <row r="6627">
      <c r="S6627" s="27"/>
      <c r="T6627" s="27"/>
      <c r="U6627" s="26"/>
    </row>
    <row r="6628">
      <c r="S6628" s="27"/>
      <c r="T6628" s="27"/>
      <c r="U6628" s="26"/>
    </row>
    <row r="6630">
      <c r="S6630" s="27"/>
      <c r="T6630" s="27"/>
      <c r="U6630" s="27"/>
    </row>
    <row r="6631">
      <c r="S6631" s="27"/>
      <c r="T6631" s="27"/>
      <c r="U6631" s="27"/>
    </row>
    <row r="6633">
      <c r="S6633" s="27"/>
      <c r="T6633" s="27"/>
      <c r="U6633" s="27"/>
    </row>
    <row r="6634">
      <c r="S6634" s="27"/>
      <c r="T6634" s="27"/>
      <c r="U6634" s="27"/>
    </row>
    <row r="6636">
      <c r="S6636" s="27"/>
      <c r="T6636" s="27"/>
      <c r="U6636" s="27"/>
    </row>
    <row r="6637">
      <c r="S6637" s="27"/>
      <c r="T6637" s="27"/>
      <c r="U6637" s="27"/>
    </row>
    <row r="6639">
      <c r="S6639" s="27"/>
      <c r="T6639" s="27"/>
      <c r="U6639" s="26"/>
    </row>
    <row r="6640">
      <c r="S6640" s="27"/>
      <c r="T6640" s="27"/>
      <c r="U6640" s="26"/>
    </row>
    <row r="6642">
      <c r="S6642" s="27"/>
      <c r="T6642" s="27"/>
      <c r="U6642" s="27"/>
    </row>
    <row r="6643">
      <c r="S6643" s="27"/>
      <c r="T6643" s="27"/>
      <c r="U6643" s="27"/>
    </row>
    <row r="6645">
      <c r="S6645" s="27"/>
      <c r="T6645" s="27"/>
      <c r="U6645" s="27"/>
    </row>
    <row r="6646">
      <c r="S6646" s="27"/>
      <c r="T6646" s="27"/>
      <c r="U6646" s="27"/>
    </row>
    <row r="6648">
      <c r="S6648" s="27"/>
      <c r="T6648" s="27"/>
      <c r="U6648" s="26"/>
    </row>
    <row r="6649">
      <c r="S6649" s="27"/>
      <c r="T6649" s="27"/>
      <c r="U6649" s="26"/>
    </row>
    <row r="6654">
      <c r="U6654" s="27"/>
    </row>
    <row r="6655">
      <c r="U6655" s="27"/>
    </row>
    <row r="6657">
      <c r="S6657" s="27"/>
      <c r="T6657" s="27"/>
    </row>
    <row r="6658">
      <c r="S6658" s="27"/>
      <c r="T6658" s="27"/>
    </row>
    <row r="6660">
      <c r="S6660" s="27"/>
      <c r="T6660" s="27"/>
      <c r="U6660" s="26"/>
    </row>
    <row r="6661">
      <c r="S6661" s="27"/>
      <c r="T6661" s="27"/>
      <c r="U6661" s="26"/>
    </row>
    <row r="6663">
      <c r="S6663" s="27"/>
      <c r="T6663" s="27"/>
      <c r="U6663" s="27"/>
    </row>
    <row r="6664">
      <c r="S6664" s="27"/>
      <c r="T6664" s="27"/>
      <c r="U6664" s="27"/>
    </row>
    <row r="6666">
      <c r="S6666" s="27"/>
      <c r="T6666" s="27"/>
      <c r="U6666" s="27"/>
    </row>
    <row r="6667">
      <c r="S6667" s="27"/>
      <c r="T6667" s="27"/>
      <c r="U6667" s="27"/>
    </row>
    <row r="6669">
      <c r="S6669" s="27"/>
      <c r="T6669" s="27"/>
      <c r="U6669" s="27"/>
    </row>
    <row r="6670">
      <c r="S6670" s="27"/>
      <c r="T6670" s="27"/>
      <c r="U6670" s="27"/>
    </row>
    <row r="6672">
      <c r="S6672" s="33"/>
      <c r="T6672" s="27"/>
      <c r="U6672" s="27"/>
    </row>
    <row r="6673">
      <c r="S6673" s="33"/>
      <c r="T6673" s="27"/>
      <c r="U6673" s="27"/>
    </row>
    <row r="6675">
      <c r="S6675" s="27"/>
      <c r="T6675" s="27"/>
      <c r="U6675" s="27"/>
    </row>
    <row r="6676">
      <c r="S6676" s="27"/>
      <c r="T6676" s="27"/>
      <c r="U6676" s="27"/>
    </row>
    <row r="6678">
      <c r="S6678" s="27"/>
      <c r="T6678" s="27"/>
      <c r="U6678" s="27"/>
    </row>
    <row r="6679">
      <c r="S6679" s="27"/>
      <c r="T6679" s="27"/>
      <c r="U6679" s="27"/>
    </row>
    <row r="6681">
      <c r="S6681" s="27"/>
      <c r="T6681" s="27"/>
      <c r="U6681" s="27"/>
    </row>
    <row r="6682">
      <c r="S6682" s="27"/>
      <c r="T6682" s="27"/>
      <c r="U6682" s="27"/>
    </row>
    <row r="6687">
      <c r="S6687" s="27"/>
      <c r="T6687" s="27"/>
      <c r="U6687" s="27"/>
    </row>
    <row r="6688">
      <c r="S6688" s="27"/>
      <c r="T6688" s="27"/>
      <c r="U6688" s="27"/>
    </row>
    <row r="6693">
      <c r="S6693" s="27"/>
      <c r="T6693" s="27"/>
    </row>
    <row r="6694">
      <c r="S6694" s="27"/>
      <c r="T6694" s="27"/>
    </row>
    <row r="6696">
      <c r="S6696" s="27"/>
      <c r="T6696" s="27"/>
      <c r="U6696" s="27"/>
    </row>
    <row r="6697">
      <c r="S6697" s="27"/>
      <c r="T6697" s="27"/>
      <c r="U6697" s="27"/>
    </row>
    <row r="6699">
      <c r="S6699" s="27"/>
      <c r="T6699" s="27"/>
      <c r="U6699" s="27"/>
    </row>
    <row r="6702">
      <c r="T6702" s="27"/>
      <c r="U6702" s="27"/>
    </row>
    <row r="6703">
      <c r="S6703" s="27"/>
      <c r="T6703" s="27"/>
      <c r="U6703" s="27"/>
    </row>
    <row r="6706">
      <c r="S6706" s="27"/>
      <c r="T6706" s="27"/>
      <c r="U6706" s="27"/>
    </row>
    <row r="6708">
      <c r="S6708" s="27"/>
      <c r="T6708" s="27"/>
      <c r="U6708" s="27"/>
    </row>
    <row r="6709">
      <c r="S6709" s="27"/>
      <c r="T6709" s="27"/>
      <c r="U6709" s="27"/>
    </row>
    <row r="6711">
      <c r="S6711" s="26"/>
      <c r="T6711" s="27"/>
      <c r="U6711" s="27"/>
    </row>
    <row r="6717">
      <c r="S6717" s="27"/>
      <c r="T6717" s="27"/>
      <c r="U6717" s="27"/>
    </row>
    <row r="6721">
      <c r="S6721" s="26"/>
      <c r="T6721" s="26"/>
      <c r="U6721" s="26"/>
    </row>
    <row r="6724">
      <c r="S6724" s="27"/>
      <c r="T6724" s="27"/>
      <c r="U6724" s="27"/>
    </row>
    <row r="6727">
      <c r="S6727" s="27"/>
      <c r="T6727" s="27"/>
      <c r="U6727" s="27"/>
    </row>
    <row r="6728">
      <c r="S6728" s="27"/>
      <c r="T6728" s="27"/>
      <c r="U6728" s="27"/>
    </row>
    <row r="6730">
      <c r="S6730" s="27"/>
      <c r="T6730" s="27"/>
      <c r="U6730" s="27"/>
    </row>
    <row r="6731">
      <c r="S6731" s="27"/>
      <c r="T6731" s="27"/>
      <c r="U6731" s="27"/>
    </row>
    <row r="6733">
      <c r="S6733" s="27"/>
      <c r="T6733" s="27"/>
      <c r="U6733" s="27"/>
    </row>
    <row r="6734">
      <c r="T6734" s="27"/>
      <c r="U6734" s="27"/>
    </row>
    <row r="6736">
      <c r="S6736" s="27"/>
      <c r="T6736" s="27"/>
    </row>
    <row r="6737">
      <c r="S6737" s="27"/>
      <c r="T6737" s="27"/>
      <c r="U6737" s="26"/>
    </row>
    <row r="6739">
      <c r="S6739" s="27"/>
      <c r="T6739" s="27"/>
      <c r="U6739" s="27"/>
    </row>
    <row r="6740">
      <c r="S6740" s="27"/>
      <c r="T6740" s="27"/>
      <c r="U6740" s="27"/>
    </row>
    <row r="6745">
      <c r="S6745" s="27"/>
      <c r="T6745" s="27"/>
      <c r="U6745" s="27"/>
    </row>
    <row r="6746">
      <c r="S6746" s="27"/>
      <c r="T6746" s="27"/>
      <c r="U6746" s="27"/>
    </row>
    <row r="6748">
      <c r="S6748" s="27"/>
      <c r="T6748" s="27"/>
      <c r="U6748" s="33"/>
    </row>
    <row r="6749">
      <c r="S6749" s="27"/>
      <c r="T6749" s="27"/>
    </row>
    <row r="6751">
      <c r="S6751" s="27"/>
      <c r="T6751" s="27"/>
      <c r="U6751" s="27"/>
    </row>
    <row r="6752">
      <c r="S6752" s="27"/>
      <c r="T6752" s="27"/>
      <c r="U6752" s="27"/>
    </row>
    <row r="6754">
      <c r="S6754" s="33"/>
      <c r="T6754" s="33"/>
      <c r="U6754" s="33"/>
    </row>
    <row r="6760">
      <c r="S6760" s="27"/>
      <c r="T6760" s="27"/>
      <c r="U6760" s="27"/>
    </row>
    <row r="6763">
      <c r="S6763" s="27"/>
      <c r="T6763" s="27"/>
      <c r="U6763" s="27"/>
    </row>
    <row r="6764">
      <c r="S6764" s="33"/>
      <c r="T6764" s="33"/>
      <c r="U6764" s="33"/>
    </row>
    <row r="6767">
      <c r="S6767" s="26"/>
      <c r="T6767" s="26"/>
      <c r="U6767" s="26"/>
    </row>
    <row r="6770">
      <c r="S6770" s="27"/>
      <c r="U6770" s="27"/>
    </row>
    <row r="6771">
      <c r="S6771" s="27"/>
      <c r="T6771" s="27"/>
      <c r="U6771" s="27"/>
    </row>
    <row r="6774">
      <c r="S6774" s="27"/>
      <c r="T6774" s="27"/>
      <c r="U6774" s="27"/>
    </row>
    <row r="6779">
      <c r="S6779" s="27"/>
      <c r="T6779" s="27"/>
      <c r="U6779" s="27"/>
    </row>
    <row r="6780">
      <c r="S6780" s="27"/>
      <c r="T6780" s="27"/>
      <c r="U6780" s="27"/>
    </row>
    <row r="6785">
      <c r="T6785" s="27"/>
      <c r="U6785" s="27"/>
    </row>
    <row r="6788">
      <c r="S6788" s="26"/>
      <c r="T6788" s="26"/>
      <c r="U6788" s="26"/>
    </row>
    <row r="6791">
      <c r="S6791" s="27"/>
      <c r="T6791" s="27"/>
      <c r="U6791" s="27"/>
    </row>
    <row r="6792">
      <c r="S6792" s="27"/>
      <c r="T6792" s="27"/>
      <c r="U6792" s="27"/>
    </row>
    <row r="6794">
      <c r="S6794" s="27"/>
      <c r="T6794" s="27"/>
      <c r="U6794" s="27"/>
    </row>
    <row r="6795">
      <c r="S6795" s="27"/>
      <c r="T6795" s="27"/>
      <c r="U6795" s="27"/>
    </row>
    <row r="6797">
      <c r="S6797" s="27"/>
      <c r="T6797" s="27"/>
      <c r="U6797" s="27"/>
    </row>
    <row r="6800">
      <c r="S6800" s="27"/>
      <c r="T6800" s="27"/>
      <c r="U6800" s="27"/>
    </row>
    <row r="6801">
      <c r="S6801" s="27"/>
      <c r="T6801" s="27"/>
      <c r="U6801" s="27"/>
    </row>
    <row r="6810">
      <c r="S6810" s="27"/>
      <c r="T6810" s="27"/>
      <c r="U6810" s="27"/>
    </row>
    <row r="6812">
      <c r="S6812" s="27"/>
      <c r="T6812" s="27"/>
      <c r="U6812" s="27"/>
    </row>
    <row r="6813">
      <c r="S6813" s="27"/>
      <c r="T6813" s="27"/>
      <c r="U6813" s="27"/>
    </row>
    <row r="6815">
      <c r="S6815" s="27"/>
      <c r="T6815" s="27"/>
    </row>
    <row r="6816">
      <c r="U6816" s="26"/>
    </row>
    <row r="6818">
      <c r="S6818" s="27"/>
      <c r="T6818" s="27"/>
      <c r="U6818" s="27"/>
    </row>
    <row r="6819">
      <c r="S6819" s="27"/>
      <c r="T6819" s="27"/>
      <c r="U6819" s="27"/>
    </row>
    <row r="6821">
      <c r="S6821" s="27"/>
      <c r="T6821" s="27"/>
      <c r="U6821" s="27"/>
    </row>
    <row r="6822">
      <c r="S6822" s="27"/>
      <c r="T6822" s="27"/>
      <c r="U6822" s="27"/>
    </row>
    <row r="6824">
      <c r="S6824" s="27"/>
      <c r="T6824" s="27"/>
      <c r="U6824" s="27"/>
    </row>
    <row r="6825">
      <c r="S6825" s="27"/>
      <c r="T6825" s="27"/>
      <c r="U6825" s="27"/>
    </row>
    <row r="6827">
      <c r="S6827" s="27"/>
      <c r="T6827" s="27"/>
      <c r="U6827" s="27"/>
    </row>
    <row r="6828">
      <c r="S6828" s="27"/>
      <c r="T6828" s="27"/>
      <c r="U6828" s="27"/>
    </row>
    <row r="6830">
      <c r="S6830" s="27"/>
      <c r="T6830" s="27"/>
      <c r="U6830" s="27"/>
    </row>
    <row r="6831">
      <c r="S6831" s="27"/>
      <c r="T6831" s="27"/>
      <c r="U6831" s="27"/>
    </row>
    <row r="6833">
      <c r="S6833" s="27"/>
      <c r="T6833" s="27"/>
      <c r="U6833" s="27"/>
    </row>
    <row r="6834">
      <c r="S6834" s="27"/>
      <c r="T6834" s="27"/>
      <c r="U6834" s="27"/>
    </row>
    <row r="6836">
      <c r="S6836" s="27"/>
      <c r="T6836" s="27"/>
      <c r="U6836" s="27"/>
    </row>
    <row r="6837">
      <c r="S6837" s="27"/>
      <c r="T6837" s="27"/>
      <c r="U6837" s="27"/>
    </row>
    <row r="6839">
      <c r="S6839" s="27"/>
      <c r="T6839" s="27"/>
      <c r="U6839" s="27"/>
    </row>
    <row r="6840">
      <c r="S6840" s="27"/>
      <c r="T6840" s="27"/>
      <c r="U6840" s="27"/>
    </row>
    <row r="6842">
      <c r="S6842" s="27"/>
      <c r="T6842" s="27"/>
      <c r="U6842" s="27"/>
    </row>
    <row r="6843">
      <c r="S6843" s="27"/>
      <c r="T6843" s="27"/>
      <c r="U6843" s="27"/>
    </row>
    <row r="6845">
      <c r="S6845" s="27"/>
      <c r="T6845" s="27"/>
      <c r="U6845" s="27"/>
    </row>
    <row r="6846">
      <c r="S6846" s="27"/>
      <c r="T6846" s="27"/>
      <c r="U6846" s="27"/>
    </row>
    <row r="6848">
      <c r="S6848" s="27"/>
      <c r="T6848" s="27"/>
      <c r="U6848" s="27"/>
    </row>
    <row r="6849">
      <c r="S6849" s="27"/>
      <c r="T6849" s="27"/>
      <c r="U6849" s="27"/>
    </row>
    <row r="6851">
      <c r="S6851" s="27"/>
      <c r="T6851" s="27"/>
      <c r="U6851" s="27"/>
    </row>
    <row r="6852">
      <c r="S6852" s="27"/>
      <c r="T6852" s="27"/>
      <c r="U6852" s="27"/>
    </row>
    <row r="6854">
      <c r="S6854" s="27"/>
      <c r="T6854" s="27"/>
      <c r="U6854" s="27"/>
    </row>
    <row r="6855">
      <c r="S6855" s="27"/>
      <c r="T6855" s="27"/>
      <c r="U6855" s="27"/>
    </row>
    <row r="6857">
      <c r="S6857" s="27"/>
      <c r="T6857" s="27"/>
      <c r="U6857" s="27"/>
    </row>
    <row r="6858">
      <c r="S6858" s="27"/>
      <c r="T6858" s="27"/>
      <c r="U6858" s="27"/>
    </row>
    <row r="6860">
      <c r="S6860" s="27"/>
      <c r="T6860" s="27"/>
      <c r="U6860" s="27"/>
    </row>
    <row r="6861">
      <c r="S6861" s="27"/>
      <c r="T6861" s="27"/>
      <c r="U6861" s="27"/>
    </row>
    <row r="6863">
      <c r="S6863" s="27"/>
      <c r="T6863" s="27"/>
      <c r="U6863" s="27"/>
    </row>
    <row r="6864">
      <c r="S6864" s="27"/>
      <c r="T6864" s="27"/>
      <c r="U6864" s="27"/>
    </row>
    <row r="6866">
      <c r="S6866" s="27"/>
      <c r="T6866" s="27"/>
      <c r="U6866" s="27"/>
    </row>
    <row r="6867">
      <c r="S6867" s="27"/>
      <c r="T6867" s="27"/>
      <c r="U6867" s="27"/>
    </row>
    <row r="6869">
      <c r="S6869" s="27"/>
      <c r="T6869" s="27"/>
      <c r="U6869" s="27"/>
    </row>
    <row r="6870">
      <c r="S6870" s="27"/>
      <c r="T6870" s="27"/>
      <c r="U6870" s="27"/>
    </row>
    <row r="6872">
      <c r="S6872" s="27"/>
      <c r="T6872" s="27"/>
      <c r="U6872" s="27"/>
    </row>
    <row r="6873">
      <c r="S6873" s="27"/>
      <c r="T6873" s="27"/>
      <c r="U6873" s="27"/>
    </row>
    <row r="6875">
      <c r="S6875" s="27"/>
      <c r="T6875" s="27"/>
      <c r="U6875" s="27"/>
    </row>
    <row r="6876">
      <c r="S6876" s="27"/>
      <c r="T6876" s="27"/>
      <c r="U6876" s="27"/>
    </row>
    <row r="6878">
      <c r="S6878" s="27"/>
      <c r="T6878" s="27"/>
      <c r="U6878" s="27"/>
    </row>
    <row r="6879">
      <c r="S6879" s="27"/>
      <c r="T6879" s="27"/>
      <c r="U6879" s="27"/>
    </row>
    <row r="6881">
      <c r="S6881" s="27"/>
      <c r="T6881" s="27"/>
      <c r="U6881" s="27"/>
    </row>
    <row r="6882">
      <c r="S6882" s="27"/>
      <c r="T6882" s="27"/>
      <c r="U6882" s="27"/>
    </row>
    <row r="6884">
      <c r="S6884" s="27"/>
      <c r="T6884" s="27"/>
      <c r="U6884" s="27"/>
    </row>
    <row r="6885">
      <c r="S6885" s="27"/>
      <c r="T6885" s="27"/>
      <c r="U6885" s="27"/>
    </row>
    <row r="6887">
      <c r="S6887" s="27"/>
      <c r="T6887" s="27"/>
      <c r="U6887" s="27"/>
    </row>
    <row r="6888">
      <c r="S6888" s="27"/>
      <c r="T6888" s="27"/>
      <c r="U6888" s="27"/>
    </row>
    <row r="6890">
      <c r="S6890" s="27"/>
      <c r="T6890" s="27"/>
      <c r="U6890" s="27"/>
    </row>
    <row r="6891">
      <c r="S6891" s="27"/>
      <c r="T6891" s="27"/>
      <c r="U6891" s="27"/>
    </row>
    <row r="6893">
      <c r="S6893" s="27"/>
      <c r="T6893" s="27"/>
      <c r="U6893" s="27"/>
    </row>
    <row r="6894">
      <c r="S6894" s="27"/>
      <c r="T6894" s="27"/>
      <c r="U6894" s="27"/>
    </row>
    <row r="6896">
      <c r="S6896" s="27"/>
      <c r="T6896" s="27"/>
      <c r="U6896" s="27"/>
    </row>
    <row r="6897">
      <c r="S6897" s="27"/>
      <c r="T6897" s="27"/>
      <c r="U6897" s="27"/>
    </row>
    <row r="6899">
      <c r="S6899" s="27"/>
      <c r="T6899" s="27"/>
      <c r="U6899" s="27"/>
    </row>
    <row r="6900">
      <c r="S6900" s="27"/>
      <c r="T6900" s="27"/>
      <c r="U6900" s="27"/>
    </row>
    <row r="6902">
      <c r="S6902" s="27"/>
      <c r="T6902" s="27"/>
      <c r="U6902" s="27"/>
    </row>
    <row r="6903">
      <c r="S6903" s="27"/>
      <c r="T6903" s="27"/>
      <c r="U6903" s="27"/>
    </row>
    <row r="6905">
      <c r="S6905" s="27"/>
      <c r="T6905" s="27"/>
      <c r="U6905" s="27"/>
    </row>
    <row r="6906">
      <c r="S6906" s="27"/>
      <c r="T6906" s="27"/>
      <c r="U6906" s="27"/>
    </row>
    <row r="6908">
      <c r="S6908" s="27"/>
      <c r="T6908" s="27"/>
      <c r="U6908" s="27"/>
    </row>
    <row r="6909">
      <c r="S6909" s="27"/>
      <c r="T6909" s="27"/>
      <c r="U6909" s="27"/>
    </row>
    <row r="6911">
      <c r="S6911" s="27"/>
      <c r="T6911" s="27"/>
      <c r="U6911" s="27"/>
    </row>
    <row r="6912">
      <c r="S6912" s="27"/>
      <c r="T6912" s="27"/>
      <c r="U6912" s="27"/>
    </row>
    <row r="6914">
      <c r="S6914" s="27"/>
      <c r="T6914" s="27"/>
      <c r="U6914" s="27"/>
    </row>
    <row r="6916">
      <c r="S6916" s="27"/>
      <c r="T6916" s="27"/>
      <c r="U6916" s="27"/>
    </row>
    <row r="6917">
      <c r="S6917" s="27"/>
      <c r="T6917" s="27"/>
      <c r="U6917" s="27"/>
    </row>
    <row r="6919">
      <c r="S6919" s="27"/>
      <c r="T6919" s="27"/>
      <c r="U6919" s="27"/>
    </row>
    <row r="6920">
      <c r="S6920" s="27"/>
      <c r="T6920" s="27"/>
      <c r="U6920" s="27"/>
    </row>
    <row r="6922">
      <c r="S6922" s="27"/>
      <c r="T6922" s="27"/>
      <c r="U6922" s="27"/>
    </row>
    <row r="6923">
      <c r="S6923" s="27"/>
      <c r="T6923" s="27"/>
      <c r="U6923" s="27"/>
    </row>
    <row r="6925">
      <c r="S6925" s="27"/>
      <c r="T6925" s="27"/>
      <c r="U6925" s="27"/>
    </row>
    <row r="6926">
      <c r="S6926" s="27"/>
      <c r="T6926" s="27"/>
      <c r="U6926" s="27"/>
    </row>
    <row r="6928">
      <c r="S6928" s="27"/>
      <c r="T6928" s="27"/>
      <c r="U6928" s="27"/>
    </row>
    <row r="6929">
      <c r="S6929" s="27"/>
      <c r="T6929" s="27"/>
      <c r="U6929" s="27"/>
    </row>
    <row r="6932">
      <c r="S6932" s="27"/>
      <c r="T6932" s="27"/>
      <c r="U6932" s="27"/>
    </row>
    <row r="6934">
      <c r="S6934" s="27"/>
      <c r="T6934" s="27"/>
      <c r="U6934" s="27"/>
    </row>
    <row r="6935">
      <c r="S6935" s="27"/>
      <c r="T6935" s="27"/>
      <c r="U6935" s="27"/>
    </row>
    <row r="6937">
      <c r="S6937" s="27"/>
      <c r="T6937" s="27"/>
      <c r="U6937" s="27"/>
    </row>
    <row r="6939">
      <c r="S6939" s="27"/>
      <c r="T6939" s="27"/>
      <c r="U6939" s="27"/>
    </row>
    <row r="6941">
      <c r="S6941" s="27"/>
      <c r="T6941" s="27"/>
      <c r="U6941" s="27"/>
    </row>
    <row r="6943">
      <c r="S6943" s="27"/>
      <c r="T6943" s="27"/>
      <c r="U6943" s="27"/>
    </row>
    <row r="6945">
      <c r="S6945" s="27"/>
      <c r="T6945" s="27"/>
      <c r="U6945" s="27"/>
    </row>
    <row r="6946">
      <c r="S6946" s="27"/>
      <c r="T6946" s="27"/>
      <c r="U6946" s="27"/>
    </row>
    <row r="6948">
      <c r="S6948" s="27"/>
      <c r="T6948" s="27"/>
      <c r="U6948" s="27"/>
    </row>
    <row r="6949">
      <c r="S6949" s="27"/>
      <c r="T6949" s="27"/>
      <c r="U6949" s="27"/>
    </row>
    <row r="6951">
      <c r="S6951" s="27"/>
      <c r="T6951" s="27"/>
      <c r="U6951" s="27"/>
    </row>
    <row r="6952">
      <c r="S6952" s="27"/>
      <c r="T6952" s="27"/>
      <c r="U6952" s="27"/>
    </row>
    <row r="6954">
      <c r="S6954" s="27"/>
      <c r="T6954" s="27"/>
      <c r="U6954" s="27"/>
    </row>
    <row r="6955">
      <c r="S6955" s="27"/>
      <c r="T6955" s="27"/>
      <c r="U6955" s="27"/>
    </row>
    <row r="6961">
      <c r="S6961" s="27"/>
      <c r="T6961" s="27"/>
      <c r="U6961" s="27"/>
    </row>
    <row r="6962">
      <c r="S6962" s="27"/>
      <c r="T6962" s="27"/>
      <c r="U6962" s="27"/>
    </row>
    <row r="6964">
      <c r="S6964" s="26"/>
      <c r="T6964" s="27"/>
      <c r="U6964" s="26"/>
    </row>
    <row r="6970">
      <c r="S6970" s="27"/>
      <c r="T6970" s="27"/>
      <c r="U6970" s="27"/>
    </row>
    <row r="6971">
      <c r="S6971" s="27"/>
      <c r="T6971" s="27"/>
      <c r="U6971" s="27"/>
    </row>
    <row r="6973">
      <c r="S6973" s="27"/>
      <c r="T6973" s="27"/>
      <c r="U6973" s="27"/>
    </row>
    <row r="6974">
      <c r="S6974" s="27"/>
      <c r="T6974" s="27"/>
      <c r="U6974" s="27"/>
    </row>
    <row r="6976">
      <c r="S6976" s="27"/>
      <c r="T6976" s="27"/>
      <c r="U6976" s="27"/>
    </row>
    <row r="6977">
      <c r="S6977" s="27"/>
      <c r="T6977" s="27"/>
      <c r="U6977" s="27"/>
    </row>
    <row r="6979">
      <c r="S6979" s="27"/>
      <c r="T6979" s="27"/>
      <c r="U6979" s="26"/>
    </row>
    <row r="6982">
      <c r="S6982" s="27"/>
      <c r="T6982" s="27"/>
      <c r="U6982" s="27"/>
    </row>
    <row r="6983">
      <c r="S6983" s="27"/>
      <c r="T6983" s="27"/>
      <c r="U6983" s="27"/>
    </row>
    <row r="6985">
      <c r="S6985" s="27"/>
      <c r="T6985" s="27"/>
      <c r="U6985" s="27"/>
    </row>
    <row r="6986">
      <c r="S6986" s="27"/>
      <c r="T6986" s="27"/>
      <c r="U6986" s="27"/>
    </row>
    <row r="6988">
      <c r="T6988" s="27"/>
      <c r="U6988" s="27"/>
    </row>
    <row r="6989">
      <c r="S6989" s="27"/>
      <c r="T6989" s="27"/>
      <c r="U6989" s="27"/>
    </row>
    <row r="6994">
      <c r="S6994" s="26"/>
      <c r="T6994" s="26"/>
      <c r="U6994" s="26"/>
    </row>
    <row r="6997">
      <c r="S6997" s="27"/>
      <c r="T6997" s="27"/>
      <c r="U6997" s="27"/>
    </row>
    <row r="6998">
      <c r="S6998" s="27"/>
      <c r="T6998" s="27"/>
      <c r="U6998" s="27"/>
    </row>
    <row r="7000">
      <c r="S7000" s="27"/>
      <c r="T7000" s="27"/>
      <c r="U7000" s="27"/>
    </row>
    <row r="7001">
      <c r="S7001" s="27"/>
      <c r="T7001" s="27"/>
      <c r="U7001" s="27"/>
    </row>
    <row r="7003">
      <c r="S7003" s="26"/>
      <c r="T7003" s="26"/>
      <c r="U7003" s="26"/>
    </row>
    <row r="7006">
      <c r="S7006" s="27"/>
      <c r="T7006" s="27"/>
      <c r="U7006" s="27"/>
    </row>
    <row r="7009">
      <c r="S7009" s="27"/>
      <c r="T7009" s="27"/>
      <c r="U7009" s="27"/>
    </row>
    <row r="7010">
      <c r="S7010" s="27"/>
      <c r="T7010" s="27"/>
      <c r="U7010" s="27"/>
    </row>
    <row r="7012">
      <c r="S7012" s="27"/>
      <c r="T7012" s="27"/>
      <c r="U7012" s="27"/>
    </row>
    <row r="7013">
      <c r="S7013" s="27"/>
      <c r="T7013" s="27"/>
      <c r="U7013" s="27"/>
    </row>
    <row r="7015">
      <c r="S7015" s="27"/>
      <c r="T7015" s="27"/>
      <c r="U7015" s="27"/>
    </row>
    <row r="7016">
      <c r="S7016" s="27"/>
      <c r="T7016" s="27"/>
      <c r="U7016" s="27"/>
    </row>
    <row r="7018">
      <c r="S7018" s="27"/>
      <c r="T7018" s="27"/>
      <c r="U7018" s="27"/>
    </row>
    <row r="7019">
      <c r="S7019" s="27"/>
      <c r="T7019" s="27"/>
      <c r="U7019" s="27"/>
    </row>
    <row r="7021">
      <c r="S7021" s="27"/>
      <c r="T7021" s="27"/>
      <c r="U7021" s="27"/>
    </row>
    <row r="7022">
      <c r="S7022" s="27"/>
      <c r="T7022" s="27"/>
      <c r="U7022" s="27"/>
    </row>
    <row r="7024">
      <c r="S7024" s="27"/>
      <c r="T7024" s="27"/>
      <c r="U7024" s="27"/>
    </row>
    <row r="7025">
      <c r="S7025" s="27"/>
      <c r="T7025" s="27"/>
      <c r="U7025" s="27"/>
    </row>
    <row r="7027">
      <c r="S7027" s="27"/>
      <c r="T7027" s="27"/>
      <c r="U7027" s="27"/>
    </row>
    <row r="7028">
      <c r="S7028" s="27"/>
      <c r="T7028" s="27"/>
      <c r="U7028" s="27"/>
    </row>
    <row r="7030">
      <c r="S7030" s="27"/>
      <c r="T7030" s="27"/>
      <c r="U7030" s="27"/>
    </row>
    <row r="7031">
      <c r="S7031" s="27"/>
      <c r="T7031" s="27"/>
      <c r="U7031" s="27"/>
    </row>
    <row r="7033">
      <c r="S7033" s="27"/>
      <c r="T7033" s="27"/>
      <c r="U7033" s="27"/>
    </row>
    <row r="7034">
      <c r="S7034" s="27"/>
      <c r="T7034" s="27"/>
      <c r="U7034" s="27"/>
    </row>
    <row r="7036">
      <c r="S7036" s="27"/>
      <c r="T7036" s="27"/>
      <c r="U7036" s="27"/>
    </row>
    <row r="7037">
      <c r="S7037" s="27"/>
      <c r="T7037" s="27"/>
      <c r="U7037" s="27"/>
    </row>
    <row r="7039">
      <c r="S7039" s="27"/>
      <c r="T7039" s="27"/>
      <c r="U7039" s="27"/>
    </row>
    <row r="7040">
      <c r="S7040" s="27"/>
      <c r="T7040" s="27"/>
      <c r="U7040" s="27"/>
    </row>
    <row r="7042">
      <c r="S7042" s="27"/>
      <c r="T7042" s="27"/>
      <c r="U7042" s="27"/>
    </row>
    <row r="7043">
      <c r="S7043" s="27"/>
      <c r="T7043" s="27"/>
      <c r="U7043" s="27"/>
    </row>
    <row r="7045">
      <c r="S7045" s="27"/>
      <c r="T7045" s="27"/>
      <c r="U7045" s="27"/>
    </row>
    <row r="7046">
      <c r="S7046" s="27"/>
      <c r="T7046" s="27"/>
      <c r="U7046" s="27"/>
    </row>
    <row r="7048">
      <c r="S7048" s="27"/>
      <c r="T7048" s="27"/>
      <c r="U7048" s="27"/>
    </row>
    <row r="7049">
      <c r="S7049" s="27"/>
      <c r="T7049" s="27"/>
      <c r="U7049" s="27"/>
    </row>
    <row r="7051">
      <c r="S7051" s="27"/>
      <c r="T7051" s="27"/>
      <c r="U7051" s="27"/>
    </row>
    <row r="7052">
      <c r="S7052" s="27"/>
      <c r="T7052" s="27"/>
      <c r="U7052" s="27"/>
    </row>
    <row r="7054">
      <c r="S7054" s="27"/>
      <c r="T7054" s="27"/>
      <c r="U7054" s="27"/>
    </row>
    <row r="7055">
      <c r="S7055" s="27"/>
      <c r="T7055" s="27"/>
      <c r="U7055" s="27"/>
    </row>
    <row r="7057">
      <c r="S7057" s="27"/>
      <c r="T7057" s="27"/>
      <c r="U7057" s="27"/>
    </row>
    <row r="7058">
      <c r="S7058" s="27"/>
      <c r="T7058" s="27"/>
      <c r="U7058" s="27"/>
    </row>
    <row r="7060">
      <c r="S7060" s="27"/>
      <c r="T7060" s="27"/>
      <c r="U7060" s="27"/>
    </row>
    <row r="7061">
      <c r="S7061" s="27"/>
      <c r="T7061" s="27"/>
      <c r="U7061" s="27"/>
    </row>
    <row r="7063">
      <c r="S7063" s="27"/>
      <c r="T7063" s="27"/>
      <c r="U7063" s="27"/>
    </row>
    <row r="7064">
      <c r="S7064" s="27"/>
      <c r="T7064" s="27"/>
      <c r="U7064" s="27"/>
    </row>
    <row r="7066">
      <c r="S7066" s="27"/>
      <c r="T7066" s="27"/>
      <c r="U7066" s="27"/>
    </row>
    <row r="7067">
      <c r="S7067" s="27"/>
      <c r="T7067" s="27"/>
      <c r="U7067" s="27"/>
    </row>
    <row r="7069">
      <c r="S7069" s="27"/>
      <c r="T7069" s="27"/>
      <c r="U7069" s="27"/>
    </row>
    <row r="7070">
      <c r="S7070" s="27"/>
      <c r="T7070" s="27"/>
      <c r="U7070" s="27"/>
    </row>
    <row r="7072">
      <c r="S7072" s="27"/>
      <c r="T7072" s="27"/>
      <c r="U7072" s="27"/>
    </row>
    <row r="7073">
      <c r="S7073" s="27"/>
      <c r="T7073" s="27"/>
      <c r="U7073" s="27"/>
    </row>
    <row r="7075">
      <c r="S7075" s="27"/>
      <c r="T7075" s="27"/>
      <c r="U7075" s="27"/>
    </row>
    <row r="7076">
      <c r="S7076" s="27"/>
      <c r="T7076" s="27"/>
      <c r="U7076" s="27"/>
    </row>
    <row r="7078">
      <c r="S7078" s="27"/>
      <c r="T7078" s="27"/>
      <c r="U7078" s="27"/>
    </row>
    <row r="7079">
      <c r="S7079" s="27"/>
      <c r="T7079" s="27"/>
      <c r="U7079" s="27"/>
    </row>
    <row r="7084">
      <c r="S7084" s="27"/>
      <c r="T7084" s="27"/>
      <c r="U7084" s="27"/>
    </row>
    <row r="7085">
      <c r="U7085" s="27"/>
    </row>
    <row r="7087">
      <c r="S7087" s="27"/>
      <c r="T7087" s="27"/>
      <c r="U7087" s="27"/>
    </row>
    <row r="7093">
      <c r="S7093" s="27"/>
      <c r="T7093" s="27"/>
      <c r="U7093" s="27"/>
    </row>
    <row r="7094">
      <c r="S7094" s="27"/>
      <c r="T7094" s="27"/>
      <c r="U7094" s="27"/>
    </row>
    <row r="7096">
      <c r="S7096" s="26"/>
      <c r="T7096" s="26"/>
      <c r="U7096" s="26"/>
    </row>
    <row r="7099">
      <c r="S7099" s="27"/>
      <c r="T7099" s="27"/>
      <c r="U7099" s="27"/>
    </row>
    <row r="7100">
      <c r="S7100" s="27"/>
      <c r="T7100" s="27"/>
      <c r="U7100" s="27"/>
    </row>
    <row r="7102">
      <c r="S7102" s="27"/>
      <c r="T7102" s="27"/>
      <c r="U7102" s="27"/>
    </row>
    <row r="7103">
      <c r="S7103" s="27"/>
      <c r="T7103" s="27"/>
      <c r="U7103" s="27"/>
    </row>
    <row r="7105">
      <c r="S7105" s="27"/>
      <c r="T7105" s="27"/>
      <c r="U7105" s="27"/>
    </row>
    <row r="7106">
      <c r="S7106" s="27"/>
      <c r="T7106" s="27"/>
      <c r="U7106" s="27"/>
    </row>
    <row r="7108">
      <c r="T7108" s="27"/>
      <c r="U7108" s="27"/>
    </row>
    <row r="7111">
      <c r="S7111" s="26"/>
      <c r="T7111" s="26"/>
      <c r="U7111" s="26"/>
    </row>
    <row r="7116">
      <c r="S7116" s="27"/>
      <c r="T7116" s="27"/>
      <c r="U7116" s="27"/>
    </row>
    <row r="7118">
      <c r="S7118" s="27"/>
      <c r="T7118" s="27"/>
      <c r="U7118" s="27"/>
    </row>
    <row r="7121">
      <c r="S7121" s="27"/>
      <c r="T7121" s="27"/>
      <c r="U7121" s="27"/>
    </row>
    <row r="7124">
      <c r="S7124" s="27"/>
      <c r="T7124" s="27"/>
      <c r="U7124" s="27"/>
    </row>
    <row r="7125">
      <c r="S7125" s="27"/>
      <c r="T7125" s="27"/>
      <c r="U7125" s="27"/>
    </row>
    <row r="7127">
      <c r="S7127" s="27"/>
      <c r="T7127" s="27"/>
      <c r="U7127" s="27"/>
    </row>
    <row r="7128">
      <c r="S7128" s="27"/>
      <c r="T7128" s="27"/>
      <c r="U7128" s="27"/>
    </row>
    <row r="7130">
      <c r="S7130" s="27"/>
      <c r="T7130" s="33"/>
      <c r="U7130" s="27"/>
    </row>
    <row r="7131">
      <c r="S7131" s="27"/>
      <c r="T7131" s="27"/>
      <c r="U7131" s="27"/>
    </row>
    <row r="7133">
      <c r="S7133" s="27"/>
      <c r="T7133" s="27"/>
      <c r="U7133" s="27"/>
    </row>
    <row r="7134">
      <c r="S7134" s="26"/>
      <c r="T7134" s="27"/>
      <c r="U7134" s="26"/>
    </row>
    <row r="7136">
      <c r="S7136" s="27"/>
      <c r="T7136" s="27"/>
      <c r="U7136" s="27"/>
    </row>
    <row r="7137">
      <c r="S7137" s="27"/>
      <c r="T7137" s="27"/>
      <c r="U7137" s="27"/>
    </row>
    <row r="7142">
      <c r="S7142" s="27"/>
      <c r="T7142" s="27"/>
      <c r="U7142" s="27"/>
    </row>
    <row r="7143">
      <c r="S7143" s="27"/>
      <c r="T7143" s="27"/>
      <c r="U7143" s="27"/>
    </row>
    <row r="7145">
      <c r="S7145" s="27"/>
      <c r="T7145" s="27"/>
    </row>
    <row r="7146">
      <c r="S7146" s="27"/>
      <c r="T7146" s="27"/>
    </row>
    <row r="7148">
      <c r="S7148" s="27"/>
      <c r="T7148" s="27"/>
      <c r="U7148" s="27"/>
    </row>
    <row r="7149">
      <c r="S7149" s="27"/>
      <c r="T7149" s="27"/>
      <c r="U7149" s="27"/>
    </row>
    <row r="7154">
      <c r="S7154" s="27"/>
      <c r="T7154" s="27"/>
      <c r="U7154" s="27"/>
    </row>
    <row r="7157">
      <c r="S7157" s="33"/>
      <c r="T7157" s="33"/>
      <c r="U7157" s="33"/>
    </row>
    <row r="7158">
      <c r="S7158" s="27"/>
      <c r="T7158" s="27"/>
      <c r="U7158" s="27"/>
    </row>
    <row r="7160">
      <c r="S7160" s="34"/>
      <c r="T7160" s="27"/>
      <c r="U7160" s="27"/>
    </row>
    <row r="7161">
      <c r="S7161" s="26"/>
      <c r="T7161" s="26"/>
      <c r="U7161" s="26"/>
    </row>
    <row r="7163">
      <c r="S7163" s="27"/>
      <c r="T7163" s="27"/>
      <c r="U7163" s="27"/>
    </row>
    <row r="7164">
      <c r="S7164" s="27"/>
      <c r="T7164" s="27"/>
      <c r="U7164" s="27"/>
    </row>
    <row r="7166">
      <c r="S7166" s="27"/>
      <c r="T7166" s="27"/>
      <c r="U7166" s="27"/>
    </row>
    <row r="7167">
      <c r="S7167" s="27"/>
      <c r="T7167" s="27"/>
      <c r="U7167" s="27"/>
    </row>
    <row r="7169">
      <c r="S7169" s="27"/>
      <c r="T7169" s="27"/>
      <c r="U7169" s="27"/>
    </row>
    <row r="7170">
      <c r="S7170" s="27"/>
      <c r="T7170" s="27"/>
      <c r="U7170" s="27"/>
    </row>
    <row r="7172">
      <c r="S7172" s="27"/>
      <c r="T7172" s="27"/>
      <c r="U7172" s="27"/>
    </row>
    <row r="7173">
      <c r="S7173" s="27"/>
      <c r="T7173" s="27"/>
      <c r="U7173" s="27"/>
    </row>
    <row r="7175">
      <c r="S7175" s="27"/>
      <c r="T7175" s="27"/>
      <c r="U7175" s="27"/>
    </row>
    <row r="7176">
      <c r="S7176" s="27"/>
      <c r="T7176" s="27"/>
      <c r="U7176" s="27"/>
    </row>
    <row r="7178">
      <c r="S7178" s="27"/>
      <c r="T7178" s="27"/>
      <c r="U7178" s="27"/>
    </row>
    <row r="7179">
      <c r="S7179" s="27"/>
      <c r="T7179" s="27"/>
      <c r="U7179" s="27"/>
    </row>
    <row r="7181">
      <c r="S7181" s="27"/>
      <c r="T7181" s="27"/>
    </row>
    <row r="7184">
      <c r="S7184" s="34"/>
      <c r="T7184" s="26"/>
      <c r="U7184" s="26"/>
    </row>
    <row r="7185">
      <c r="S7185" s="27"/>
    </row>
    <row r="7187">
      <c r="S7187" s="27"/>
      <c r="T7187" s="27"/>
      <c r="U7187" s="27"/>
    </row>
    <row r="7188">
      <c r="S7188" s="27"/>
      <c r="T7188" s="27"/>
      <c r="U7188" s="27"/>
    </row>
    <row r="7190">
      <c r="S7190" s="27"/>
      <c r="T7190" s="27"/>
      <c r="U7190" s="27"/>
    </row>
    <row r="7191">
      <c r="S7191" s="27"/>
      <c r="T7191" s="27"/>
      <c r="U7191" s="27"/>
    </row>
    <row r="7193">
      <c r="S7193" s="27"/>
      <c r="T7193" s="27"/>
      <c r="U7193" s="27"/>
    </row>
    <row r="7194">
      <c r="S7194" s="26"/>
      <c r="T7194" s="26"/>
      <c r="U7194" s="26"/>
    </row>
    <row r="7196">
      <c r="S7196" s="27"/>
      <c r="T7196" s="27"/>
      <c r="U7196" s="27"/>
    </row>
    <row r="7197">
      <c r="S7197" s="27"/>
      <c r="T7197" s="27"/>
      <c r="U7197" s="27"/>
    </row>
    <row r="7199">
      <c r="S7199" s="26"/>
      <c r="T7199" s="26"/>
      <c r="U7199" s="26"/>
    </row>
    <row r="7202">
      <c r="S7202" s="27"/>
      <c r="T7202" s="27"/>
      <c r="U7202" s="27"/>
    </row>
    <row r="7205">
      <c r="S7205" s="27"/>
      <c r="T7205" s="27"/>
      <c r="U7205" s="27"/>
    </row>
    <row r="7206">
      <c r="S7206" s="27"/>
      <c r="T7206" s="27"/>
      <c r="U7206" s="27"/>
    </row>
    <row r="7208">
      <c r="S7208" s="33"/>
      <c r="T7208" s="27"/>
      <c r="U7208" s="27"/>
    </row>
    <row r="7209">
      <c r="T7209" s="27"/>
      <c r="U7209" s="27"/>
    </row>
    <row r="7211">
      <c r="S7211" s="27"/>
      <c r="T7211" s="27"/>
      <c r="U7211" s="27"/>
    </row>
    <row r="7212">
      <c r="S7212" s="27"/>
      <c r="T7212" s="27"/>
      <c r="U7212" s="27"/>
    </row>
    <row r="7218">
      <c r="S7218" s="27"/>
      <c r="T7218" s="27"/>
      <c r="U7218" s="27"/>
    </row>
    <row r="7220">
      <c r="S7220" s="27"/>
      <c r="T7220" s="27"/>
      <c r="U7220" s="27"/>
    </row>
    <row r="7221">
      <c r="S7221" s="27"/>
      <c r="T7221" s="27"/>
      <c r="U7221" s="27"/>
    </row>
    <row r="7223">
      <c r="S7223" s="27"/>
      <c r="T7223" s="27"/>
      <c r="U7223" s="27"/>
    </row>
    <row r="7224">
      <c r="S7224" s="27"/>
      <c r="T7224" s="27"/>
      <c r="U7224" s="27"/>
    </row>
    <row r="7226">
      <c r="S7226" s="27"/>
      <c r="T7226" s="27"/>
      <c r="U7226" s="27"/>
    </row>
    <row r="7227">
      <c r="S7227" s="27"/>
      <c r="T7227" s="27"/>
      <c r="U7227" s="27"/>
    </row>
    <row r="7229">
      <c r="S7229" s="27"/>
      <c r="T7229" s="27"/>
      <c r="U7229" s="27"/>
    </row>
    <row r="7230">
      <c r="S7230" s="27"/>
      <c r="T7230" s="27"/>
      <c r="U7230" s="27"/>
    </row>
    <row r="7232">
      <c r="S7232" s="27"/>
      <c r="T7232" s="27"/>
      <c r="U7232" s="27"/>
    </row>
    <row r="7233">
      <c r="S7233" s="27"/>
      <c r="T7233" s="27"/>
      <c r="U7233" s="27"/>
    </row>
    <row r="7235">
      <c r="S7235" s="27"/>
      <c r="T7235" s="27"/>
      <c r="U7235" s="27"/>
    </row>
    <row r="7236">
      <c r="S7236" s="27"/>
      <c r="T7236" s="27"/>
      <c r="U7236" s="27"/>
    </row>
    <row r="7238">
      <c r="S7238" s="27"/>
      <c r="T7238" s="27"/>
      <c r="U7238" s="27"/>
    </row>
    <row r="7239">
      <c r="S7239" s="27"/>
      <c r="T7239" s="27"/>
      <c r="U7239" s="27"/>
    </row>
    <row r="7241">
      <c r="S7241" s="27"/>
      <c r="T7241" s="27"/>
      <c r="U7241" s="27"/>
    </row>
    <row r="7242">
      <c r="S7242" s="27"/>
      <c r="T7242" s="27"/>
      <c r="U7242" s="27"/>
    </row>
    <row r="7244">
      <c r="S7244" s="27"/>
      <c r="T7244" s="27"/>
      <c r="U7244" s="27"/>
    </row>
    <row r="7245">
      <c r="S7245" s="27"/>
      <c r="T7245" s="27"/>
      <c r="U7245" s="27"/>
    </row>
    <row r="7247">
      <c r="S7247" s="27"/>
      <c r="T7247" s="27"/>
      <c r="U7247" s="27"/>
    </row>
    <row r="7248">
      <c r="S7248" s="27"/>
      <c r="T7248" s="27"/>
      <c r="U7248" s="27"/>
    </row>
    <row r="7250">
      <c r="S7250" s="27"/>
      <c r="T7250" s="27"/>
      <c r="U7250" s="27"/>
    </row>
    <row r="7251">
      <c r="S7251" s="27"/>
      <c r="T7251" s="27"/>
      <c r="U7251" s="27"/>
    </row>
    <row r="7253">
      <c r="S7253" s="27"/>
      <c r="T7253" s="27"/>
      <c r="U7253" s="27"/>
    </row>
    <row r="7254">
      <c r="S7254" s="27"/>
      <c r="T7254" s="27"/>
      <c r="U7254" s="27"/>
    </row>
    <row r="7256">
      <c r="S7256" s="27"/>
      <c r="T7256" s="27"/>
      <c r="U7256" s="27"/>
    </row>
    <row r="7257">
      <c r="S7257" s="27"/>
      <c r="T7257" s="27"/>
      <c r="U7257" s="27"/>
    </row>
    <row r="7259">
      <c r="S7259" s="27"/>
      <c r="T7259" s="27"/>
      <c r="U7259" s="27"/>
    </row>
    <row r="7260">
      <c r="S7260" s="27"/>
      <c r="T7260" s="27"/>
      <c r="U7260" s="27"/>
    </row>
    <row r="7262">
      <c r="S7262" s="27"/>
      <c r="T7262" s="27"/>
      <c r="U7262" s="27"/>
    </row>
    <row r="7263">
      <c r="S7263" s="27"/>
      <c r="T7263" s="27"/>
      <c r="U7263" s="27"/>
    </row>
    <row r="7265">
      <c r="S7265" s="27"/>
      <c r="T7265" s="27"/>
      <c r="U7265" s="27"/>
    </row>
    <row r="7266">
      <c r="S7266" s="27"/>
      <c r="T7266" s="27"/>
      <c r="U7266" s="27"/>
    </row>
    <row r="7268">
      <c r="S7268" s="27"/>
      <c r="T7268" s="27"/>
      <c r="U7268" s="27"/>
    </row>
    <row r="7269">
      <c r="S7269" s="27"/>
      <c r="T7269" s="27"/>
      <c r="U7269" s="27"/>
    </row>
    <row r="7271">
      <c r="S7271" s="27"/>
      <c r="T7271" s="27"/>
      <c r="U7271" s="27"/>
    </row>
    <row r="7272">
      <c r="S7272" s="27"/>
      <c r="T7272" s="27"/>
      <c r="U7272" s="27"/>
    </row>
    <row r="7274">
      <c r="S7274" s="27"/>
      <c r="T7274" s="27"/>
      <c r="U7274" s="27"/>
    </row>
    <row r="7275">
      <c r="S7275" s="27"/>
      <c r="T7275" s="27"/>
      <c r="U7275" s="27"/>
    </row>
    <row r="7277">
      <c r="S7277" s="27"/>
      <c r="T7277" s="27"/>
      <c r="U7277" s="27"/>
    </row>
    <row r="7278">
      <c r="S7278" s="27"/>
      <c r="T7278" s="27"/>
      <c r="U7278" s="27"/>
    </row>
    <row r="7280">
      <c r="S7280" s="27"/>
      <c r="T7280" s="27"/>
      <c r="U7280" s="27"/>
    </row>
    <row r="7281">
      <c r="S7281" s="27"/>
      <c r="T7281" s="27"/>
      <c r="U7281" s="27"/>
    </row>
    <row r="7283">
      <c r="S7283" s="27"/>
      <c r="T7283" s="27"/>
      <c r="U7283" s="27"/>
    </row>
    <row r="7284">
      <c r="S7284" s="27"/>
      <c r="T7284" s="27"/>
      <c r="U7284" s="27"/>
    </row>
    <row r="7286">
      <c r="S7286" s="27"/>
      <c r="T7286" s="27"/>
      <c r="U7286" s="27"/>
    </row>
    <row r="7287">
      <c r="S7287" s="27"/>
      <c r="T7287" s="27"/>
      <c r="U7287" s="27"/>
    </row>
    <row r="7289">
      <c r="S7289" s="27"/>
      <c r="T7289" s="27"/>
      <c r="U7289" s="27"/>
    </row>
    <row r="7290">
      <c r="S7290" s="27"/>
      <c r="T7290" s="27"/>
      <c r="U7290" s="27"/>
    </row>
    <row r="7292">
      <c r="S7292" s="27"/>
      <c r="T7292" s="27"/>
      <c r="U7292" s="27"/>
    </row>
    <row r="7293">
      <c r="S7293" s="27"/>
      <c r="T7293" s="27"/>
      <c r="U7293" s="27"/>
    </row>
    <row r="7295">
      <c r="S7295" s="27"/>
      <c r="T7295" s="27"/>
      <c r="U7295" s="27"/>
    </row>
    <row r="7296">
      <c r="S7296" s="27"/>
      <c r="T7296" s="27"/>
      <c r="U7296" s="27"/>
    </row>
    <row r="7298">
      <c r="S7298" s="27"/>
      <c r="T7298" s="27"/>
      <c r="U7298" s="27"/>
    </row>
    <row r="7299">
      <c r="S7299" s="27"/>
      <c r="T7299" s="27"/>
      <c r="U7299" s="27"/>
    </row>
    <row r="7301">
      <c r="S7301" s="27"/>
      <c r="T7301" s="27"/>
      <c r="U7301" s="27"/>
    </row>
    <row r="7302">
      <c r="S7302" s="27"/>
      <c r="T7302" s="27"/>
      <c r="U7302" s="27"/>
    </row>
    <row r="7304">
      <c r="S7304" s="27"/>
      <c r="T7304" s="27"/>
      <c r="U7304" s="27"/>
    </row>
    <row r="7305">
      <c r="S7305" s="27"/>
      <c r="T7305" s="27"/>
      <c r="U7305" s="27"/>
    </row>
    <row r="7307">
      <c r="S7307" s="27"/>
      <c r="T7307" s="27"/>
      <c r="U7307" s="27"/>
    </row>
    <row r="7308">
      <c r="S7308" s="27"/>
      <c r="T7308" s="27"/>
      <c r="U7308" s="27"/>
    </row>
    <row r="7310">
      <c r="S7310" s="27"/>
      <c r="T7310" s="27"/>
      <c r="U7310" s="27"/>
    </row>
    <row r="7312">
      <c r="S7312" s="27"/>
    </row>
    <row r="7313">
      <c r="S7313" s="27"/>
      <c r="T7313" s="27"/>
      <c r="U7313" s="27"/>
    </row>
    <row r="7315">
      <c r="S7315" s="27"/>
      <c r="T7315" s="27"/>
      <c r="U7315" s="27"/>
    </row>
    <row r="7316">
      <c r="S7316" s="27"/>
      <c r="T7316" s="27"/>
      <c r="U7316" s="27"/>
    </row>
    <row r="7318">
      <c r="S7318" s="27"/>
      <c r="T7318" s="27"/>
      <c r="U7318" s="27"/>
    </row>
    <row r="7319">
      <c r="S7319" s="27"/>
      <c r="T7319" s="27"/>
      <c r="U7319" s="27"/>
    </row>
    <row r="7321">
      <c r="S7321" s="27"/>
      <c r="T7321" s="27"/>
      <c r="U7321" s="27"/>
    </row>
    <row r="7322">
      <c r="S7322" s="27"/>
      <c r="T7322" s="27"/>
      <c r="U7322" s="27"/>
    </row>
    <row r="7324">
      <c r="S7324" s="27"/>
      <c r="T7324" s="27"/>
      <c r="U7324" s="27"/>
    </row>
    <row r="7325">
      <c r="S7325" s="27"/>
      <c r="T7325" s="27"/>
      <c r="U7325" s="27"/>
    </row>
    <row r="7327">
      <c r="S7327" s="27"/>
      <c r="T7327" s="27"/>
      <c r="U7327" s="27"/>
    </row>
    <row r="7328">
      <c r="S7328" s="27"/>
      <c r="T7328" s="27"/>
      <c r="U7328" s="27"/>
    </row>
    <row r="7330">
      <c r="S7330" s="27"/>
      <c r="T7330" s="27"/>
      <c r="U7330" s="27"/>
    </row>
    <row r="7331">
      <c r="S7331" s="27"/>
      <c r="T7331" s="27"/>
      <c r="U7331" s="27"/>
    </row>
    <row r="7333">
      <c r="S7333" s="27"/>
      <c r="T7333" s="27"/>
      <c r="U7333" s="27"/>
    </row>
    <row r="7335">
      <c r="S7335" s="27"/>
      <c r="T7335" s="27"/>
      <c r="U7335" s="27"/>
    </row>
    <row r="7337">
      <c r="S7337" s="27"/>
      <c r="T7337" s="27"/>
      <c r="U7337" s="27"/>
    </row>
    <row r="7339">
      <c r="S7339" s="27"/>
      <c r="T7339" s="27"/>
      <c r="U7339" s="27"/>
    </row>
    <row r="7341">
      <c r="U7341" s="27"/>
    </row>
    <row r="7342">
      <c r="S7342" s="27"/>
      <c r="T7342" s="27"/>
      <c r="U7342" s="27"/>
    </row>
    <row r="7344">
      <c r="S7344" s="27"/>
      <c r="T7344" s="27"/>
      <c r="U7344" s="27"/>
    </row>
    <row r="7345">
      <c r="S7345" s="27"/>
      <c r="T7345" s="27"/>
      <c r="U7345" s="27"/>
    </row>
    <row r="7347">
      <c r="S7347" s="27"/>
      <c r="T7347" s="27"/>
      <c r="U7347" s="27"/>
    </row>
    <row r="7348">
      <c r="S7348" s="27"/>
      <c r="T7348" s="27"/>
      <c r="U7348" s="27"/>
    </row>
    <row r="7350">
      <c r="S7350" s="27"/>
      <c r="T7350" s="27"/>
      <c r="U7350" s="27"/>
    </row>
    <row r="7351">
      <c r="S7351" s="27"/>
      <c r="T7351" s="27"/>
      <c r="U7351" s="27"/>
    </row>
    <row r="7353">
      <c r="S7353" s="27"/>
      <c r="T7353" s="27"/>
      <c r="U7353" s="27"/>
    </row>
    <row r="7354">
      <c r="S7354" s="27"/>
      <c r="T7354" s="27"/>
      <c r="U7354" s="27"/>
    </row>
    <row r="7357">
      <c r="S7357" s="27"/>
      <c r="T7357" s="27"/>
      <c r="U7357" s="27"/>
    </row>
    <row r="7358">
      <c r="S7358" s="27"/>
      <c r="T7358" s="27"/>
      <c r="U7358" s="27"/>
    </row>
    <row r="7363">
      <c r="S7363" s="33"/>
      <c r="T7363" s="27"/>
      <c r="U7363" s="27"/>
    </row>
    <row r="7364">
      <c r="S7364" s="26"/>
    </row>
    <row r="7366">
      <c r="S7366" s="27"/>
      <c r="T7366" s="27"/>
      <c r="U7366" s="27"/>
    </row>
    <row r="7367">
      <c r="S7367" s="27"/>
      <c r="T7367" s="27"/>
      <c r="U7367" s="27"/>
    </row>
    <row r="7369">
      <c r="S7369" s="27"/>
      <c r="T7369" s="27"/>
      <c r="U7369" s="27"/>
    </row>
    <row r="7370">
      <c r="S7370" s="27"/>
      <c r="T7370" s="27"/>
      <c r="U7370" s="27"/>
    </row>
    <row r="7372">
      <c r="S7372" s="27"/>
      <c r="T7372" s="27"/>
      <c r="U7372" s="27"/>
    </row>
    <row r="7373">
      <c r="S7373" s="27"/>
      <c r="T7373" s="27"/>
      <c r="U7373" s="27"/>
    </row>
    <row r="7378">
      <c r="S7378" s="27"/>
      <c r="T7378" s="27"/>
      <c r="U7378" s="27"/>
    </row>
    <row r="7379">
      <c r="S7379" s="27"/>
      <c r="T7379" s="27"/>
      <c r="U7379" s="27"/>
    </row>
    <row r="7381">
      <c r="S7381" s="27"/>
      <c r="T7381" s="27"/>
      <c r="U7381" s="27"/>
    </row>
    <row r="7382">
      <c r="S7382" s="27"/>
      <c r="T7382" s="27"/>
      <c r="U7382" s="27"/>
    </row>
    <row r="7384">
      <c r="S7384" s="27"/>
      <c r="T7384" s="27"/>
      <c r="U7384" s="27"/>
    </row>
    <row r="7385">
      <c r="S7385" s="27"/>
      <c r="T7385" s="27"/>
      <c r="U7385" s="27"/>
    </row>
    <row r="7387">
      <c r="U7387" s="27"/>
    </row>
    <row r="7390">
      <c r="S7390" s="26"/>
      <c r="T7390" s="26"/>
      <c r="U7390" s="26"/>
    </row>
    <row r="7391">
      <c r="S7391" s="26"/>
      <c r="T7391" s="26"/>
      <c r="U7391" s="26"/>
    </row>
    <row r="7393">
      <c r="S7393" s="27"/>
      <c r="T7393" s="27"/>
      <c r="U7393" s="27"/>
    </row>
    <row r="7394">
      <c r="S7394" s="27"/>
      <c r="T7394" s="27"/>
      <c r="U7394" s="27"/>
    </row>
    <row r="7396">
      <c r="S7396" s="27"/>
      <c r="T7396" s="27"/>
      <c r="U7396" s="27"/>
    </row>
    <row r="7397">
      <c r="S7397" s="27"/>
      <c r="T7397" s="27"/>
      <c r="U7397" s="27"/>
    </row>
    <row r="7405">
      <c r="S7405" s="27"/>
      <c r="T7405" s="27"/>
      <c r="U7405" s="27"/>
    </row>
    <row r="7408">
      <c r="S7408" s="27"/>
      <c r="T7408" s="27"/>
      <c r="U7408" s="27"/>
    </row>
    <row r="7409">
      <c r="S7409" s="27"/>
      <c r="T7409" s="27"/>
      <c r="U7409" s="27"/>
    </row>
    <row r="7411">
      <c r="S7411" s="27"/>
      <c r="T7411" s="27"/>
      <c r="U7411" s="27"/>
    </row>
    <row r="7412">
      <c r="S7412" s="27"/>
      <c r="T7412" s="27"/>
      <c r="U7412" s="27"/>
    </row>
    <row r="7414">
      <c r="S7414" s="27"/>
      <c r="T7414" s="27"/>
      <c r="U7414" s="27"/>
    </row>
    <row r="7415">
      <c r="S7415" s="27"/>
      <c r="T7415" s="27"/>
      <c r="U7415" s="27"/>
    </row>
    <row r="7417">
      <c r="S7417" s="27"/>
      <c r="T7417" s="27"/>
      <c r="U7417" s="27"/>
    </row>
    <row r="7418">
      <c r="S7418" s="27"/>
      <c r="T7418" s="27"/>
      <c r="U7418" s="27"/>
    </row>
    <row r="7420">
      <c r="S7420" s="27"/>
      <c r="T7420" s="27"/>
      <c r="U7420" s="27"/>
    </row>
    <row r="7421">
      <c r="S7421" s="27"/>
      <c r="T7421" s="27"/>
      <c r="U7421" s="27"/>
    </row>
    <row r="7423">
      <c r="S7423" s="27"/>
      <c r="T7423" s="27"/>
      <c r="U7423" s="27"/>
    </row>
    <row r="7424">
      <c r="S7424" s="27"/>
      <c r="T7424" s="27"/>
      <c r="U7424" s="27"/>
    </row>
    <row r="7426">
      <c r="S7426" s="27"/>
      <c r="T7426" s="27"/>
      <c r="U7426" s="27"/>
    </row>
    <row r="7427">
      <c r="S7427" s="27"/>
      <c r="T7427" s="27"/>
      <c r="U7427" s="27"/>
    </row>
    <row r="7429">
      <c r="S7429" s="27"/>
      <c r="T7429" s="27"/>
      <c r="U7429" s="27"/>
    </row>
    <row r="7430">
      <c r="S7430" s="27"/>
      <c r="T7430" s="27"/>
      <c r="U7430" s="27"/>
    </row>
    <row r="7432">
      <c r="S7432" s="27"/>
      <c r="T7432" s="27"/>
      <c r="U7432" s="27"/>
    </row>
    <row r="7433">
      <c r="S7433" s="27"/>
      <c r="T7433" s="27"/>
      <c r="U7433" s="27"/>
    </row>
    <row r="7435">
      <c r="S7435" s="27"/>
      <c r="T7435" s="27"/>
      <c r="U7435" s="27"/>
    </row>
    <row r="7436">
      <c r="S7436" s="27"/>
      <c r="T7436" s="27"/>
      <c r="U7436" s="27"/>
    </row>
    <row r="7438">
      <c r="S7438" s="27"/>
      <c r="T7438" s="27"/>
      <c r="U7438" s="27"/>
    </row>
    <row r="7439">
      <c r="S7439" s="27"/>
      <c r="T7439" s="27"/>
      <c r="U7439" s="27"/>
    </row>
    <row r="7441">
      <c r="T7441" s="27"/>
      <c r="U7441" s="27"/>
    </row>
    <row r="7442">
      <c r="T7442" s="27"/>
      <c r="U7442" s="27"/>
    </row>
    <row r="7444">
      <c r="S7444" s="27"/>
      <c r="T7444" s="27"/>
      <c r="U7444" s="27"/>
    </row>
    <row r="7445">
      <c r="S7445" s="27"/>
      <c r="T7445" s="27"/>
      <c r="U7445" s="27"/>
    </row>
    <row r="7447">
      <c r="S7447" s="27"/>
      <c r="T7447" s="27"/>
      <c r="U7447" s="27"/>
    </row>
    <row r="7448">
      <c r="S7448" s="27"/>
      <c r="T7448" s="27"/>
      <c r="U7448" s="27"/>
    </row>
    <row r="7450">
      <c r="S7450" s="27"/>
      <c r="T7450" s="27"/>
      <c r="U7450" s="27"/>
    </row>
    <row r="7451">
      <c r="S7451" s="27"/>
      <c r="T7451" s="27"/>
      <c r="U7451" s="27"/>
    </row>
    <row r="7453">
      <c r="S7453" s="27"/>
      <c r="T7453" s="27"/>
      <c r="U7453" s="27"/>
    </row>
    <row r="7454">
      <c r="S7454" s="27"/>
      <c r="T7454" s="27"/>
      <c r="U7454" s="27"/>
    </row>
    <row r="7456">
      <c r="S7456" s="27"/>
      <c r="T7456" s="27"/>
      <c r="U7456" s="27"/>
    </row>
    <row r="7457">
      <c r="S7457" s="27"/>
      <c r="T7457" s="27"/>
      <c r="U7457" s="27"/>
    </row>
    <row r="7459">
      <c r="S7459" s="27"/>
      <c r="T7459" s="27"/>
      <c r="U7459" s="27"/>
    </row>
    <row r="7460">
      <c r="S7460" s="27"/>
      <c r="T7460" s="27"/>
      <c r="U7460" s="27"/>
    </row>
    <row r="7462">
      <c r="S7462" s="27"/>
      <c r="T7462" s="27"/>
      <c r="U7462" s="27"/>
    </row>
    <row r="7463">
      <c r="S7463" s="27"/>
      <c r="T7463" s="27"/>
      <c r="U7463" s="27"/>
    </row>
    <row r="7465">
      <c r="S7465" s="27"/>
      <c r="T7465" s="27"/>
      <c r="U7465" s="27"/>
    </row>
    <row r="7466">
      <c r="S7466" s="27"/>
      <c r="T7466" s="27"/>
      <c r="U7466" s="27"/>
    </row>
    <row r="7468">
      <c r="S7468" s="27"/>
      <c r="T7468" s="27"/>
      <c r="U7468" s="27"/>
    </row>
    <row r="7469">
      <c r="S7469" s="27"/>
      <c r="T7469" s="27"/>
      <c r="U7469" s="27"/>
    </row>
    <row r="7471">
      <c r="S7471" s="27"/>
      <c r="T7471" s="27"/>
      <c r="U7471" s="27"/>
    </row>
    <row r="7472">
      <c r="S7472" s="27"/>
      <c r="T7472" s="27"/>
      <c r="U7472" s="27"/>
    </row>
    <row r="7474">
      <c r="S7474" s="27"/>
      <c r="T7474" s="27"/>
      <c r="U7474" s="27"/>
    </row>
    <row r="7475">
      <c r="S7475" s="27"/>
      <c r="T7475" s="27"/>
      <c r="U7475" s="27"/>
    </row>
    <row r="7477">
      <c r="S7477" s="27"/>
      <c r="T7477" s="27"/>
      <c r="U7477" s="27"/>
    </row>
    <row r="7478">
      <c r="S7478" s="27"/>
      <c r="T7478" s="27"/>
      <c r="U7478" s="27"/>
    </row>
    <row r="7480">
      <c r="S7480" s="27"/>
      <c r="T7480" s="27"/>
      <c r="U7480" s="27"/>
    </row>
    <row r="7481">
      <c r="S7481" s="27"/>
      <c r="T7481" s="27"/>
      <c r="U7481" s="27"/>
    </row>
    <row r="7483">
      <c r="S7483" s="27"/>
      <c r="T7483" s="27"/>
      <c r="U7483" s="27"/>
    </row>
    <row r="7484">
      <c r="S7484" s="27"/>
      <c r="T7484" s="27"/>
      <c r="U7484" s="27"/>
    </row>
    <row r="7487">
      <c r="S7487" s="27"/>
      <c r="T7487" s="27"/>
      <c r="U7487" s="27"/>
    </row>
    <row r="7489">
      <c r="S7489" s="33"/>
      <c r="T7489" s="33"/>
      <c r="U7489" s="27"/>
    </row>
    <row r="7490">
      <c r="S7490" s="27"/>
      <c r="T7490" s="27"/>
      <c r="U7490" s="27"/>
    </row>
    <row r="7492">
      <c r="S7492" s="27"/>
      <c r="T7492" s="27"/>
      <c r="U7492" s="27"/>
    </row>
    <row r="7493">
      <c r="S7493" s="27"/>
      <c r="T7493" s="27"/>
      <c r="U7493" s="27"/>
    </row>
    <row r="7495">
      <c r="S7495" s="27"/>
      <c r="T7495" s="26"/>
      <c r="U7495" s="26"/>
    </row>
    <row r="7496">
      <c r="S7496" s="26"/>
      <c r="T7496" s="26"/>
      <c r="U7496" s="26"/>
    </row>
    <row r="7498">
      <c r="S7498" s="27"/>
      <c r="T7498" s="27"/>
      <c r="U7498" s="27"/>
    </row>
    <row r="7499">
      <c r="S7499" s="27"/>
      <c r="T7499" s="27"/>
      <c r="U7499" s="27"/>
    </row>
    <row r="7501">
      <c r="S7501" s="27"/>
      <c r="T7501" s="27"/>
      <c r="U7501" s="27"/>
    </row>
    <row r="7502">
      <c r="S7502" s="27"/>
      <c r="T7502" s="27"/>
      <c r="U7502" s="27"/>
    </row>
    <row r="7504">
      <c r="S7504" s="27"/>
      <c r="T7504" s="27"/>
      <c r="U7504" s="27"/>
    </row>
    <row r="7505">
      <c r="S7505" s="27"/>
      <c r="T7505" s="27"/>
      <c r="U7505" s="27"/>
    </row>
    <row r="7513">
      <c r="S7513" s="27"/>
      <c r="T7513" s="27"/>
      <c r="U7513" s="27"/>
    </row>
    <row r="7515">
      <c r="S7515" s="27"/>
      <c r="T7515" s="27"/>
      <c r="U7515" s="27"/>
    </row>
    <row r="7517">
      <c r="S7517" s="26"/>
      <c r="T7517" s="26"/>
      <c r="U7517" s="26"/>
    </row>
    <row r="7520">
      <c r="S7520" s="27"/>
      <c r="T7520" s="27"/>
      <c r="U7520" s="27"/>
    </row>
    <row r="7523">
      <c r="S7523" s="27"/>
      <c r="T7523" s="27"/>
      <c r="U7523" s="27"/>
    </row>
    <row r="7524">
      <c r="S7524" s="27"/>
      <c r="T7524" s="27"/>
      <c r="U7524" s="27"/>
    </row>
    <row r="7527">
      <c r="S7527" s="27"/>
      <c r="T7527" s="27"/>
      <c r="U7527" s="27"/>
    </row>
    <row r="7529">
      <c r="S7529" s="27"/>
      <c r="T7529" s="27"/>
      <c r="U7529" s="27"/>
    </row>
    <row r="7530">
      <c r="U7530" s="27"/>
    </row>
    <row r="7532">
      <c r="S7532" s="27"/>
      <c r="T7532" s="27"/>
      <c r="U7532" s="27"/>
    </row>
    <row r="7533">
      <c r="S7533" s="26"/>
      <c r="T7533" s="26"/>
      <c r="U7533" s="27"/>
    </row>
    <row r="7535">
      <c r="S7535" s="27"/>
      <c r="T7535" s="27"/>
      <c r="U7535" s="27"/>
    </row>
    <row r="7536">
      <c r="S7536" s="27"/>
      <c r="T7536" s="27"/>
      <c r="U7536" s="27"/>
    </row>
    <row r="7539">
      <c r="S7539" s="26"/>
      <c r="T7539" s="26"/>
      <c r="U7539" s="26"/>
    </row>
    <row r="7541">
      <c r="S7541" s="27"/>
      <c r="T7541" s="27"/>
      <c r="U7541" s="27"/>
    </row>
    <row r="7542">
      <c r="S7542" s="27"/>
      <c r="T7542" s="27"/>
      <c r="U7542" s="27"/>
    </row>
    <row r="7544">
      <c r="S7544" s="27"/>
      <c r="T7544" s="27"/>
      <c r="U7544" s="27"/>
    </row>
    <row r="7545">
      <c r="S7545" s="27"/>
      <c r="T7545" s="27"/>
      <c r="U7545" s="27"/>
    </row>
    <row r="7547">
      <c r="S7547" s="27"/>
    </row>
    <row r="7548">
      <c r="S7548" s="27"/>
      <c r="T7548" s="27"/>
      <c r="U7548" s="27"/>
    </row>
    <row r="7550">
      <c r="S7550" s="33"/>
      <c r="T7550" s="33"/>
      <c r="U7550" s="33"/>
    </row>
    <row r="7556">
      <c r="S7556" s="27"/>
      <c r="T7556" s="27"/>
      <c r="U7556" s="27"/>
    </row>
    <row r="7559">
      <c r="S7559" s="27"/>
      <c r="T7559" s="27"/>
      <c r="U7559" s="27"/>
    </row>
    <row r="7560">
      <c r="S7560" s="33"/>
      <c r="T7560" s="33"/>
      <c r="U7560" s="33"/>
    </row>
    <row r="7562">
      <c r="S7562" s="27"/>
    </row>
    <row r="7563">
      <c r="T7563" s="26"/>
      <c r="U7563" s="26"/>
    </row>
    <row r="7565">
      <c r="S7565" s="27"/>
      <c r="T7565" s="27"/>
      <c r="U7565" s="27"/>
    </row>
    <row r="7566">
      <c r="S7566" s="27"/>
      <c r="T7566" s="27"/>
      <c r="U7566" s="27"/>
    </row>
    <row r="7568">
      <c r="S7568" s="27"/>
      <c r="T7568" s="27"/>
      <c r="U7568" s="27"/>
    </row>
    <row r="7569">
      <c r="S7569" s="27"/>
      <c r="T7569" s="27"/>
      <c r="U7569" s="27"/>
    </row>
    <row r="7572">
      <c r="S7572" s="27"/>
      <c r="T7572" s="27"/>
      <c r="U7572" s="27"/>
    </row>
    <row r="7574">
      <c r="S7574" s="27"/>
      <c r="T7574" s="27"/>
      <c r="U7574" s="27"/>
    </row>
    <row r="7575">
      <c r="S7575" s="27"/>
      <c r="T7575" s="27"/>
      <c r="U7575" s="27"/>
    </row>
    <row r="7577">
      <c r="U7577" s="34"/>
    </row>
    <row r="7580">
      <c r="S7580" s="27"/>
      <c r="T7580" s="27"/>
      <c r="U7580" s="33"/>
    </row>
    <row r="7581">
      <c r="S7581" s="27"/>
      <c r="T7581" s="27"/>
      <c r="U7581" s="27"/>
    </row>
    <row r="7583">
      <c r="S7583" s="27"/>
      <c r="T7583" s="27"/>
      <c r="U7583" s="27"/>
    </row>
    <row r="7584">
      <c r="S7584" s="27"/>
      <c r="T7584" s="27"/>
      <c r="U7584" s="27"/>
    </row>
    <row r="7586">
      <c r="S7586" s="27"/>
      <c r="T7586" s="27"/>
      <c r="U7586" s="27"/>
    </row>
    <row r="7589">
      <c r="S7589" s="27"/>
      <c r="T7589" s="27"/>
      <c r="U7589" s="26"/>
    </row>
    <row r="7590">
      <c r="T7590" s="27"/>
    </row>
    <row r="7592">
      <c r="S7592" s="27"/>
      <c r="T7592" s="27"/>
      <c r="U7592" s="27"/>
    </row>
    <row r="7593">
      <c r="S7593" s="27"/>
      <c r="T7593" s="27"/>
      <c r="U7593" s="27"/>
    </row>
    <row r="7595">
      <c r="S7595" s="27"/>
      <c r="T7595" s="27"/>
      <c r="U7595" s="27"/>
    </row>
    <row r="7596">
      <c r="S7596" s="27"/>
      <c r="T7596" s="27"/>
      <c r="U7596" s="27"/>
    </row>
    <row r="7601">
      <c r="S7601" s="27"/>
      <c r="T7601" s="27"/>
      <c r="U7601" s="27"/>
    </row>
    <row r="7602">
      <c r="S7602" s="27"/>
      <c r="T7602" s="27"/>
      <c r="U7602" s="27"/>
    </row>
    <row r="7604">
      <c r="S7604" s="26"/>
      <c r="T7604" s="26"/>
      <c r="U7604" s="26"/>
    </row>
    <row r="7607">
      <c r="S7607" s="27"/>
      <c r="T7607" s="33"/>
      <c r="U7607" s="27"/>
    </row>
    <row r="7610">
      <c r="S7610" s="27"/>
      <c r="T7610" s="27"/>
      <c r="U7610" s="27"/>
    </row>
    <row r="7611">
      <c r="S7611" s="27"/>
      <c r="T7611" s="27"/>
      <c r="U7611" s="27"/>
    </row>
    <row r="7613">
      <c r="S7613" s="27"/>
      <c r="T7613" s="27"/>
      <c r="U7613" s="27"/>
    </row>
    <row r="7614">
      <c r="S7614" s="27"/>
      <c r="T7614" s="27"/>
      <c r="U7614" s="27"/>
    </row>
    <row r="7616">
      <c r="S7616" s="27"/>
      <c r="T7616" s="27"/>
      <c r="U7616" s="27"/>
    </row>
    <row r="7617">
      <c r="S7617" s="27"/>
      <c r="T7617" s="27"/>
      <c r="U7617" s="27"/>
    </row>
    <row r="7619">
      <c r="S7619" s="27"/>
    </row>
    <row r="7620">
      <c r="T7620" s="26"/>
      <c r="U7620" s="26"/>
    </row>
    <row r="7622">
      <c r="S7622" s="27"/>
      <c r="T7622" s="27"/>
      <c r="U7622" s="27"/>
    </row>
    <row r="7623">
      <c r="S7623" s="27"/>
      <c r="T7623" s="27"/>
      <c r="U7623" s="27"/>
    </row>
    <row r="7625">
      <c r="S7625" s="27"/>
      <c r="T7625" s="27"/>
      <c r="U7625" s="27"/>
    </row>
    <row r="7626">
      <c r="S7626" s="27"/>
      <c r="T7626" s="27"/>
      <c r="U7626" s="27"/>
    </row>
    <row r="7628">
      <c r="S7628" s="27"/>
      <c r="T7628" s="27"/>
      <c r="U7628" s="27"/>
    </row>
    <row r="7629">
      <c r="S7629" s="27"/>
      <c r="T7629" s="27"/>
      <c r="U7629" s="27"/>
    </row>
    <row r="7631">
      <c r="S7631" s="27"/>
      <c r="T7631" s="27"/>
      <c r="U7631" s="27"/>
    </row>
    <row r="7632">
      <c r="S7632" s="27"/>
      <c r="T7632" s="27"/>
      <c r="U7632" s="27"/>
    </row>
    <row r="7634">
      <c r="S7634" s="27"/>
      <c r="T7634" s="27"/>
      <c r="U7634" s="27"/>
    </row>
    <row r="7635">
      <c r="S7635" s="27"/>
      <c r="T7635" s="27"/>
      <c r="U7635" s="27"/>
    </row>
    <row r="7637">
      <c r="S7637" s="27"/>
      <c r="T7637" s="27"/>
      <c r="U7637" s="27"/>
    </row>
    <row r="7638">
      <c r="S7638" s="27"/>
      <c r="T7638" s="27"/>
      <c r="U7638" s="27"/>
    </row>
    <row r="7640">
      <c r="S7640" s="27"/>
      <c r="T7640" s="27"/>
      <c r="U7640" s="27"/>
    </row>
    <row r="7641">
      <c r="S7641" s="27"/>
      <c r="T7641" s="27"/>
      <c r="U7641" s="27"/>
    </row>
    <row r="7643">
      <c r="S7643" s="27"/>
      <c r="T7643" s="27"/>
      <c r="U7643" s="27"/>
    </row>
    <row r="7644">
      <c r="S7644" s="27"/>
      <c r="T7644" s="27"/>
      <c r="U7644" s="27"/>
    </row>
    <row r="7646">
      <c r="S7646" s="27"/>
      <c r="T7646" s="27"/>
      <c r="U7646" s="27"/>
    </row>
    <row r="7647">
      <c r="S7647" s="27"/>
      <c r="T7647" s="27"/>
      <c r="U7647" s="27"/>
    </row>
    <row r="7649">
      <c r="S7649" s="27"/>
      <c r="T7649" s="27"/>
      <c r="U7649" s="27"/>
    </row>
    <row r="7650">
      <c r="S7650" s="27"/>
      <c r="T7650" s="27"/>
      <c r="U7650" s="27"/>
    </row>
    <row r="7652">
      <c r="S7652" s="27"/>
      <c r="T7652" s="27"/>
      <c r="U7652" s="27"/>
    </row>
    <row r="7653">
      <c r="S7653" s="27"/>
      <c r="T7653" s="27"/>
      <c r="U7653" s="27"/>
    </row>
    <row r="7655">
      <c r="S7655" s="27"/>
      <c r="T7655" s="27"/>
      <c r="U7655" s="27"/>
    </row>
    <row r="7656">
      <c r="S7656" s="27"/>
      <c r="T7656" s="27"/>
      <c r="U7656" s="27"/>
    </row>
    <row r="7658">
      <c r="S7658" s="27"/>
      <c r="T7658" s="27"/>
      <c r="U7658" s="27"/>
    </row>
    <row r="7659">
      <c r="S7659" s="27"/>
      <c r="T7659" s="27"/>
      <c r="U7659" s="27"/>
    </row>
    <row r="7661">
      <c r="S7661" s="27"/>
      <c r="T7661" s="27"/>
      <c r="U7661" s="27"/>
    </row>
    <row r="7662">
      <c r="S7662" s="27"/>
      <c r="T7662" s="27"/>
      <c r="U7662" s="27"/>
    </row>
    <row r="7664">
      <c r="S7664" s="27"/>
      <c r="T7664" s="27"/>
      <c r="U7664" s="27"/>
    </row>
    <row r="7665">
      <c r="S7665" s="27"/>
      <c r="T7665" s="27"/>
      <c r="U7665" s="27"/>
    </row>
    <row r="7667">
      <c r="S7667" s="27"/>
      <c r="T7667" s="27"/>
      <c r="U7667" s="27"/>
    </row>
    <row r="7668">
      <c r="S7668" s="27"/>
      <c r="T7668" s="27"/>
      <c r="U7668" s="27"/>
    </row>
    <row r="7670">
      <c r="S7670" s="27"/>
      <c r="T7670" s="27"/>
      <c r="U7670" s="27"/>
    </row>
    <row r="7671">
      <c r="S7671" s="27"/>
      <c r="T7671" s="27"/>
      <c r="U7671" s="27"/>
    </row>
    <row r="7673">
      <c r="S7673" s="27"/>
      <c r="T7673" s="27"/>
      <c r="U7673" s="27"/>
    </row>
    <row r="7674">
      <c r="S7674" s="27"/>
      <c r="T7674" s="27"/>
      <c r="U7674" s="27"/>
    </row>
    <row r="7676">
      <c r="S7676" s="27"/>
      <c r="T7676" s="27"/>
      <c r="U7676" s="27"/>
    </row>
    <row r="7677">
      <c r="S7677" s="27"/>
      <c r="T7677" s="27"/>
      <c r="U7677" s="27"/>
    </row>
    <row r="7679">
      <c r="S7679" s="27"/>
      <c r="T7679" s="27"/>
      <c r="U7679" s="27"/>
    </row>
    <row r="7680">
      <c r="S7680" s="27"/>
      <c r="T7680" s="27"/>
      <c r="U7680" s="27"/>
    </row>
    <row r="7682">
      <c r="S7682" s="27"/>
      <c r="T7682" s="27"/>
      <c r="U7682" s="27"/>
    </row>
    <row r="7683">
      <c r="S7683" s="27"/>
      <c r="T7683" s="27"/>
      <c r="U7683" s="27"/>
    </row>
    <row r="7685">
      <c r="S7685" s="27"/>
      <c r="T7685" s="27"/>
      <c r="U7685" s="27"/>
    </row>
    <row r="7686">
      <c r="S7686" s="27"/>
      <c r="T7686" s="27"/>
      <c r="U7686" s="27"/>
    </row>
    <row r="7688">
      <c r="S7688" s="27"/>
      <c r="T7688" s="27"/>
      <c r="U7688" s="27"/>
    </row>
    <row r="7689">
      <c r="S7689" s="27"/>
      <c r="T7689" s="27"/>
      <c r="U7689" s="27"/>
    </row>
    <row r="7691">
      <c r="S7691" s="27"/>
      <c r="T7691" s="27"/>
      <c r="U7691" s="27"/>
    </row>
    <row r="7692">
      <c r="S7692" s="27"/>
      <c r="T7692" s="27"/>
      <c r="U7692" s="27"/>
    </row>
    <row r="7694">
      <c r="S7694" s="27"/>
      <c r="T7694" s="27"/>
      <c r="U7694" s="27"/>
    </row>
    <row r="7695">
      <c r="S7695" s="27"/>
      <c r="T7695" s="27"/>
      <c r="U7695" s="27"/>
    </row>
    <row r="7697">
      <c r="S7697" s="27"/>
      <c r="T7697" s="27"/>
      <c r="U7697" s="27"/>
    </row>
    <row r="7698">
      <c r="S7698" s="27"/>
      <c r="T7698" s="27"/>
      <c r="U7698" s="27"/>
    </row>
    <row r="7700">
      <c r="S7700" s="27"/>
      <c r="T7700" s="27"/>
      <c r="U7700" s="27"/>
    </row>
    <row r="7701">
      <c r="S7701" s="27"/>
      <c r="T7701" s="27"/>
      <c r="U7701" s="27"/>
    </row>
    <row r="7703">
      <c r="S7703" s="27"/>
      <c r="T7703" s="27"/>
      <c r="U7703" s="27"/>
    </row>
    <row r="7704">
      <c r="S7704" s="27"/>
      <c r="T7704" s="27"/>
      <c r="U7704" s="27"/>
    </row>
    <row r="7706">
      <c r="S7706" s="27"/>
      <c r="T7706" s="27"/>
      <c r="U7706" s="27"/>
    </row>
    <row r="7707">
      <c r="S7707" s="27"/>
      <c r="T7707" s="27"/>
      <c r="U7707" s="27"/>
    </row>
    <row r="7709">
      <c r="S7709" s="27"/>
      <c r="T7709" s="27"/>
      <c r="U7709" s="27"/>
    </row>
    <row r="7710">
      <c r="S7710" s="27"/>
      <c r="T7710" s="27"/>
      <c r="U7710" s="27"/>
    </row>
    <row r="7712">
      <c r="S7712" s="27"/>
      <c r="T7712" s="27"/>
      <c r="U7712" s="27"/>
    </row>
    <row r="7713">
      <c r="S7713" s="27"/>
      <c r="T7713" s="27"/>
      <c r="U7713" s="27"/>
    </row>
    <row r="7715">
      <c r="S7715" s="27"/>
      <c r="T7715" s="27"/>
      <c r="U7715" s="27"/>
    </row>
    <row r="7716">
      <c r="S7716" s="27"/>
      <c r="T7716" s="27"/>
      <c r="U7716" s="27"/>
    </row>
    <row r="7718">
      <c r="S7718" s="27"/>
      <c r="T7718" s="27"/>
      <c r="U7718" s="27"/>
    </row>
    <row r="7720">
      <c r="S7720" s="27"/>
      <c r="T7720" s="27"/>
      <c r="U7720" s="27"/>
    </row>
    <row r="7721">
      <c r="S7721" s="27"/>
      <c r="T7721" s="27"/>
      <c r="U7721" s="27"/>
    </row>
    <row r="7723">
      <c r="S7723" s="27"/>
      <c r="T7723" s="27"/>
      <c r="U7723" s="27"/>
    </row>
    <row r="7724">
      <c r="S7724" s="27"/>
      <c r="T7724" s="27"/>
      <c r="U7724" s="27"/>
    </row>
    <row r="7726">
      <c r="S7726" s="27"/>
      <c r="T7726" s="27"/>
      <c r="U7726" s="27"/>
    </row>
    <row r="7727">
      <c r="S7727" s="27"/>
      <c r="T7727" s="27"/>
      <c r="U7727" s="27"/>
    </row>
    <row r="7729">
      <c r="S7729" s="27"/>
      <c r="T7729" s="27"/>
      <c r="U7729" s="27"/>
    </row>
    <row r="7730">
      <c r="S7730" s="27"/>
      <c r="T7730" s="27"/>
      <c r="U7730" s="27"/>
    </row>
    <row r="7732">
      <c r="S7732" s="27"/>
      <c r="T7732" s="27"/>
      <c r="U7732" s="27"/>
    </row>
    <row r="7733">
      <c r="S7733" s="27"/>
      <c r="T7733" s="27"/>
      <c r="U7733" s="27"/>
    </row>
    <row r="7735">
      <c r="S7735" s="27"/>
      <c r="T7735" s="27"/>
      <c r="U7735" s="27"/>
    </row>
    <row r="7736">
      <c r="S7736" s="27"/>
      <c r="T7736" s="27"/>
      <c r="U7736" s="27"/>
    </row>
    <row r="7738">
      <c r="S7738" s="27"/>
      <c r="T7738" s="27"/>
      <c r="U7738" s="27"/>
    </row>
    <row r="7739">
      <c r="S7739" s="27"/>
      <c r="T7739" s="27"/>
      <c r="U7739" s="27"/>
    </row>
    <row r="7741">
      <c r="S7741" s="27"/>
      <c r="T7741" s="27"/>
      <c r="U7741" s="27"/>
    </row>
    <row r="7743">
      <c r="S7743" s="27"/>
      <c r="T7743" s="27"/>
      <c r="U7743" s="27"/>
    </row>
    <row r="7745">
      <c r="T7745" s="27"/>
      <c r="U7745" s="27"/>
    </row>
    <row r="7747">
      <c r="S7747" s="27"/>
      <c r="T7747" s="27"/>
      <c r="U7747" s="27"/>
    </row>
    <row r="7749">
      <c r="S7749" s="27"/>
      <c r="T7749" s="27"/>
      <c r="U7749" s="27"/>
    </row>
    <row r="7750">
      <c r="S7750" s="27"/>
      <c r="T7750" s="27"/>
      <c r="U7750" s="27"/>
    </row>
    <row r="7752">
      <c r="S7752" s="27"/>
      <c r="T7752" s="27"/>
      <c r="U7752" s="27"/>
    </row>
    <row r="7753">
      <c r="S7753" s="27"/>
      <c r="T7753" s="27"/>
      <c r="U7753" s="27"/>
    </row>
    <row r="7755">
      <c r="S7755" s="27"/>
      <c r="T7755" s="27"/>
      <c r="U7755" s="27"/>
    </row>
    <row r="7756">
      <c r="S7756" s="27"/>
      <c r="T7756" s="27"/>
    </row>
    <row r="7758">
      <c r="S7758" s="27"/>
      <c r="T7758" s="27"/>
      <c r="U7758" s="27"/>
    </row>
    <row r="7759">
      <c r="S7759" s="27"/>
      <c r="T7759" s="27"/>
      <c r="U7759" s="27"/>
    </row>
    <row r="7761">
      <c r="S7761" s="27"/>
      <c r="T7761" s="27"/>
      <c r="U7761" s="27"/>
    </row>
    <row r="7762">
      <c r="S7762" s="27"/>
      <c r="T7762" s="27"/>
      <c r="U7762" s="27"/>
    </row>
    <row r="7764">
      <c r="S7764" s="27"/>
      <c r="T7764" s="27"/>
      <c r="U7764" s="27"/>
    </row>
    <row r="7765">
      <c r="S7765" s="27"/>
      <c r="T7765" s="27"/>
      <c r="U7765" s="27"/>
    </row>
    <row r="7773">
      <c r="S7773" s="27"/>
      <c r="T7773" s="27"/>
      <c r="U7773" s="27"/>
    </row>
    <row r="7776">
      <c r="S7776" s="27"/>
      <c r="T7776" s="27"/>
      <c r="U7776" s="27"/>
    </row>
    <row r="7777">
      <c r="S7777" s="27"/>
      <c r="T7777" s="27"/>
      <c r="U7777" s="27"/>
    </row>
    <row r="7779">
      <c r="S7779" s="27"/>
      <c r="T7779" s="27"/>
      <c r="U7779" s="27"/>
    </row>
    <row r="7780">
      <c r="S7780" s="27"/>
      <c r="T7780" s="27"/>
      <c r="U7780" s="27"/>
    </row>
    <row r="7782">
      <c r="S7782" s="27"/>
      <c r="T7782" s="27"/>
      <c r="U7782" s="27"/>
    </row>
    <row r="7783">
      <c r="S7783" s="27"/>
      <c r="T7783" s="27"/>
      <c r="U7783" s="27"/>
    </row>
    <row r="7785">
      <c r="S7785" s="26"/>
      <c r="T7785" s="26"/>
      <c r="U7785" s="26"/>
    </row>
    <row r="7788">
      <c r="S7788" s="27"/>
      <c r="T7788" s="27"/>
      <c r="U7788" s="27"/>
    </row>
    <row r="7789">
      <c r="S7789" s="27"/>
      <c r="T7789" s="27"/>
      <c r="U7789" s="27"/>
    </row>
    <row r="7791">
      <c r="S7791" s="27"/>
      <c r="T7791" s="27"/>
      <c r="U7791" s="27"/>
    </row>
    <row r="7792">
      <c r="S7792" s="27"/>
      <c r="T7792" s="27"/>
      <c r="U7792" s="27"/>
    </row>
    <row r="7794">
      <c r="S7794" s="26"/>
      <c r="T7794" s="27"/>
      <c r="U7794" s="26"/>
    </row>
    <row r="7795">
      <c r="T7795" s="27"/>
    </row>
    <row r="7800">
      <c r="S7800" s="26"/>
      <c r="T7800" s="26"/>
      <c r="U7800" s="26"/>
    </row>
    <row r="7803">
      <c r="S7803" s="27"/>
      <c r="T7803" s="27"/>
      <c r="U7803" s="27"/>
    </row>
    <row r="7804">
      <c r="S7804" s="27"/>
      <c r="T7804" s="27"/>
      <c r="U7804" s="27"/>
    </row>
    <row r="7806">
      <c r="S7806" s="27"/>
      <c r="T7806" s="27"/>
      <c r="U7806" s="27"/>
    </row>
    <row r="7807">
      <c r="S7807" s="27"/>
      <c r="T7807" s="27"/>
      <c r="U7807" s="27"/>
    </row>
    <row r="7809">
      <c r="S7809" s="26"/>
      <c r="T7809" s="26"/>
      <c r="U7809" s="26"/>
    </row>
    <row r="7815">
      <c r="S7815" s="27"/>
      <c r="T7815" s="27"/>
      <c r="U7815" s="27"/>
    </row>
    <row r="7818">
      <c r="S7818" s="27"/>
      <c r="T7818" s="27"/>
      <c r="U7818" s="27"/>
    </row>
    <row r="7819">
      <c r="S7819" s="27"/>
      <c r="T7819" s="27"/>
      <c r="U7819" s="27"/>
    </row>
    <row r="7821">
      <c r="S7821" s="27"/>
      <c r="T7821" s="27"/>
      <c r="U7821" s="27"/>
    </row>
    <row r="7822">
      <c r="S7822" s="27"/>
      <c r="T7822" s="27"/>
      <c r="U7822" s="27"/>
    </row>
    <row r="7824">
      <c r="S7824" s="27"/>
      <c r="T7824" s="27"/>
      <c r="U7824" s="27"/>
    </row>
    <row r="7825">
      <c r="S7825" s="27"/>
      <c r="T7825" s="27"/>
      <c r="U7825" s="27"/>
    </row>
    <row r="7827">
      <c r="S7827" s="27"/>
      <c r="T7827" s="27"/>
      <c r="U7827" s="27"/>
    </row>
    <row r="7828">
      <c r="S7828" s="27"/>
      <c r="T7828" s="27"/>
      <c r="U7828" s="27"/>
    </row>
    <row r="7830">
      <c r="S7830" s="27"/>
      <c r="T7830" s="27"/>
      <c r="U7830" s="27"/>
    </row>
    <row r="7831">
      <c r="S7831" s="27"/>
      <c r="T7831" s="27"/>
      <c r="U7831" s="27"/>
    </row>
    <row r="7833">
      <c r="S7833" s="27"/>
      <c r="T7833" s="27"/>
      <c r="U7833" s="27"/>
    </row>
    <row r="7834">
      <c r="S7834" s="27"/>
      <c r="T7834" s="27"/>
      <c r="U7834" s="27"/>
    </row>
    <row r="7836">
      <c r="S7836" s="27"/>
      <c r="T7836" s="27"/>
      <c r="U7836" s="27"/>
    </row>
    <row r="7837">
      <c r="S7837" s="27"/>
      <c r="T7837" s="27"/>
      <c r="U7837" s="27"/>
    </row>
    <row r="7839">
      <c r="S7839" s="27"/>
      <c r="T7839" s="27"/>
      <c r="U7839" s="27"/>
    </row>
    <row r="7840">
      <c r="S7840" s="27"/>
      <c r="T7840" s="27"/>
      <c r="U7840" s="27"/>
    </row>
    <row r="7842">
      <c r="S7842" s="27"/>
      <c r="T7842" s="27"/>
      <c r="U7842" s="27"/>
    </row>
    <row r="7843">
      <c r="S7843" s="27"/>
      <c r="T7843" s="27"/>
      <c r="U7843" s="27"/>
    </row>
    <row r="7845">
      <c r="S7845" s="27"/>
      <c r="T7845" s="27"/>
      <c r="U7845" s="27"/>
    </row>
    <row r="7846">
      <c r="S7846" s="27"/>
      <c r="T7846" s="27"/>
      <c r="U7846" s="27"/>
    </row>
    <row r="7848">
      <c r="S7848" s="27"/>
      <c r="T7848" s="27"/>
      <c r="U7848" s="27"/>
    </row>
    <row r="7849">
      <c r="S7849" s="27"/>
      <c r="T7849" s="27"/>
      <c r="U7849" s="27"/>
    </row>
    <row r="7851">
      <c r="S7851" s="27"/>
      <c r="T7851" s="27"/>
      <c r="U7851" s="27"/>
    </row>
    <row r="7852">
      <c r="S7852" s="27"/>
      <c r="T7852" s="27"/>
      <c r="U7852" s="27"/>
    </row>
    <row r="7854">
      <c r="S7854" s="27"/>
      <c r="T7854" s="27"/>
      <c r="U7854" s="27"/>
    </row>
    <row r="7855">
      <c r="S7855" s="27"/>
      <c r="T7855" s="27"/>
      <c r="U7855" s="27"/>
    </row>
    <row r="7857">
      <c r="S7857" s="27"/>
      <c r="T7857" s="27"/>
      <c r="U7857" s="27"/>
    </row>
    <row r="7858">
      <c r="S7858" s="27"/>
      <c r="T7858" s="27"/>
      <c r="U7858" s="27"/>
    </row>
    <row r="7860">
      <c r="S7860" s="27"/>
      <c r="T7860" s="27"/>
      <c r="U7860" s="27"/>
    </row>
    <row r="7861">
      <c r="S7861" s="27"/>
      <c r="T7861" s="27"/>
      <c r="U7861" s="27"/>
    </row>
    <row r="7863">
      <c r="S7863" s="27"/>
      <c r="T7863" s="27"/>
      <c r="U7863" s="27"/>
    </row>
    <row r="7864">
      <c r="S7864" s="27"/>
      <c r="T7864" s="27"/>
      <c r="U7864" s="27"/>
    </row>
    <row r="7866">
      <c r="S7866" s="27"/>
      <c r="T7866" s="27"/>
      <c r="U7866" s="27"/>
    </row>
    <row r="7867">
      <c r="S7867" s="27"/>
      <c r="T7867" s="27"/>
      <c r="U7867" s="27"/>
    </row>
    <row r="7869">
      <c r="S7869" s="27"/>
      <c r="T7869" s="27"/>
      <c r="U7869" s="27"/>
    </row>
    <row r="7870">
      <c r="S7870" s="27"/>
      <c r="T7870" s="27"/>
      <c r="U7870" s="27"/>
    </row>
    <row r="7872">
      <c r="S7872" s="27"/>
      <c r="T7872" s="27"/>
      <c r="U7872" s="27"/>
    </row>
    <row r="7873">
      <c r="S7873" s="27"/>
      <c r="T7873" s="27"/>
      <c r="U7873" s="27"/>
    </row>
    <row r="7875">
      <c r="S7875" s="27"/>
      <c r="T7875" s="27"/>
      <c r="U7875" s="27"/>
    </row>
    <row r="7876">
      <c r="S7876" s="27"/>
      <c r="T7876" s="27"/>
      <c r="U7876" s="27"/>
    </row>
    <row r="7878">
      <c r="S7878" s="27"/>
      <c r="T7878" s="27"/>
      <c r="U7878" s="27"/>
    </row>
    <row r="7879">
      <c r="S7879" s="27"/>
      <c r="T7879" s="27"/>
      <c r="U7879" s="27"/>
    </row>
    <row r="7881">
      <c r="S7881" s="27"/>
      <c r="T7881" s="27"/>
      <c r="U7881" s="27"/>
    </row>
    <row r="7882">
      <c r="S7882" s="27"/>
      <c r="T7882" s="27"/>
      <c r="U7882" s="27"/>
    </row>
    <row r="7884">
      <c r="S7884" s="27"/>
      <c r="T7884" s="27"/>
      <c r="U7884" s="27"/>
    </row>
    <row r="7885">
      <c r="S7885" s="27"/>
      <c r="T7885" s="27"/>
      <c r="U7885" s="27"/>
    </row>
    <row r="7887">
      <c r="S7887" s="27"/>
      <c r="T7887" s="27"/>
      <c r="U7887" s="27"/>
    </row>
    <row r="7888">
      <c r="S7888" s="27"/>
      <c r="T7888" s="27"/>
      <c r="U7888" s="27"/>
    </row>
    <row r="7891">
      <c r="S7891" s="27"/>
      <c r="T7891" s="27"/>
      <c r="U7891" s="27"/>
    </row>
    <row r="7893">
      <c r="S7893" s="27"/>
      <c r="T7893" s="27"/>
      <c r="U7893" s="27"/>
    </row>
    <row r="7894">
      <c r="S7894" s="27"/>
      <c r="T7894" s="27"/>
      <c r="U7894" s="27"/>
    </row>
    <row r="7896">
      <c r="S7896" s="27"/>
      <c r="T7896" s="27"/>
      <c r="U7896" s="27"/>
    </row>
    <row r="7897">
      <c r="S7897" s="34"/>
      <c r="T7897" s="34"/>
      <c r="U7897" s="34"/>
    </row>
    <row r="7899">
      <c r="S7899" s="33"/>
      <c r="T7899" s="33"/>
      <c r="U7899" s="27"/>
    </row>
    <row r="7900">
      <c r="S7900" s="27"/>
      <c r="T7900" s="27"/>
      <c r="U7900" s="27"/>
    </row>
    <row r="7902">
      <c r="S7902" s="27"/>
      <c r="T7902" s="27"/>
      <c r="U7902" s="27"/>
    </row>
    <row r="7903">
      <c r="S7903" s="27"/>
      <c r="T7903" s="27"/>
      <c r="U7903" s="27"/>
    </row>
    <row r="7905">
      <c r="S7905" s="27"/>
      <c r="T7905" s="27"/>
      <c r="U7905" s="27"/>
    </row>
    <row r="7906">
      <c r="S7906" s="27"/>
    </row>
    <row r="7908">
      <c r="S7908" s="27"/>
      <c r="T7908" s="27"/>
      <c r="U7908" s="27"/>
    </row>
    <row r="7909">
      <c r="S7909" s="27"/>
      <c r="T7909" s="27"/>
      <c r="U7909" s="27"/>
    </row>
    <row r="7911">
      <c r="S7911" s="27"/>
      <c r="T7911" s="27"/>
      <c r="U7911" s="27"/>
    </row>
    <row r="7912">
      <c r="S7912" s="27"/>
      <c r="T7912" s="27"/>
      <c r="U7912" s="27"/>
    </row>
    <row r="7914">
      <c r="S7914" s="27"/>
      <c r="T7914" s="27"/>
      <c r="U7914" s="27"/>
    </row>
    <row r="7915">
      <c r="S7915" s="27"/>
      <c r="T7915" s="27"/>
      <c r="U7915" s="27"/>
    </row>
    <row r="7920">
      <c r="S7920" s="26"/>
      <c r="T7920" s="26"/>
      <c r="U7920" s="26"/>
    </row>
    <row r="7923">
      <c r="S7923" s="27"/>
      <c r="T7923" s="27"/>
      <c r="U7923" s="27"/>
    </row>
    <row r="7925">
      <c r="S7925" s="27"/>
      <c r="T7925" s="27"/>
      <c r="U7925" s="27"/>
    </row>
    <row r="7927">
      <c r="S7927" s="26"/>
      <c r="T7927" s="26"/>
      <c r="U7927" s="26"/>
    </row>
    <row r="7930">
      <c r="S7930" s="27"/>
      <c r="T7930" s="27"/>
      <c r="U7930" s="27"/>
    </row>
    <row r="7933">
      <c r="S7933" s="27"/>
      <c r="T7933" s="27"/>
      <c r="U7933" s="27"/>
    </row>
    <row r="7934">
      <c r="S7934" s="27"/>
      <c r="T7934" s="27"/>
      <c r="U7934" s="27"/>
    </row>
    <row r="7936">
      <c r="S7936" s="27"/>
      <c r="T7936" s="27"/>
      <c r="U7936" s="27"/>
    </row>
    <row r="7937">
      <c r="S7937" s="27"/>
      <c r="T7937" s="27"/>
      <c r="U7937" s="27"/>
    </row>
    <row r="7939">
      <c r="S7939" s="27"/>
      <c r="T7939" s="27"/>
      <c r="U7939" s="33"/>
    </row>
    <row r="7940">
      <c r="U7940" s="27"/>
    </row>
    <row r="7942">
      <c r="S7942" s="27"/>
      <c r="T7942" s="27"/>
      <c r="U7942" s="27"/>
    </row>
    <row r="7943">
      <c r="S7943" s="26"/>
      <c r="T7943" s="27"/>
      <c r="U7943" s="27"/>
    </row>
    <row r="7945">
      <c r="S7945" s="27"/>
      <c r="T7945" s="27"/>
      <c r="U7945" s="27"/>
    </row>
    <row r="7946">
      <c r="S7946" s="27"/>
      <c r="T7946" s="27"/>
      <c r="U7946" s="27"/>
    </row>
    <row r="7951">
      <c r="S7951" s="27"/>
      <c r="T7951" s="27"/>
      <c r="U7951" s="27"/>
    </row>
    <row r="7952">
      <c r="S7952" s="27"/>
      <c r="T7952" s="27"/>
      <c r="U7952" s="27"/>
    </row>
    <row r="7954">
      <c r="S7954" s="27"/>
      <c r="T7954" s="27"/>
      <c r="U7954" s="27"/>
    </row>
    <row r="7955">
      <c r="S7955" s="27"/>
      <c r="T7955" s="27"/>
      <c r="U7955" s="27"/>
    </row>
    <row r="7957">
      <c r="S7957" s="27"/>
      <c r="T7957" s="27"/>
      <c r="U7957" s="27"/>
    </row>
    <row r="7958">
      <c r="S7958" s="27"/>
      <c r="T7958" s="27"/>
      <c r="U7958" s="27"/>
    </row>
    <row r="7963">
      <c r="S7963" s="27"/>
      <c r="T7963" s="27"/>
      <c r="U7963" s="27"/>
    </row>
    <row r="7966">
      <c r="S7966" s="27"/>
      <c r="T7966" s="27"/>
      <c r="U7966" s="27"/>
    </row>
    <row r="7967">
      <c r="S7967" s="33"/>
      <c r="T7967" s="33"/>
      <c r="U7967" s="33"/>
    </row>
    <row r="7969">
      <c r="S7969" s="34"/>
      <c r="T7969" s="34"/>
      <c r="U7969" s="34"/>
    </row>
    <row r="7970">
      <c r="T7970" s="26"/>
      <c r="U7970" s="26"/>
    </row>
    <row r="7972">
      <c r="S7972" s="27"/>
      <c r="T7972" s="27"/>
      <c r="U7972" s="27"/>
    </row>
    <row r="7973">
      <c r="S7973" s="27"/>
      <c r="T7973" s="27"/>
      <c r="U7973" s="27"/>
    </row>
    <row r="7975">
      <c r="U7975" s="27"/>
    </row>
    <row r="7976">
      <c r="S7976" s="27"/>
      <c r="T7976" s="27"/>
      <c r="U7976" s="27"/>
    </row>
    <row r="7978">
      <c r="S7978" s="27"/>
      <c r="T7978" s="27"/>
      <c r="U7978" s="27"/>
    </row>
    <row r="7979">
      <c r="S7979" s="27"/>
      <c r="T7979" s="27"/>
      <c r="U7979" s="27"/>
    </row>
    <row r="7982">
      <c r="S7982" s="27"/>
      <c r="T7982" s="27"/>
      <c r="U7982" s="27"/>
    </row>
    <row r="7987">
      <c r="S7987" s="27"/>
      <c r="T7987" s="27"/>
      <c r="U7987" s="27"/>
    </row>
    <row r="7988">
      <c r="S7988" s="27"/>
      <c r="T7988" s="27"/>
      <c r="U7988" s="27"/>
    </row>
    <row r="7990">
      <c r="S7990" s="27"/>
      <c r="T7990" s="27"/>
      <c r="U7990" s="27"/>
    </row>
    <row r="7991">
      <c r="S7991" s="27"/>
      <c r="T7991" s="27"/>
      <c r="U7991" s="27"/>
    </row>
    <row r="7993">
      <c r="S7993" s="27"/>
      <c r="T7993" s="27"/>
      <c r="U7993" s="27"/>
    </row>
    <row r="7996">
      <c r="S7996" s="27"/>
      <c r="T7996" s="26"/>
      <c r="U7996" s="27"/>
    </row>
    <row r="7997">
      <c r="S7997" s="27"/>
      <c r="U7997" s="27"/>
    </row>
    <row r="8002">
      <c r="S8002" s="27"/>
      <c r="T8002" s="27"/>
      <c r="U8002" s="27"/>
    </row>
    <row r="8003">
      <c r="S8003" s="27"/>
      <c r="T8003" s="27"/>
      <c r="U8003" s="27"/>
    </row>
    <row r="8005">
      <c r="S8005" s="27"/>
      <c r="T8005" s="27"/>
      <c r="U8005" s="27"/>
    </row>
    <row r="8008">
      <c r="S8008" s="27"/>
      <c r="T8008" s="27"/>
      <c r="U8008" s="27"/>
    </row>
    <row r="8009">
      <c r="S8009" s="27"/>
      <c r="T8009" s="27"/>
      <c r="U8009" s="27"/>
    </row>
    <row r="8011">
      <c r="S8011" s="26"/>
      <c r="T8011" s="26"/>
      <c r="U8011" s="26"/>
    </row>
    <row r="8014">
      <c r="S8014" s="27"/>
      <c r="T8014" s="27"/>
      <c r="U8014" s="27"/>
    </row>
    <row r="8017">
      <c r="S8017" s="27"/>
      <c r="T8017" s="27"/>
      <c r="U8017" s="27"/>
    </row>
    <row r="8018">
      <c r="S8018" s="27"/>
      <c r="T8018" s="27"/>
      <c r="U8018" s="27"/>
    </row>
    <row r="8020">
      <c r="S8020" s="33"/>
      <c r="T8020" s="27"/>
      <c r="U8020" s="27"/>
    </row>
    <row r="8021">
      <c r="S8021" s="27"/>
      <c r="T8021" s="27"/>
      <c r="U8021" s="27"/>
    </row>
    <row r="8023">
      <c r="S8023" s="27"/>
      <c r="T8023" s="27"/>
      <c r="U8023" s="27"/>
    </row>
    <row r="8024">
      <c r="S8024" s="27"/>
      <c r="T8024" s="27"/>
      <c r="U8024" s="27"/>
    </row>
    <row r="8026">
      <c r="S8026" s="27"/>
    </row>
    <row r="8027">
      <c r="T8027" s="26"/>
      <c r="U8027" s="26"/>
    </row>
    <row r="8029">
      <c r="T8029" s="27"/>
      <c r="U8029" s="27"/>
    </row>
    <row r="8030">
      <c r="S8030" s="27"/>
      <c r="T8030" s="27"/>
      <c r="U8030" s="27"/>
    </row>
    <row r="8032">
      <c r="S8032" s="27"/>
      <c r="T8032" s="27"/>
      <c r="U8032" s="27"/>
    </row>
    <row r="8033">
      <c r="S8033" s="27"/>
      <c r="T8033" s="27"/>
      <c r="U8033" s="27"/>
    </row>
    <row r="8035">
      <c r="S8035" s="27"/>
      <c r="T8035" s="27"/>
      <c r="U8035" s="27"/>
    </row>
    <row r="8036">
      <c r="S8036" s="27"/>
      <c r="T8036" s="27"/>
      <c r="U8036" s="27"/>
    </row>
    <row r="8038">
      <c r="S8038" s="27"/>
      <c r="T8038" s="27"/>
      <c r="U8038" s="27"/>
    </row>
    <row r="8039">
      <c r="S8039" s="27"/>
      <c r="T8039" s="27"/>
      <c r="U8039" s="27"/>
    </row>
    <row r="8041">
      <c r="S8041" s="27"/>
      <c r="T8041" s="27"/>
      <c r="U8041" s="27"/>
    </row>
    <row r="8042">
      <c r="S8042" s="27"/>
      <c r="T8042" s="27"/>
      <c r="U8042" s="27"/>
    </row>
    <row r="8044">
      <c r="S8044" s="27"/>
      <c r="T8044" s="27"/>
      <c r="U8044" s="27"/>
    </row>
    <row r="8045">
      <c r="S8045" s="27"/>
      <c r="T8045" s="27"/>
      <c r="U8045" s="27"/>
    </row>
    <row r="8047">
      <c r="S8047" s="27"/>
      <c r="T8047" s="27"/>
      <c r="U8047" s="27"/>
    </row>
    <row r="8048">
      <c r="S8048" s="27"/>
      <c r="T8048" s="27"/>
      <c r="U8048" s="27"/>
    </row>
    <row r="8050">
      <c r="S8050" s="27"/>
      <c r="T8050" s="27"/>
      <c r="U8050" s="27"/>
    </row>
    <row r="8051">
      <c r="S8051" s="27"/>
      <c r="T8051" s="27"/>
      <c r="U8051" s="27"/>
    </row>
    <row r="8053">
      <c r="S8053" s="27"/>
      <c r="T8053" s="27"/>
      <c r="U8053" s="27"/>
    </row>
    <row r="8054">
      <c r="S8054" s="27"/>
      <c r="T8054" s="27"/>
      <c r="U8054" s="27"/>
    </row>
    <row r="8056">
      <c r="S8056" s="27"/>
      <c r="T8056" s="27"/>
      <c r="U8056" s="27"/>
    </row>
    <row r="8057">
      <c r="S8057" s="27"/>
      <c r="T8057" s="27"/>
      <c r="U8057" s="27"/>
    </row>
    <row r="8059">
      <c r="S8059" s="27"/>
      <c r="T8059" s="27"/>
      <c r="U8059" s="27"/>
    </row>
    <row r="8060">
      <c r="S8060" s="27"/>
      <c r="T8060" s="27"/>
      <c r="U8060" s="27"/>
    </row>
    <row r="8062">
      <c r="S8062" s="27"/>
      <c r="T8062" s="27"/>
      <c r="U8062" s="27"/>
    </row>
    <row r="8063">
      <c r="S8063" s="27"/>
      <c r="T8063" s="27"/>
      <c r="U8063" s="27"/>
    </row>
    <row r="8065">
      <c r="S8065" s="27"/>
      <c r="T8065" s="27"/>
      <c r="U8065" s="27"/>
    </row>
    <row r="8066">
      <c r="S8066" s="27"/>
      <c r="T8066" s="27"/>
      <c r="U8066" s="27"/>
    </row>
    <row r="8068">
      <c r="S8068" s="27"/>
      <c r="T8068" s="27"/>
      <c r="U8068" s="27"/>
    </row>
    <row r="8069">
      <c r="S8069" s="27"/>
      <c r="T8069" s="27"/>
      <c r="U8069" s="27"/>
    </row>
    <row r="8071">
      <c r="S8071" s="27"/>
      <c r="T8071" s="27"/>
      <c r="U8071" s="27"/>
    </row>
    <row r="8072">
      <c r="S8072" s="27"/>
      <c r="T8072" s="27"/>
      <c r="U8072" s="27"/>
    </row>
    <row r="8074">
      <c r="S8074" s="27"/>
      <c r="T8074" s="27"/>
      <c r="U8074" s="27"/>
    </row>
    <row r="8075">
      <c r="S8075" s="27"/>
      <c r="T8075" s="27"/>
      <c r="U8075" s="27"/>
    </row>
    <row r="8077">
      <c r="S8077" s="27"/>
      <c r="T8077" s="27"/>
      <c r="U8077" s="27"/>
    </row>
    <row r="8078">
      <c r="S8078" s="27"/>
      <c r="T8078" s="27"/>
      <c r="U8078" s="27"/>
    </row>
    <row r="8080">
      <c r="S8080" s="27"/>
      <c r="T8080" s="27"/>
      <c r="U8080" s="27"/>
    </row>
    <row r="8081">
      <c r="S8081" s="27"/>
      <c r="T8081" s="27"/>
      <c r="U8081" s="27"/>
    </row>
    <row r="8083">
      <c r="S8083" s="27"/>
      <c r="T8083" s="27"/>
      <c r="U8083" s="27"/>
    </row>
    <row r="8084">
      <c r="S8084" s="27"/>
      <c r="T8084" s="27"/>
      <c r="U8084" s="27"/>
    </row>
    <row r="8086">
      <c r="S8086" s="27"/>
      <c r="T8086" s="27"/>
      <c r="U8086" s="27"/>
    </row>
    <row r="8087">
      <c r="S8087" s="27"/>
      <c r="T8087" s="27"/>
      <c r="U8087" s="27"/>
    </row>
    <row r="8089">
      <c r="S8089" s="27"/>
      <c r="T8089" s="27"/>
      <c r="U8089" s="27"/>
    </row>
    <row r="8090">
      <c r="S8090" s="27"/>
      <c r="T8090" s="27"/>
      <c r="U8090" s="27"/>
    </row>
    <row r="8092">
      <c r="S8092" s="27"/>
      <c r="T8092" s="27"/>
      <c r="U8092" s="27"/>
    </row>
    <row r="8093">
      <c r="S8093" s="27"/>
      <c r="T8093" s="27"/>
      <c r="U8093" s="27"/>
    </row>
    <row r="8095">
      <c r="S8095" s="27"/>
      <c r="T8095" s="27"/>
      <c r="U8095" s="27"/>
    </row>
    <row r="8096">
      <c r="S8096" s="27"/>
      <c r="T8096" s="27"/>
      <c r="U8096" s="27"/>
    </row>
    <row r="8098">
      <c r="S8098" s="27"/>
      <c r="T8098" s="27"/>
      <c r="U8098" s="27"/>
    </row>
    <row r="8099">
      <c r="S8099" s="27"/>
      <c r="T8099" s="27"/>
      <c r="U8099" s="27"/>
    </row>
    <row r="8101">
      <c r="S8101" s="27"/>
      <c r="T8101" s="27"/>
      <c r="U8101" s="27"/>
    </row>
    <row r="8102">
      <c r="S8102" s="27"/>
      <c r="T8102" s="27"/>
      <c r="U8102" s="27"/>
    </row>
    <row r="8104">
      <c r="S8104" s="27"/>
      <c r="T8104" s="27"/>
      <c r="U8104" s="27"/>
    </row>
    <row r="8105">
      <c r="S8105" s="27"/>
      <c r="T8105" s="27"/>
      <c r="U8105" s="27"/>
    </row>
    <row r="8107">
      <c r="S8107" s="27"/>
      <c r="T8107" s="27"/>
      <c r="U8107" s="27"/>
    </row>
    <row r="8108">
      <c r="S8108" s="27"/>
      <c r="T8108" s="27"/>
      <c r="U8108" s="27"/>
    </row>
    <row r="8110">
      <c r="S8110" s="27"/>
      <c r="T8110" s="27"/>
      <c r="U8110" s="27"/>
    </row>
    <row r="8111">
      <c r="S8111" s="27"/>
      <c r="T8111" s="27"/>
      <c r="U8111" s="27"/>
    </row>
    <row r="8113">
      <c r="S8113" s="27"/>
      <c r="T8113" s="27"/>
      <c r="U8113" s="27"/>
    </row>
    <row r="8114">
      <c r="S8114" s="27"/>
      <c r="T8114" s="27"/>
      <c r="U8114" s="27"/>
    </row>
    <row r="8116">
      <c r="S8116" s="27"/>
      <c r="T8116" s="27"/>
      <c r="U8116" s="27"/>
    </row>
    <row r="8117">
      <c r="S8117" s="27"/>
      <c r="T8117" s="27"/>
      <c r="U8117" s="27"/>
    </row>
    <row r="8119">
      <c r="S8119" s="27"/>
      <c r="T8119" s="27"/>
      <c r="U8119" s="27"/>
    </row>
    <row r="8120">
      <c r="S8120" s="27"/>
      <c r="T8120" s="27"/>
      <c r="U8120" s="27"/>
    </row>
    <row r="8122">
      <c r="S8122" s="27"/>
      <c r="T8122" s="27"/>
      <c r="U8122" s="27"/>
    </row>
    <row r="8123">
      <c r="S8123" s="27"/>
      <c r="T8123" s="27"/>
      <c r="U8123" s="27"/>
    </row>
    <row r="8125">
      <c r="S8125" s="27"/>
      <c r="T8125" s="27"/>
      <c r="U8125" s="27"/>
    </row>
    <row r="8127">
      <c r="S8127" s="27"/>
      <c r="T8127" s="27"/>
      <c r="U8127" s="27"/>
    </row>
    <row r="8128">
      <c r="S8128" s="27"/>
      <c r="T8128" s="27"/>
      <c r="U8128" s="27"/>
    </row>
    <row r="8130">
      <c r="S8130" s="27"/>
      <c r="T8130" s="27"/>
      <c r="U8130" s="27"/>
    </row>
    <row r="8131">
      <c r="S8131" s="27"/>
      <c r="T8131" s="27"/>
      <c r="U8131" s="27"/>
    </row>
    <row r="8133">
      <c r="S8133" s="27"/>
      <c r="T8133" s="27"/>
      <c r="U8133" s="27"/>
    </row>
    <row r="8134">
      <c r="S8134" s="27"/>
      <c r="T8134" s="27"/>
      <c r="U8134" s="27"/>
    </row>
    <row r="8136">
      <c r="S8136" s="27"/>
      <c r="T8136" s="27"/>
      <c r="U8136" s="27"/>
    </row>
    <row r="8137">
      <c r="S8137" s="27"/>
      <c r="T8137" s="27"/>
      <c r="U8137" s="27"/>
    </row>
    <row r="8139">
      <c r="S8139" s="27"/>
      <c r="T8139" s="27"/>
      <c r="U8139" s="27"/>
    </row>
    <row r="8140">
      <c r="S8140" s="27"/>
      <c r="T8140" s="27"/>
      <c r="U8140" s="27"/>
    </row>
    <row r="8142">
      <c r="S8142" s="27"/>
      <c r="T8142" s="27"/>
      <c r="U8142" s="27"/>
    </row>
    <row r="8143">
      <c r="S8143" s="27"/>
      <c r="T8143" s="27"/>
      <c r="U8143" s="27"/>
    </row>
    <row r="8145">
      <c r="S8145" s="27"/>
      <c r="T8145" s="27"/>
      <c r="U8145" s="27"/>
    </row>
    <row r="8146">
      <c r="S8146" s="27"/>
      <c r="T8146" s="27"/>
      <c r="U8146" s="27"/>
    </row>
    <row r="8148">
      <c r="S8148" s="27"/>
      <c r="T8148" s="27"/>
      <c r="U8148" s="27"/>
    </row>
    <row r="8150">
      <c r="S8150" s="27"/>
      <c r="T8150" s="27"/>
      <c r="U8150" s="27"/>
    </row>
    <row r="8152">
      <c r="T8152" s="27"/>
      <c r="U8152" s="27"/>
    </row>
    <row r="8154">
      <c r="S8154" s="27"/>
      <c r="T8154" s="27"/>
      <c r="U8154" s="27"/>
    </row>
    <row r="8156">
      <c r="S8156" s="27"/>
      <c r="T8156" s="27"/>
      <c r="U8156" s="27"/>
    </row>
    <row r="8157">
      <c r="S8157" s="27"/>
      <c r="T8157" s="27"/>
      <c r="U8157" s="27"/>
    </row>
    <row r="8159">
      <c r="S8159" s="27"/>
      <c r="T8159" s="27"/>
      <c r="U8159" s="27"/>
    </row>
    <row r="8160">
      <c r="S8160" s="27"/>
      <c r="T8160" s="27"/>
      <c r="U8160" s="27"/>
    </row>
    <row r="8162">
      <c r="S8162" s="27"/>
      <c r="T8162" s="27"/>
      <c r="U8162" s="27"/>
    </row>
    <row r="8163">
      <c r="U8163" s="33"/>
    </row>
    <row r="8165">
      <c r="S8165" s="27"/>
      <c r="T8165" s="27"/>
      <c r="U8165" s="27"/>
    </row>
    <row r="8166">
      <c r="S8166" s="27"/>
      <c r="T8166" s="27"/>
      <c r="U8166" s="27"/>
    </row>
    <row r="8168">
      <c r="S8168" s="27"/>
      <c r="T8168" s="27"/>
      <c r="U8168" s="27"/>
    </row>
    <row r="8169">
      <c r="S8169" s="27"/>
      <c r="T8169" s="27"/>
      <c r="U8169" s="27"/>
    </row>
    <row r="8171">
      <c r="S8171" s="27"/>
      <c r="T8171" s="27"/>
      <c r="U8171" s="27"/>
    </row>
    <row r="8172">
      <c r="S8172" s="27"/>
      <c r="T8172" s="27"/>
      <c r="U8172" s="27"/>
    </row>
    <row r="8177">
      <c r="S8177" s="26"/>
      <c r="T8177" s="26"/>
      <c r="U8177" s="26"/>
    </row>
    <row r="8180">
      <c r="S8180" s="27"/>
      <c r="T8180" s="27"/>
      <c r="U8180" s="27"/>
    </row>
    <row r="8183">
      <c r="S8183" s="27"/>
      <c r="T8183" s="27"/>
      <c r="U8183" s="27"/>
    </row>
    <row r="8184">
      <c r="S8184" s="27"/>
      <c r="T8184" s="27"/>
      <c r="U8184" s="27"/>
    </row>
    <row r="8186">
      <c r="S8186" s="27"/>
      <c r="T8186" s="27"/>
      <c r="U8186" s="27"/>
    </row>
    <row r="8187">
      <c r="S8187" s="27"/>
      <c r="T8187" s="27"/>
      <c r="U8187" s="27"/>
    </row>
    <row r="8189">
      <c r="S8189" s="27"/>
      <c r="T8189" s="27"/>
      <c r="U8189" s="27"/>
    </row>
    <row r="8190">
      <c r="S8190" s="27"/>
      <c r="T8190" s="27"/>
      <c r="U8190" s="27"/>
    </row>
    <row r="8195">
      <c r="S8195" s="27"/>
      <c r="T8195" s="27"/>
      <c r="U8195" s="27"/>
    </row>
    <row r="8196">
      <c r="S8196" s="27"/>
      <c r="T8196" s="27"/>
      <c r="U8196" s="27"/>
    </row>
    <row r="8198">
      <c r="S8198" s="27"/>
      <c r="T8198" s="27"/>
      <c r="U8198" s="27"/>
    </row>
    <row r="8199">
      <c r="S8199" s="27"/>
      <c r="T8199" s="27"/>
      <c r="U8199" s="27"/>
    </row>
    <row r="8201">
      <c r="T8201" s="26"/>
    </row>
    <row r="8202">
      <c r="S8202" s="27"/>
      <c r="U8202" s="27"/>
    </row>
    <row r="8204">
      <c r="S8204" s="27"/>
      <c r="T8204" s="27"/>
      <c r="U8204" s="27"/>
    </row>
    <row r="8207">
      <c r="S8207" s="26"/>
      <c r="T8207" s="26"/>
      <c r="U8207" s="26"/>
    </row>
    <row r="8210">
      <c r="S8210" s="27"/>
      <c r="T8210" s="27"/>
      <c r="U8210" s="27"/>
    </row>
    <row r="8211">
      <c r="S8211" s="27"/>
      <c r="T8211" s="27"/>
      <c r="U8211" s="27"/>
    </row>
    <row r="8213">
      <c r="S8213" s="27"/>
      <c r="T8213" s="27"/>
      <c r="U8213" s="27"/>
    </row>
    <row r="8214">
      <c r="S8214" s="27"/>
      <c r="T8214" s="27"/>
      <c r="U8214" s="27"/>
    </row>
    <row r="8222">
      <c r="S8222" s="27"/>
      <c r="T8222" s="27"/>
      <c r="U8222" s="27"/>
    </row>
    <row r="8225">
      <c r="S8225" s="27"/>
      <c r="T8225" s="27"/>
      <c r="U8225" s="27"/>
    </row>
    <row r="8226">
      <c r="S8226" s="27"/>
      <c r="T8226" s="27"/>
      <c r="U8226" s="27"/>
    </row>
    <row r="8228">
      <c r="S8228" s="27"/>
      <c r="T8228" s="27"/>
      <c r="U8228" s="27"/>
    </row>
    <row r="8229">
      <c r="S8229" s="27"/>
      <c r="T8229" s="27"/>
      <c r="U8229" s="27"/>
    </row>
    <row r="8231">
      <c r="S8231" s="27"/>
      <c r="T8231" s="27"/>
      <c r="U8231" s="27"/>
    </row>
    <row r="8232">
      <c r="S8232" s="27"/>
      <c r="T8232" s="27"/>
      <c r="U8232" s="27"/>
    </row>
    <row r="8234">
      <c r="S8234" s="27"/>
      <c r="T8234" s="27"/>
      <c r="U8234" s="27"/>
    </row>
    <row r="8235">
      <c r="S8235" s="27"/>
      <c r="T8235" s="27"/>
      <c r="U8235" s="27"/>
    </row>
    <row r="8237">
      <c r="S8237" s="27"/>
      <c r="T8237" s="27"/>
      <c r="U8237" s="27"/>
    </row>
    <row r="8238">
      <c r="S8238" s="27"/>
      <c r="T8238" s="27"/>
      <c r="U8238" s="27"/>
    </row>
    <row r="8240">
      <c r="S8240" s="27"/>
      <c r="T8240" s="27"/>
      <c r="U8240" s="27"/>
    </row>
    <row r="8241">
      <c r="S8241" s="27"/>
      <c r="T8241" s="27"/>
      <c r="U8241" s="27"/>
    </row>
    <row r="8243">
      <c r="S8243" s="27"/>
      <c r="T8243" s="27"/>
      <c r="U8243" s="27"/>
    </row>
    <row r="8244">
      <c r="S8244" s="27"/>
      <c r="T8244" s="27"/>
      <c r="U8244" s="27"/>
    </row>
    <row r="8246">
      <c r="S8246" s="27"/>
      <c r="T8246" s="27"/>
      <c r="U8246" s="27"/>
    </row>
    <row r="8247">
      <c r="S8247" s="27"/>
      <c r="T8247" s="27"/>
      <c r="U8247" s="27"/>
    </row>
    <row r="8249">
      <c r="S8249" s="27"/>
      <c r="T8249" s="27"/>
      <c r="U8249" s="27"/>
    </row>
    <row r="8250">
      <c r="S8250" s="27"/>
      <c r="T8250" s="27"/>
      <c r="U8250" s="27"/>
    </row>
    <row r="8252">
      <c r="S8252" s="27"/>
      <c r="T8252" s="27"/>
      <c r="U8252" s="27"/>
    </row>
    <row r="8253">
      <c r="S8253" s="27"/>
      <c r="T8253" s="27"/>
      <c r="U8253" s="27"/>
    </row>
    <row r="8255">
      <c r="S8255" s="27"/>
      <c r="T8255" s="27"/>
      <c r="U8255" s="27"/>
    </row>
    <row r="8256">
      <c r="S8256" s="27"/>
      <c r="T8256" s="27"/>
      <c r="U8256" s="27"/>
    </row>
    <row r="8258">
      <c r="S8258" s="27"/>
      <c r="T8258" s="27"/>
      <c r="U8258" s="27"/>
    </row>
    <row r="8259">
      <c r="S8259" s="27"/>
      <c r="T8259" s="27"/>
      <c r="U8259" s="27"/>
    </row>
    <row r="8261">
      <c r="S8261" s="27"/>
      <c r="T8261" s="27"/>
      <c r="U8261" s="27"/>
    </row>
    <row r="8262">
      <c r="S8262" s="27"/>
      <c r="T8262" s="27"/>
      <c r="U8262" s="27"/>
    </row>
    <row r="8264">
      <c r="S8264" s="27"/>
      <c r="T8264" s="27"/>
      <c r="U8264" s="27"/>
    </row>
    <row r="8265">
      <c r="S8265" s="27"/>
      <c r="T8265" s="27"/>
      <c r="U8265" s="27"/>
    </row>
    <row r="8267">
      <c r="S8267" s="27"/>
      <c r="T8267" s="27"/>
      <c r="U8267" s="27"/>
    </row>
    <row r="8268">
      <c r="S8268" s="27"/>
      <c r="T8268" s="27"/>
      <c r="U8268" s="27"/>
    </row>
    <row r="8270">
      <c r="S8270" s="27"/>
      <c r="T8270" s="27"/>
      <c r="U8270" s="27"/>
    </row>
    <row r="8271">
      <c r="S8271" s="27"/>
      <c r="T8271" s="27"/>
      <c r="U8271" s="27"/>
    </row>
    <row r="8273">
      <c r="S8273" s="27"/>
      <c r="T8273" s="27"/>
      <c r="U8273" s="27"/>
    </row>
    <row r="8274">
      <c r="S8274" s="27"/>
      <c r="T8274" s="27"/>
      <c r="U8274" s="27"/>
    </row>
    <row r="8276">
      <c r="S8276" s="27"/>
      <c r="T8276" s="27"/>
      <c r="U8276" s="27"/>
    </row>
    <row r="8277">
      <c r="S8277" s="27"/>
      <c r="T8277" s="27"/>
      <c r="U8277" s="27"/>
    </row>
    <row r="8279">
      <c r="S8279" s="27"/>
      <c r="T8279" s="27"/>
      <c r="U8279" s="27"/>
    </row>
    <row r="8280">
      <c r="S8280" s="27"/>
      <c r="T8280" s="27"/>
      <c r="U8280" s="27"/>
    </row>
    <row r="8282">
      <c r="S8282" s="27"/>
      <c r="T8282" s="27"/>
      <c r="U8282" s="27"/>
    </row>
    <row r="8283">
      <c r="S8283" s="27"/>
      <c r="T8283" s="27"/>
      <c r="U8283" s="27"/>
    </row>
    <row r="8285">
      <c r="S8285" s="27"/>
      <c r="T8285" s="27"/>
      <c r="U8285" s="27"/>
    </row>
    <row r="8286">
      <c r="S8286" s="27"/>
      <c r="T8286" s="27"/>
      <c r="U8286" s="27"/>
    </row>
    <row r="8288">
      <c r="S8288" s="27"/>
      <c r="T8288" s="27"/>
      <c r="U8288" s="27"/>
    </row>
    <row r="8289">
      <c r="S8289" s="27"/>
      <c r="T8289" s="27"/>
      <c r="U8289" s="27"/>
    </row>
    <row r="8291">
      <c r="S8291" s="27"/>
      <c r="T8291" s="27"/>
      <c r="U8291" s="27"/>
    </row>
    <row r="8292">
      <c r="S8292" s="27"/>
      <c r="T8292" s="27"/>
      <c r="U8292" s="27"/>
    </row>
    <row r="8294">
      <c r="S8294" s="27"/>
      <c r="T8294" s="27"/>
      <c r="U8294" s="27"/>
    </row>
    <row r="8295">
      <c r="S8295" s="27"/>
      <c r="T8295" s="27"/>
      <c r="U8295" s="27"/>
    </row>
    <row r="8297">
      <c r="S8297" s="27"/>
      <c r="T8297" s="27"/>
      <c r="U8297" s="27"/>
    </row>
    <row r="8298">
      <c r="S8298" s="27"/>
      <c r="T8298" s="27"/>
      <c r="U8298" s="27"/>
    </row>
    <row r="8300">
      <c r="S8300" s="27"/>
      <c r="T8300" s="27"/>
      <c r="U8300" s="27"/>
    </row>
    <row r="8301">
      <c r="S8301" s="27"/>
      <c r="T8301" s="27"/>
      <c r="U8301" s="27"/>
    </row>
    <row r="8303">
      <c r="S8303" s="27"/>
      <c r="T8303" s="27"/>
      <c r="U8303" s="27"/>
    </row>
    <row r="8306">
      <c r="S8306" s="33"/>
      <c r="T8306" s="33"/>
      <c r="U8306" s="27"/>
    </row>
    <row r="8307">
      <c r="S8307" s="27"/>
      <c r="T8307" s="27"/>
      <c r="U8307" s="27"/>
    </row>
    <row r="8309">
      <c r="S8309" s="27"/>
      <c r="T8309" s="27"/>
      <c r="U8309" s="27"/>
    </row>
    <row r="8310">
      <c r="S8310" s="27"/>
      <c r="T8310" s="27"/>
      <c r="U8310" s="27"/>
    </row>
    <row r="8312">
      <c r="S8312" s="27"/>
      <c r="T8312" s="27"/>
      <c r="U8312" s="27"/>
    </row>
    <row r="8313">
      <c r="S8313" s="27"/>
      <c r="T8313" s="26"/>
      <c r="U8313" s="26"/>
    </row>
    <row r="8315">
      <c r="S8315" s="27"/>
      <c r="T8315" s="27"/>
      <c r="U8315" s="27"/>
    </row>
    <row r="8316">
      <c r="S8316" s="27"/>
      <c r="T8316" s="27"/>
      <c r="U8316" s="27"/>
    </row>
    <row r="8318">
      <c r="S8318" s="27"/>
      <c r="T8318" s="27"/>
      <c r="U8318" s="27"/>
    </row>
    <row r="8319">
      <c r="S8319" s="27"/>
      <c r="T8319" s="27"/>
      <c r="U8319" s="27"/>
    </row>
    <row r="8321">
      <c r="S8321" s="27"/>
      <c r="T8321" s="27"/>
      <c r="U8321" s="27"/>
    </row>
    <row r="8322">
      <c r="S8322" s="27"/>
      <c r="T8322" s="27"/>
      <c r="U8322" s="27"/>
    </row>
    <row r="8324">
      <c r="S8324" s="27"/>
      <c r="T8324" s="27"/>
      <c r="U8324" s="26"/>
    </row>
    <row r="8327">
      <c r="S8327" s="26"/>
      <c r="T8327" s="26"/>
      <c r="U8327" s="26"/>
    </row>
    <row r="8330">
      <c r="S8330" s="27"/>
      <c r="T8330" s="27"/>
      <c r="U8330" s="27"/>
    </row>
    <row r="8332">
      <c r="S8332" s="27"/>
      <c r="T8332" s="27"/>
      <c r="U8332" s="27"/>
    </row>
    <row r="8334">
      <c r="S8334" s="27"/>
      <c r="T8334" s="27"/>
      <c r="U8334" s="26"/>
    </row>
    <row r="8337">
      <c r="S8337" s="27"/>
      <c r="T8337" s="27"/>
      <c r="U8337" s="27"/>
    </row>
    <row r="8340">
      <c r="S8340" s="27"/>
      <c r="T8340" s="27"/>
      <c r="U8340" s="27"/>
    </row>
    <row r="8341">
      <c r="S8341" s="27"/>
      <c r="T8341" s="27"/>
      <c r="U8341" s="27"/>
    </row>
    <row r="8343">
      <c r="S8343" s="27"/>
      <c r="T8343" s="27"/>
      <c r="U8343" s="27"/>
    </row>
    <row r="8344">
      <c r="S8344" s="27"/>
      <c r="T8344" s="27"/>
      <c r="U8344" s="27"/>
    </row>
    <row r="8346">
      <c r="S8346" s="27"/>
      <c r="T8346" s="27"/>
      <c r="U8346" s="27"/>
    </row>
    <row r="8347">
      <c r="U8347" s="27"/>
    </row>
    <row r="8349">
      <c r="S8349" s="27"/>
      <c r="T8349" s="27"/>
    </row>
    <row r="8350">
      <c r="S8350" s="26"/>
      <c r="T8350" s="27"/>
    </row>
    <row r="8352">
      <c r="S8352" s="27"/>
      <c r="T8352" s="27"/>
      <c r="U8352" s="27"/>
    </row>
    <row r="8353">
      <c r="S8353" s="27"/>
      <c r="T8353" s="27"/>
      <c r="U8353" s="27"/>
    </row>
    <row r="8358">
      <c r="S8358" s="27"/>
      <c r="T8358" s="27"/>
      <c r="U8358" s="27"/>
    </row>
    <row r="8359">
      <c r="S8359" s="27"/>
      <c r="T8359" s="27"/>
      <c r="U8359" s="27"/>
    </row>
    <row r="8361">
      <c r="S8361" s="27"/>
      <c r="T8361" s="27"/>
      <c r="U8361" s="27"/>
    </row>
    <row r="8362">
      <c r="S8362" s="27"/>
      <c r="T8362" s="27"/>
      <c r="U8362" s="27"/>
    </row>
    <row r="8364">
      <c r="S8364" s="27"/>
      <c r="T8364" s="27"/>
      <c r="U8364" s="27"/>
    </row>
    <row r="8365">
      <c r="S8365" s="27"/>
      <c r="T8365" s="27"/>
      <c r="U8365" s="27"/>
    </row>
    <row r="8367">
      <c r="S8367" s="33"/>
      <c r="T8367" s="27"/>
      <c r="U8367" s="33"/>
    </row>
    <row r="8373">
      <c r="S8373" s="27"/>
      <c r="T8373" s="27"/>
      <c r="U8373" s="27"/>
    </row>
    <row r="8376">
      <c r="S8376" s="27"/>
      <c r="T8376" s="27"/>
      <c r="U8376" s="27"/>
    </row>
    <row r="8377">
      <c r="S8377" s="27"/>
      <c r="T8377" s="27"/>
      <c r="U8377" s="33"/>
    </row>
    <row r="8379">
      <c r="S8379" s="27"/>
      <c r="T8379" s="27"/>
      <c r="U8379" s="27"/>
    </row>
    <row r="8380">
      <c r="S8380" s="26"/>
      <c r="T8380" s="26"/>
      <c r="U8380" s="26"/>
    </row>
    <row r="8382">
      <c r="S8382" s="27"/>
      <c r="T8382" s="27"/>
      <c r="U8382" s="27"/>
    </row>
    <row r="8383">
      <c r="S8383" s="27"/>
      <c r="T8383" s="27"/>
      <c r="U8383" s="27"/>
    </row>
    <row r="8385">
      <c r="S8385" s="27"/>
      <c r="T8385" s="27"/>
      <c r="U8385" s="27"/>
    </row>
    <row r="8386">
      <c r="S8386" s="27"/>
      <c r="T8386" s="27"/>
      <c r="U8386" s="27"/>
    </row>
    <row r="8389">
      <c r="S8389" s="27"/>
      <c r="T8389" s="27"/>
      <c r="U8389" s="27"/>
    </row>
    <row r="8391">
      <c r="S8391" s="27"/>
      <c r="T8391" s="27"/>
      <c r="U8391" s="27"/>
    </row>
    <row r="8392">
      <c r="S8392" s="27"/>
      <c r="T8392" s="27"/>
      <c r="U8392" s="27"/>
    </row>
    <row r="8394">
      <c r="S8394" s="27"/>
    </row>
    <row r="8397">
      <c r="S8397" s="27"/>
      <c r="T8397" s="27"/>
      <c r="U8397" s="27"/>
    </row>
    <row r="8398">
      <c r="S8398" s="27"/>
      <c r="T8398" s="27"/>
      <c r="U8398" s="27"/>
    </row>
    <row r="8400">
      <c r="S8400" s="27"/>
      <c r="T8400" s="27"/>
      <c r="U8400" s="27"/>
    </row>
    <row r="8401">
      <c r="S8401" s="27"/>
      <c r="T8401" s="27"/>
      <c r="U8401" s="27"/>
    </row>
    <row r="8403">
      <c r="S8403" s="27"/>
      <c r="U8403" s="27"/>
    </row>
    <row r="8406">
      <c r="S8406" s="27"/>
      <c r="T8406" s="26"/>
      <c r="U8406" s="27"/>
    </row>
    <row r="8407">
      <c r="S8407" s="27"/>
      <c r="U8407" s="27"/>
    </row>
    <row r="8412">
      <c r="S8412" s="27"/>
      <c r="T8412" s="27"/>
      <c r="U8412" s="27"/>
    </row>
    <row r="8413">
      <c r="S8413" s="27"/>
      <c r="T8413" s="27"/>
      <c r="U8413" s="27"/>
    </row>
    <row r="8415">
      <c r="S8415" s="27"/>
      <c r="T8415" s="27"/>
    </row>
    <row r="8418">
      <c r="S8418" s="27"/>
      <c r="T8418" s="27"/>
      <c r="U8418" s="27"/>
    </row>
    <row r="8419">
      <c r="S8419" s="27"/>
      <c r="T8419" s="27"/>
      <c r="U8419" s="27"/>
    </row>
    <row r="8421">
      <c r="S8421" s="26"/>
      <c r="T8421" s="26"/>
      <c r="U8421" s="26"/>
    </row>
    <row r="8424">
      <c r="S8424" s="27"/>
      <c r="T8424" s="27"/>
      <c r="U8424" s="27"/>
    </row>
    <row r="8427">
      <c r="S8427" s="27"/>
      <c r="T8427" s="27"/>
      <c r="U8427" s="27"/>
    </row>
    <row r="8428">
      <c r="S8428" s="27"/>
      <c r="T8428" s="27"/>
      <c r="U8428" s="27"/>
    </row>
    <row r="8430">
      <c r="S8430" s="27"/>
      <c r="T8430" s="27"/>
      <c r="U8430" s="27"/>
    </row>
    <row r="8431">
      <c r="S8431" s="27"/>
      <c r="T8431" s="27"/>
      <c r="U8431" s="27"/>
    </row>
    <row r="8433">
      <c r="S8433" s="27"/>
      <c r="T8433" s="27"/>
      <c r="U8433" s="27"/>
    </row>
    <row r="8434">
      <c r="S8434" s="27"/>
      <c r="T8434" s="27"/>
      <c r="U8434" s="27"/>
    </row>
    <row r="8436">
      <c r="S8436" s="27"/>
    </row>
    <row r="8437">
      <c r="T8437" s="26"/>
      <c r="U8437" s="26"/>
    </row>
    <row r="8439">
      <c r="S8439" s="27"/>
      <c r="T8439" s="27"/>
      <c r="U8439" s="27"/>
    </row>
    <row r="8440">
      <c r="S8440" s="27"/>
      <c r="T8440" s="27"/>
      <c r="U8440" s="27"/>
    </row>
    <row r="8442">
      <c r="S8442" s="27"/>
      <c r="T8442" s="27"/>
      <c r="U8442" s="27"/>
    </row>
    <row r="8443">
      <c r="S8443" s="27"/>
      <c r="T8443" s="27"/>
      <c r="U8443" s="27"/>
    </row>
    <row r="8445">
      <c r="S8445" s="27"/>
      <c r="T8445" s="27"/>
      <c r="U8445" s="27"/>
    </row>
    <row r="8446">
      <c r="S8446" s="27"/>
      <c r="T8446" s="27"/>
      <c r="U8446" s="27"/>
    </row>
    <row r="8448">
      <c r="S8448" s="27"/>
      <c r="T8448" s="27"/>
      <c r="U8448" s="27"/>
    </row>
    <row r="8449">
      <c r="S8449" s="27"/>
      <c r="T8449" s="27"/>
      <c r="U8449" s="27"/>
    </row>
    <row r="8451">
      <c r="S8451" s="27"/>
      <c r="T8451" s="27"/>
      <c r="U8451" s="27"/>
    </row>
    <row r="8452">
      <c r="S8452" s="27"/>
      <c r="T8452" s="27"/>
      <c r="U8452" s="27"/>
    </row>
    <row r="8454">
      <c r="S8454" s="27"/>
      <c r="T8454" s="27"/>
      <c r="U8454" s="27"/>
    </row>
    <row r="8455">
      <c r="S8455" s="27"/>
      <c r="T8455" s="27"/>
      <c r="U8455" s="27"/>
    </row>
    <row r="8457">
      <c r="S8457" s="27"/>
      <c r="T8457" s="27"/>
      <c r="U8457" s="27"/>
    </row>
    <row r="8458">
      <c r="S8458" s="27"/>
      <c r="T8458" s="27"/>
      <c r="U8458" s="27"/>
    </row>
    <row r="8460">
      <c r="S8460" s="27"/>
      <c r="T8460" s="27"/>
      <c r="U8460" s="27"/>
    </row>
    <row r="8461">
      <c r="S8461" s="27"/>
      <c r="T8461" s="27"/>
      <c r="U8461" s="27"/>
    </row>
    <row r="8463">
      <c r="S8463" s="27"/>
      <c r="T8463" s="27"/>
      <c r="U8463" s="27"/>
    </row>
    <row r="8464">
      <c r="S8464" s="27"/>
      <c r="T8464" s="27"/>
      <c r="U8464" s="27"/>
    </row>
    <row r="8466">
      <c r="S8466" s="27"/>
      <c r="T8466" s="27"/>
      <c r="U8466" s="27"/>
    </row>
    <row r="8467">
      <c r="S8467" s="27"/>
      <c r="T8467" s="27"/>
      <c r="U8467" s="27"/>
    </row>
    <row r="8469">
      <c r="S8469" s="27"/>
      <c r="T8469" s="27"/>
      <c r="U8469" s="27"/>
    </row>
    <row r="8470">
      <c r="S8470" s="27"/>
      <c r="T8470" s="27"/>
      <c r="U8470" s="27"/>
    </row>
    <row r="8472">
      <c r="S8472" s="27"/>
      <c r="T8472" s="27"/>
      <c r="U8472" s="27"/>
    </row>
    <row r="8473">
      <c r="S8473" s="27"/>
      <c r="T8473" s="27"/>
      <c r="U8473" s="27"/>
    </row>
    <row r="8475">
      <c r="S8475" s="27"/>
      <c r="T8475" s="27"/>
      <c r="U8475" s="27"/>
    </row>
    <row r="8476">
      <c r="S8476" s="27"/>
      <c r="T8476" s="27"/>
      <c r="U8476" s="27"/>
    </row>
    <row r="8478">
      <c r="S8478" s="27"/>
      <c r="T8478" s="27"/>
      <c r="U8478" s="27"/>
    </row>
    <row r="8479">
      <c r="S8479" s="27"/>
      <c r="T8479" s="27"/>
      <c r="U8479" s="27"/>
    </row>
    <row r="8481">
      <c r="S8481" s="27"/>
      <c r="T8481" s="27"/>
      <c r="U8481" s="27"/>
    </row>
    <row r="8482">
      <c r="S8482" s="27"/>
      <c r="T8482" s="27"/>
      <c r="U8482" s="27"/>
    </row>
    <row r="8484">
      <c r="S8484" s="27"/>
      <c r="T8484" s="27"/>
      <c r="U8484" s="27"/>
    </row>
    <row r="8485">
      <c r="S8485" s="27"/>
      <c r="T8485" s="27"/>
      <c r="U8485" s="27"/>
    </row>
    <row r="8487">
      <c r="S8487" s="27"/>
      <c r="T8487" s="27"/>
      <c r="U8487" s="27"/>
    </row>
    <row r="8488">
      <c r="S8488" s="27"/>
      <c r="T8488" s="27"/>
      <c r="U8488" s="27"/>
    </row>
    <row r="8490">
      <c r="S8490" s="27"/>
      <c r="T8490" s="27"/>
      <c r="U8490" s="27"/>
    </row>
    <row r="8491">
      <c r="S8491" s="27"/>
      <c r="T8491" s="27"/>
      <c r="U8491" s="27"/>
    </row>
    <row r="8493">
      <c r="S8493" s="27"/>
      <c r="T8493" s="27"/>
      <c r="U8493" s="27"/>
    </row>
    <row r="8494">
      <c r="S8494" s="27"/>
      <c r="T8494" s="27"/>
      <c r="U8494" s="27"/>
    </row>
    <row r="8496">
      <c r="S8496" s="27"/>
      <c r="T8496" s="27"/>
      <c r="U8496" s="27"/>
    </row>
    <row r="8497">
      <c r="S8497" s="27"/>
      <c r="T8497" s="27"/>
      <c r="U8497" s="27"/>
    </row>
    <row r="8499">
      <c r="S8499" s="27"/>
      <c r="T8499" s="27"/>
      <c r="U8499" s="27"/>
    </row>
    <row r="8500">
      <c r="S8500" s="27"/>
      <c r="T8500" s="27"/>
      <c r="U8500" s="27"/>
    </row>
    <row r="8502">
      <c r="S8502" s="27"/>
      <c r="T8502" s="27"/>
      <c r="U8502" s="27"/>
    </row>
    <row r="8503">
      <c r="S8503" s="27"/>
      <c r="T8503" s="27"/>
      <c r="U8503" s="27"/>
    </row>
    <row r="8505">
      <c r="S8505" s="27"/>
      <c r="T8505" s="27"/>
      <c r="U8505" s="27"/>
    </row>
    <row r="8506">
      <c r="S8506" s="27"/>
      <c r="T8506" s="27"/>
      <c r="U8506" s="27"/>
    </row>
    <row r="8508">
      <c r="S8508" s="27"/>
      <c r="T8508" s="27"/>
      <c r="U8508" s="27"/>
    </row>
    <row r="8509">
      <c r="S8509" s="27"/>
      <c r="T8509" s="27"/>
      <c r="U8509" s="27"/>
    </row>
    <row r="8511">
      <c r="S8511" s="27"/>
      <c r="T8511" s="27"/>
      <c r="U8511" s="27"/>
    </row>
    <row r="8512">
      <c r="S8512" s="27"/>
      <c r="T8512" s="27"/>
      <c r="U8512" s="27"/>
    </row>
    <row r="8514">
      <c r="S8514" s="27"/>
      <c r="T8514" s="27"/>
      <c r="U8514" s="27"/>
    </row>
    <row r="8515">
      <c r="S8515" s="27"/>
      <c r="T8515" s="27"/>
      <c r="U8515" s="27"/>
    </row>
    <row r="8517">
      <c r="S8517" s="27"/>
      <c r="T8517" s="27"/>
      <c r="U8517" s="27"/>
    </row>
    <row r="8518">
      <c r="S8518" s="27"/>
      <c r="T8518" s="27"/>
      <c r="U8518" s="27"/>
    </row>
    <row r="8520">
      <c r="S8520" s="27"/>
      <c r="T8520" s="27"/>
      <c r="U8520" s="27"/>
    </row>
    <row r="8521">
      <c r="S8521" s="27"/>
      <c r="T8521" s="27"/>
      <c r="U8521" s="27"/>
    </row>
    <row r="8523">
      <c r="S8523" s="27"/>
      <c r="T8523" s="27"/>
      <c r="U8523" s="27"/>
    </row>
    <row r="8524">
      <c r="S8524" s="27"/>
      <c r="T8524" s="27"/>
      <c r="U8524" s="27"/>
    </row>
    <row r="8526">
      <c r="S8526" s="27"/>
      <c r="T8526" s="27"/>
      <c r="U8526" s="27"/>
    </row>
    <row r="8527">
      <c r="S8527" s="27"/>
      <c r="T8527" s="27"/>
      <c r="U8527" s="27"/>
    </row>
    <row r="8529">
      <c r="S8529" s="27"/>
      <c r="T8529" s="27"/>
      <c r="U8529" s="27"/>
    </row>
    <row r="8530">
      <c r="S8530" s="27"/>
      <c r="T8530" s="27"/>
      <c r="U8530" s="27"/>
    </row>
    <row r="8532">
      <c r="S8532" s="27"/>
      <c r="T8532" s="27"/>
      <c r="U8532" s="27"/>
    </row>
    <row r="8533">
      <c r="S8533" s="27"/>
      <c r="T8533" s="27"/>
      <c r="U8533" s="27"/>
    </row>
    <row r="8535">
      <c r="S8535" s="27"/>
      <c r="T8535" s="27"/>
      <c r="U8535" s="27"/>
    </row>
    <row r="8537">
      <c r="S8537" s="27"/>
      <c r="T8537" s="27"/>
      <c r="U8537" s="27"/>
    </row>
    <row r="8538">
      <c r="S8538" s="27"/>
      <c r="T8538" s="27"/>
      <c r="U8538" s="27"/>
    </row>
    <row r="8540">
      <c r="S8540" s="27"/>
      <c r="T8540" s="27"/>
      <c r="U8540" s="27"/>
    </row>
    <row r="8541">
      <c r="S8541" s="27"/>
      <c r="T8541" s="27"/>
      <c r="U8541" s="27"/>
    </row>
    <row r="8543">
      <c r="S8543" s="27"/>
      <c r="T8543" s="27"/>
      <c r="U8543" s="27"/>
    </row>
    <row r="8544">
      <c r="S8544" s="27"/>
      <c r="T8544" s="27"/>
      <c r="U8544" s="27"/>
    </row>
    <row r="8546">
      <c r="S8546" s="27"/>
      <c r="T8546" s="27"/>
      <c r="U8546" s="27"/>
    </row>
    <row r="8547">
      <c r="S8547" s="27"/>
      <c r="T8547" s="27"/>
      <c r="U8547" s="27"/>
    </row>
    <row r="8549">
      <c r="S8549" s="27"/>
      <c r="T8549" s="27"/>
      <c r="U8549" s="27"/>
    </row>
    <row r="8550">
      <c r="S8550" s="27"/>
      <c r="T8550" s="27"/>
      <c r="U8550" s="27"/>
    </row>
    <row r="8552">
      <c r="S8552" s="27"/>
      <c r="T8552" s="27"/>
      <c r="U8552" s="27"/>
    </row>
    <row r="8553">
      <c r="S8553" s="27"/>
      <c r="T8553" s="27"/>
      <c r="U8553" s="27"/>
    </row>
    <row r="8555">
      <c r="S8555" s="27"/>
      <c r="T8555" s="27"/>
      <c r="U8555" s="27"/>
    </row>
    <row r="8556">
      <c r="S8556" s="27"/>
      <c r="T8556" s="27"/>
      <c r="U8556" s="27"/>
    </row>
    <row r="8558">
      <c r="S8558" s="27"/>
      <c r="T8558" s="27"/>
      <c r="U8558" s="27"/>
    </row>
    <row r="8560">
      <c r="S8560" s="27"/>
      <c r="T8560" s="27"/>
      <c r="U8560" s="27"/>
    </row>
    <row r="8562">
      <c r="S8562" s="27"/>
      <c r="T8562" s="27"/>
      <c r="U8562" s="27"/>
    </row>
    <row r="8564">
      <c r="S8564" s="27"/>
      <c r="T8564" s="27"/>
      <c r="U8564" s="27"/>
    </row>
    <row r="8566">
      <c r="T8566" s="27"/>
      <c r="U8566" s="27"/>
    </row>
    <row r="8567">
      <c r="S8567" s="27"/>
      <c r="T8567" s="27"/>
      <c r="U8567" s="27"/>
    </row>
    <row r="8569">
      <c r="S8569" s="27"/>
      <c r="T8569" s="27"/>
      <c r="U8569" s="27"/>
    </row>
    <row r="8570">
      <c r="S8570" s="27"/>
      <c r="T8570" s="27"/>
      <c r="U8570" s="27"/>
    </row>
    <row r="8572">
      <c r="S8572" s="27"/>
      <c r="T8572" s="27"/>
      <c r="U8572" s="27"/>
    </row>
    <row r="8573">
      <c r="S8573" s="33"/>
      <c r="T8573" s="33"/>
      <c r="U8573" s="27"/>
    </row>
    <row r="8575">
      <c r="S8575" s="27"/>
      <c r="T8575" s="27"/>
      <c r="U8575" s="27"/>
    </row>
    <row r="8576">
      <c r="S8576" s="27"/>
      <c r="T8576" s="27"/>
      <c r="U8576" s="27"/>
    </row>
    <row r="8578">
      <c r="S8578" s="27"/>
      <c r="T8578" s="27"/>
      <c r="U8578" s="27"/>
    </row>
    <row r="8579">
      <c r="S8579" s="27"/>
      <c r="T8579" s="27"/>
      <c r="U8579" s="27"/>
    </row>
    <row r="8581">
      <c r="S8581" s="27"/>
      <c r="T8581" s="27"/>
      <c r="U8581" s="27"/>
    </row>
    <row r="8582">
      <c r="S8582" s="27"/>
      <c r="T8582" s="27"/>
      <c r="U8582" s="27"/>
    </row>
    <row r="8590">
      <c r="S8590" s="33"/>
      <c r="T8590" s="33"/>
      <c r="U8590" s="33"/>
    </row>
    <row r="8593">
      <c r="S8593" s="27"/>
      <c r="T8593" s="27"/>
      <c r="U8593" s="27"/>
    </row>
    <row r="8594">
      <c r="S8594" s="27"/>
      <c r="T8594" s="27"/>
      <c r="U8594" s="27"/>
    </row>
    <row r="8596">
      <c r="S8596" s="27"/>
      <c r="T8596" s="27"/>
      <c r="U8596" s="27"/>
    </row>
    <row r="8597">
      <c r="S8597" s="27"/>
      <c r="T8597" s="27"/>
      <c r="U8597" s="27"/>
    </row>
    <row r="8599">
      <c r="S8599" s="27"/>
      <c r="T8599" s="27"/>
      <c r="U8599" s="27"/>
    </row>
    <row r="8600">
      <c r="S8600" s="27"/>
      <c r="T8600" s="27"/>
      <c r="U8600" s="27"/>
    </row>
    <row r="8602">
      <c r="U8602" s="26"/>
    </row>
    <row r="8605">
      <c r="T8605" s="27"/>
      <c r="U8605" s="27"/>
    </row>
    <row r="8606">
      <c r="S8606" s="27"/>
      <c r="T8606" s="27"/>
      <c r="U8606" s="27"/>
    </row>
    <row r="8609">
      <c r="S8609" s="27"/>
      <c r="T8609" s="27"/>
      <c r="U8609" s="27"/>
    </row>
    <row r="8611">
      <c r="S8611" s="27"/>
      <c r="T8611" s="27"/>
      <c r="U8611" s="27"/>
    </row>
    <row r="8612">
      <c r="S8612" s="27"/>
      <c r="T8612" s="27"/>
      <c r="U8612" s="27"/>
    </row>
    <row r="8620">
      <c r="S8620" s="27"/>
      <c r="T8620" s="27"/>
      <c r="U8620" s="27"/>
    </row>
    <row r="8621">
      <c r="S8621" s="27"/>
      <c r="T8621" s="27"/>
      <c r="U8621" s="27"/>
    </row>
    <row r="8623">
      <c r="S8623" s="27"/>
      <c r="T8623" s="27"/>
      <c r="U8623" s="27"/>
    </row>
    <row r="8624">
      <c r="S8624" s="27"/>
      <c r="T8624" s="27"/>
      <c r="U8624" s="27"/>
    </row>
    <row r="8629">
      <c r="S8629" s="27"/>
    </row>
    <row r="8632">
      <c r="S8632" s="27"/>
      <c r="T8632" s="27"/>
      <c r="U8632" s="27"/>
    </row>
    <row r="8635">
      <c r="S8635" s="27"/>
      <c r="T8635" s="27"/>
      <c r="U8635" s="27"/>
    </row>
    <row r="8636">
      <c r="S8636" s="27"/>
      <c r="T8636" s="27"/>
      <c r="U8636" s="27"/>
    </row>
    <row r="8638">
      <c r="S8638" s="27"/>
      <c r="T8638" s="27"/>
      <c r="U8638" s="27"/>
    </row>
    <row r="8639">
      <c r="S8639" s="27"/>
      <c r="T8639" s="27"/>
      <c r="U8639" s="27"/>
    </row>
    <row r="8641">
      <c r="S8641" s="27"/>
      <c r="T8641" s="27"/>
      <c r="U8641" s="27"/>
    </row>
    <row r="8642">
      <c r="S8642" s="27"/>
      <c r="T8642" s="27"/>
      <c r="U8642" s="27"/>
    </row>
    <row r="8644">
      <c r="S8644" s="27"/>
      <c r="T8644" s="27"/>
      <c r="U8644" s="27"/>
    </row>
    <row r="8645">
      <c r="S8645" s="27"/>
      <c r="T8645" s="27"/>
      <c r="U8645" s="27"/>
    </row>
    <row r="8647">
      <c r="S8647" s="27"/>
      <c r="T8647" s="27"/>
      <c r="U8647" s="27"/>
    </row>
    <row r="8648">
      <c r="S8648" s="27"/>
      <c r="T8648" s="27"/>
      <c r="U8648" s="27"/>
    </row>
    <row r="8650">
      <c r="S8650" s="27"/>
      <c r="T8650" s="27"/>
      <c r="U8650" s="27"/>
    </row>
    <row r="8651">
      <c r="S8651" s="27"/>
      <c r="T8651" s="27"/>
      <c r="U8651" s="27"/>
    </row>
    <row r="8653">
      <c r="S8653" s="27"/>
      <c r="T8653" s="27"/>
      <c r="U8653" s="27"/>
    </row>
    <row r="8654">
      <c r="S8654" s="27"/>
      <c r="T8654" s="27"/>
      <c r="U8654" s="27"/>
    </row>
    <row r="8656">
      <c r="S8656" s="27"/>
      <c r="T8656" s="27"/>
      <c r="U8656" s="27"/>
    </row>
    <row r="8657">
      <c r="S8657" s="27"/>
      <c r="T8657" s="27"/>
      <c r="U8657" s="27"/>
    </row>
    <row r="8659">
      <c r="S8659" s="27"/>
      <c r="T8659" s="27"/>
      <c r="U8659" s="27"/>
    </row>
    <row r="8660">
      <c r="S8660" s="27"/>
      <c r="T8660" s="27"/>
      <c r="U8660" s="27"/>
    </row>
    <row r="8662">
      <c r="S8662" s="27"/>
      <c r="T8662" s="27"/>
      <c r="U8662" s="27"/>
    </row>
    <row r="8663">
      <c r="S8663" s="27"/>
      <c r="T8663" s="27"/>
      <c r="U8663" s="27"/>
    </row>
    <row r="8665">
      <c r="S8665" s="27"/>
      <c r="T8665" s="27"/>
      <c r="U8665" s="27"/>
    </row>
    <row r="8666">
      <c r="S8666" s="27"/>
      <c r="T8666" s="27"/>
      <c r="U8666" s="27"/>
    </row>
    <row r="8668">
      <c r="S8668" s="27"/>
      <c r="T8668" s="27"/>
      <c r="U8668" s="27"/>
    </row>
    <row r="8669">
      <c r="S8669" s="27"/>
      <c r="T8669" s="27"/>
      <c r="U8669" s="27"/>
    </row>
    <row r="8671">
      <c r="S8671" s="27"/>
      <c r="T8671" s="27"/>
      <c r="U8671" s="27"/>
    </row>
    <row r="8672">
      <c r="S8672" s="27"/>
      <c r="T8672" s="27"/>
      <c r="U8672" s="27"/>
    </row>
    <row r="8674">
      <c r="S8674" s="27"/>
      <c r="T8674" s="27"/>
      <c r="U8674" s="27"/>
    </row>
    <row r="8675">
      <c r="S8675" s="27"/>
      <c r="T8675" s="27"/>
      <c r="U8675" s="27"/>
    </row>
    <row r="8677">
      <c r="S8677" s="27"/>
      <c r="T8677" s="27"/>
      <c r="U8677" s="27"/>
    </row>
    <row r="8678">
      <c r="S8678" s="27"/>
      <c r="T8678" s="27"/>
      <c r="U8678" s="27"/>
    </row>
    <row r="8680">
      <c r="S8680" s="27"/>
      <c r="T8680" s="27"/>
      <c r="U8680" s="27"/>
    </row>
    <row r="8681">
      <c r="S8681" s="27"/>
      <c r="T8681" s="27"/>
      <c r="U8681" s="27"/>
    </row>
    <row r="8683">
      <c r="S8683" s="27"/>
      <c r="T8683" s="27"/>
      <c r="U8683" s="27"/>
    </row>
    <row r="8684">
      <c r="S8684" s="27"/>
      <c r="T8684" s="27"/>
      <c r="U8684" s="27"/>
    </row>
    <row r="8686">
      <c r="S8686" s="27"/>
      <c r="T8686" s="27"/>
      <c r="U8686" s="27"/>
    </row>
    <row r="8687">
      <c r="S8687" s="27"/>
      <c r="T8687" s="27"/>
      <c r="U8687" s="27"/>
    </row>
    <row r="8689">
      <c r="S8689" s="27"/>
      <c r="T8689" s="27"/>
      <c r="U8689" s="27"/>
    </row>
    <row r="8690">
      <c r="S8690" s="27"/>
      <c r="T8690" s="27"/>
      <c r="U8690" s="27"/>
    </row>
    <row r="8692">
      <c r="S8692" s="27"/>
      <c r="T8692" s="27"/>
      <c r="U8692" s="27"/>
    </row>
    <row r="8693">
      <c r="S8693" s="27"/>
      <c r="T8693" s="27"/>
      <c r="U8693" s="27"/>
    </row>
    <row r="8695">
      <c r="S8695" s="27"/>
      <c r="T8695" s="27"/>
      <c r="U8695" s="27"/>
    </row>
    <row r="8696">
      <c r="S8696" s="27"/>
      <c r="T8696" s="27"/>
      <c r="U8696" s="27"/>
    </row>
    <row r="8698">
      <c r="S8698" s="27"/>
      <c r="T8698" s="27"/>
      <c r="U8698" s="27"/>
    </row>
    <row r="8699">
      <c r="S8699" s="27"/>
      <c r="T8699" s="27"/>
      <c r="U8699" s="27"/>
    </row>
    <row r="8701">
      <c r="S8701" s="27"/>
      <c r="T8701" s="27"/>
      <c r="U8701" s="27"/>
    </row>
    <row r="8702">
      <c r="S8702" s="27"/>
      <c r="T8702" s="27"/>
      <c r="U8702" s="27"/>
    </row>
    <row r="8704">
      <c r="S8704" s="27"/>
      <c r="T8704" s="27"/>
      <c r="U8704" s="27"/>
    </row>
    <row r="8705">
      <c r="S8705" s="27"/>
      <c r="T8705" s="27"/>
      <c r="U8705" s="27"/>
    </row>
    <row r="8707">
      <c r="S8707" s="27"/>
      <c r="T8707" s="27"/>
      <c r="U8707" s="27"/>
    </row>
    <row r="8708">
      <c r="S8708" s="27"/>
      <c r="T8708" s="27"/>
      <c r="U8708" s="27"/>
    </row>
    <row r="8710">
      <c r="S8710" s="27"/>
      <c r="T8710" s="27"/>
      <c r="U8710" s="27"/>
    </row>
    <row r="8711">
      <c r="S8711" s="27"/>
      <c r="T8711" s="27"/>
      <c r="U8711" s="27"/>
    </row>
    <row r="8714">
      <c r="S8714" s="27"/>
      <c r="T8714" s="27"/>
      <c r="U8714" s="27"/>
    </row>
    <row r="8716">
      <c r="S8716" s="27"/>
      <c r="T8716" s="27"/>
    </row>
    <row r="8717">
      <c r="S8717" s="27"/>
      <c r="T8717" s="27"/>
    </row>
    <row r="8719">
      <c r="S8719" s="27"/>
      <c r="T8719" s="27"/>
      <c r="U8719" s="27"/>
    </row>
    <row r="8720">
      <c r="S8720" s="27"/>
      <c r="T8720" s="27"/>
      <c r="U8720" s="27"/>
    </row>
    <row r="8722">
      <c r="T8722" s="27"/>
      <c r="U8722" s="27"/>
    </row>
    <row r="8725">
      <c r="S8725" s="27"/>
      <c r="T8725" s="27"/>
      <c r="U8725" s="27"/>
    </row>
    <row r="8726">
      <c r="S8726" s="27"/>
      <c r="T8726" s="27"/>
      <c r="U8726" s="27"/>
    </row>
    <row r="8728">
      <c r="S8728" s="27"/>
      <c r="T8728" s="27"/>
      <c r="U8728" s="27"/>
    </row>
    <row r="8729">
      <c r="S8729" s="27"/>
      <c r="T8729" s="27"/>
      <c r="U8729" s="27"/>
    </row>
    <row r="8732">
      <c r="S8732" s="27"/>
      <c r="T8732" s="27"/>
      <c r="U8732" s="27"/>
    </row>
    <row r="8734">
      <c r="S8734" s="27"/>
      <c r="T8734" s="27"/>
      <c r="U8734" s="27"/>
    </row>
    <row r="8740">
      <c r="T8740" s="35"/>
      <c r="U8740" s="35"/>
    </row>
    <row r="8742">
      <c r="S8742" s="27"/>
      <c r="T8742" s="27"/>
      <c r="U8742" s="27"/>
    </row>
    <row r="8744">
      <c r="S8744" s="26"/>
      <c r="T8744" s="26"/>
      <c r="U8744" s="26"/>
    </row>
    <row r="8750">
      <c r="S8750" s="27"/>
      <c r="T8750" s="27"/>
      <c r="U8750" s="27"/>
    </row>
    <row r="8751">
      <c r="S8751" s="27"/>
      <c r="T8751" s="27"/>
      <c r="U8751" s="27"/>
    </row>
    <row r="8753">
      <c r="S8753" s="27"/>
      <c r="T8753" s="27"/>
      <c r="U8753" s="27"/>
    </row>
    <row r="8754">
      <c r="S8754" s="27"/>
      <c r="T8754" s="27"/>
      <c r="U8754" s="27"/>
    </row>
    <row r="8756">
      <c r="S8756" s="27"/>
      <c r="T8756" s="27"/>
      <c r="U8756" s="27"/>
    </row>
    <row r="8757">
      <c r="T8757" s="27"/>
      <c r="U8757" s="27"/>
    </row>
    <row r="8759">
      <c r="S8759" s="27"/>
      <c r="T8759" s="27"/>
      <c r="U8759" s="27"/>
    </row>
    <row r="8760">
      <c r="S8760" s="27"/>
      <c r="T8760" s="27"/>
      <c r="U8760" s="27"/>
    </row>
    <row r="8762">
      <c r="S8762" s="27"/>
      <c r="T8762" s="27"/>
      <c r="U8762" s="27"/>
    </row>
    <row r="8763">
      <c r="S8763" s="27"/>
      <c r="T8763" s="27"/>
      <c r="U8763" s="27"/>
    </row>
    <row r="8768">
      <c r="S8768" s="27"/>
      <c r="T8768" s="27"/>
      <c r="U8768" s="27"/>
    </row>
    <row r="8769">
      <c r="S8769" s="27"/>
      <c r="T8769" s="27"/>
      <c r="U8769" s="27"/>
    </row>
    <row r="8771">
      <c r="S8771" s="27"/>
      <c r="T8771" s="27"/>
      <c r="U8771" s="27"/>
    </row>
    <row r="8772">
      <c r="T8772" s="27"/>
      <c r="U8772" s="27"/>
    </row>
    <row r="8774">
      <c r="T8774" s="27"/>
      <c r="U8774" s="27"/>
    </row>
    <row r="8775">
      <c r="S8775" s="27"/>
      <c r="T8775" s="27"/>
      <c r="U8775" s="27"/>
    </row>
    <row r="8777">
      <c r="S8777" s="33"/>
      <c r="T8777" s="33"/>
      <c r="U8777" s="33"/>
    </row>
    <row r="8780">
      <c r="S8780" s="27"/>
      <c r="T8780" s="27"/>
    </row>
    <row r="8781">
      <c r="S8781" s="27"/>
      <c r="T8781" s="36"/>
    </row>
    <row r="8783">
      <c r="S8783" s="27"/>
      <c r="T8783" s="27"/>
      <c r="U8783" s="27"/>
    </row>
    <row r="8786">
      <c r="S8786" s="33"/>
      <c r="T8786" s="33"/>
      <c r="U8786" s="27"/>
    </row>
    <row r="8787">
      <c r="S8787" s="27"/>
      <c r="T8787" s="27"/>
      <c r="U8787" s="33"/>
    </row>
    <row r="8792">
      <c r="S8792" s="27"/>
      <c r="T8792" s="27"/>
      <c r="U8792" s="27"/>
    </row>
    <row r="8793">
      <c r="S8793" s="27"/>
      <c r="T8793" s="27"/>
      <c r="U8793" s="27"/>
    </row>
    <row r="8795">
      <c r="S8795" s="27"/>
      <c r="T8795" s="27"/>
      <c r="U8795" s="27"/>
    </row>
    <row r="8796">
      <c r="S8796" s="27"/>
      <c r="T8796" s="27"/>
      <c r="U8796" s="27"/>
    </row>
    <row r="8799">
      <c r="S8799" s="27"/>
      <c r="T8799" s="27"/>
      <c r="U8799" s="27"/>
    </row>
    <row r="8801">
      <c r="S8801" s="27"/>
      <c r="T8801" s="27"/>
      <c r="U8801" s="27"/>
    </row>
    <row r="8802">
      <c r="S8802" s="27"/>
      <c r="T8802" s="27"/>
      <c r="U8802" s="27"/>
    </row>
    <row r="8807">
      <c r="S8807" s="27"/>
      <c r="T8807" s="27"/>
      <c r="U8807" s="27"/>
    </row>
    <row r="8808">
      <c r="S8808" s="27"/>
      <c r="T8808" s="27"/>
      <c r="U8808" s="27"/>
    </row>
    <row r="8810">
      <c r="S8810" s="27"/>
      <c r="T8810" s="27"/>
      <c r="U8810" s="27"/>
    </row>
    <row r="8811">
      <c r="S8811" s="27"/>
      <c r="T8811" s="27"/>
      <c r="U8811" s="27"/>
    </row>
    <row r="8813">
      <c r="S8813" s="27"/>
      <c r="T8813" s="26"/>
      <c r="U8813" s="27"/>
    </row>
    <row r="8816">
      <c r="S8816" s="26"/>
      <c r="U8816" s="27"/>
    </row>
    <row r="8817">
      <c r="T8817" s="27"/>
      <c r="U8817" s="27"/>
    </row>
    <row r="8819">
      <c r="S8819" s="27"/>
      <c r="T8819" s="27"/>
      <c r="U8819" s="27"/>
    </row>
    <row r="8820">
      <c r="S8820" s="27"/>
      <c r="T8820" s="27"/>
      <c r="U8820" s="27"/>
    </row>
    <row r="8822">
      <c r="S8822" s="27"/>
      <c r="T8822" s="27"/>
      <c r="U8822" s="27"/>
    </row>
    <row r="8823">
      <c r="S8823" s="27"/>
      <c r="T8823" s="27"/>
      <c r="U8823" s="27"/>
    </row>
    <row r="8825">
      <c r="S8825" s="27"/>
      <c r="T8825" s="27"/>
      <c r="U8825" s="27"/>
    </row>
    <row r="8828">
      <c r="S8828" s="27"/>
      <c r="T8828" s="27"/>
      <c r="U8828" s="27"/>
    </row>
    <row r="8829">
      <c r="S8829" s="27"/>
      <c r="T8829" s="27"/>
      <c r="U8829" s="27"/>
    </row>
    <row r="8834">
      <c r="S8834" s="27"/>
      <c r="T8834" s="27"/>
      <c r="U8834" s="27"/>
    </row>
    <row r="8837">
      <c r="S8837" s="27"/>
      <c r="T8837" s="27"/>
      <c r="U8837" s="27"/>
    </row>
    <row r="8838">
      <c r="S8838" s="27"/>
      <c r="T8838" s="27"/>
      <c r="U8838" s="27"/>
    </row>
    <row r="8840">
      <c r="S8840" s="27"/>
      <c r="T8840" s="27"/>
      <c r="U8840" s="27"/>
    </row>
    <row r="8841">
      <c r="S8841" s="27"/>
      <c r="T8841" s="27"/>
      <c r="U8841" s="27"/>
    </row>
    <row r="8843">
      <c r="S8843" s="27"/>
      <c r="T8843" s="27"/>
      <c r="U8843" s="27"/>
    </row>
    <row r="8844">
      <c r="S8844" s="27"/>
      <c r="T8844" s="27"/>
      <c r="U8844" s="27"/>
    </row>
    <row r="8846">
      <c r="S8846" s="27"/>
      <c r="T8846" s="27"/>
    </row>
    <row r="8849">
      <c r="S8849" s="27"/>
      <c r="T8849" s="27"/>
      <c r="U8849" s="27"/>
    </row>
    <row r="8850">
      <c r="S8850" s="27"/>
      <c r="T8850" s="27"/>
      <c r="U8850" s="27"/>
    </row>
    <row r="8852">
      <c r="S8852" s="27"/>
      <c r="T8852" s="27"/>
      <c r="U8852" s="27"/>
    </row>
    <row r="8853">
      <c r="S8853" s="27"/>
      <c r="T8853" s="27"/>
      <c r="U8853" s="27"/>
    </row>
    <row r="8858">
      <c r="S8858" s="27"/>
      <c r="T8858" s="27"/>
      <c r="U8858" s="27"/>
    </row>
    <row r="8859">
      <c r="S8859" s="27"/>
      <c r="T8859" s="27"/>
      <c r="U8859" s="27"/>
    </row>
    <row r="8861">
      <c r="S8861" s="27"/>
      <c r="T8861" s="27"/>
      <c r="U8861" s="27"/>
    </row>
    <row r="8862">
      <c r="S8862" s="27"/>
      <c r="T8862" s="27"/>
      <c r="U8862" s="27"/>
    </row>
    <row r="8864">
      <c r="S8864" s="27"/>
      <c r="T8864" s="27"/>
      <c r="U8864" s="27"/>
    </row>
    <row r="8865">
      <c r="S8865" s="27"/>
      <c r="T8865" s="27"/>
      <c r="U8865" s="27"/>
    </row>
    <row r="8867">
      <c r="S8867" s="27"/>
      <c r="T8867" s="27"/>
      <c r="U8867" s="27"/>
    </row>
    <row r="8868">
      <c r="S8868" s="27"/>
      <c r="T8868" s="27"/>
      <c r="U8868" s="27"/>
    </row>
    <row r="8870">
      <c r="S8870" s="27"/>
      <c r="T8870" s="27"/>
      <c r="U8870" s="27"/>
    </row>
    <row r="8871">
      <c r="S8871" s="27"/>
      <c r="T8871" s="27"/>
      <c r="U8871" s="27"/>
    </row>
    <row r="8873">
      <c r="S8873" s="27"/>
      <c r="T8873" s="27"/>
      <c r="U8873" s="27"/>
    </row>
    <row r="8874">
      <c r="S8874" s="27"/>
      <c r="T8874" s="27"/>
      <c r="U8874" s="27"/>
    </row>
    <row r="8876">
      <c r="S8876" s="27"/>
      <c r="T8876" s="27"/>
      <c r="U8876" s="27"/>
    </row>
    <row r="8877">
      <c r="S8877" s="27"/>
      <c r="T8877" s="27"/>
      <c r="U8877" s="27"/>
    </row>
    <row r="8879">
      <c r="S8879" s="27"/>
      <c r="T8879" s="27"/>
      <c r="U8879" s="27"/>
    </row>
    <row r="8880">
      <c r="S8880" s="27"/>
      <c r="T8880" s="27"/>
      <c r="U8880" s="27"/>
    </row>
    <row r="8882">
      <c r="S8882" s="27"/>
      <c r="T8882" s="27"/>
      <c r="U8882" s="27"/>
    </row>
    <row r="8883">
      <c r="S8883" s="27"/>
      <c r="T8883" s="27"/>
      <c r="U8883" s="27"/>
    </row>
    <row r="8885">
      <c r="S8885" s="27"/>
      <c r="T8885" s="27"/>
      <c r="U8885" s="27"/>
    </row>
    <row r="8886">
      <c r="S8886" s="27"/>
      <c r="T8886" s="27"/>
      <c r="U8886" s="27"/>
    </row>
    <row r="8888">
      <c r="S8888" s="27"/>
      <c r="T8888" s="27"/>
      <c r="U8888" s="27"/>
    </row>
    <row r="8889">
      <c r="S8889" s="27"/>
      <c r="T8889" s="27"/>
      <c r="U8889" s="27"/>
    </row>
    <row r="8891">
      <c r="S8891" s="27"/>
      <c r="T8891" s="27"/>
      <c r="U8891" s="27"/>
    </row>
    <row r="8892">
      <c r="S8892" s="27"/>
      <c r="T8892" s="27"/>
      <c r="U8892" s="27"/>
    </row>
    <row r="8894">
      <c r="S8894" s="27"/>
      <c r="T8894" s="27"/>
      <c r="U8894" s="27"/>
    </row>
    <row r="8895">
      <c r="S8895" s="27"/>
      <c r="T8895" s="27"/>
      <c r="U8895" s="27"/>
    </row>
    <row r="8897">
      <c r="S8897" s="27"/>
      <c r="T8897" s="27"/>
      <c r="U8897" s="27"/>
    </row>
    <row r="8898">
      <c r="S8898" s="27"/>
      <c r="T8898" s="27"/>
      <c r="U8898" s="27"/>
    </row>
    <row r="8900">
      <c r="S8900" s="27"/>
      <c r="T8900" s="27"/>
      <c r="U8900" s="27"/>
    </row>
    <row r="8901">
      <c r="S8901" s="27"/>
      <c r="T8901" s="27"/>
      <c r="U8901" s="27"/>
    </row>
    <row r="8903">
      <c r="S8903" s="27"/>
      <c r="T8903" s="27"/>
      <c r="U8903" s="27"/>
    </row>
    <row r="8904">
      <c r="S8904" s="27"/>
      <c r="T8904" s="27"/>
      <c r="U8904" s="27"/>
    </row>
    <row r="8906">
      <c r="S8906" s="27"/>
      <c r="T8906" s="27"/>
      <c r="U8906" s="27"/>
    </row>
    <row r="8907">
      <c r="S8907" s="27"/>
      <c r="T8907" s="27"/>
      <c r="U8907" s="27"/>
    </row>
    <row r="8909">
      <c r="S8909" s="27"/>
      <c r="T8909" s="27"/>
      <c r="U8909" s="27"/>
    </row>
    <row r="8910">
      <c r="S8910" s="27"/>
      <c r="T8910" s="27"/>
      <c r="U8910" s="27"/>
    </row>
    <row r="8912">
      <c r="S8912" s="27"/>
      <c r="T8912" s="27"/>
      <c r="U8912" s="27"/>
    </row>
    <row r="8913">
      <c r="S8913" s="27"/>
      <c r="T8913" s="27"/>
      <c r="U8913" s="27"/>
    </row>
    <row r="8915">
      <c r="S8915" s="27"/>
      <c r="T8915" s="27"/>
      <c r="U8915" s="27"/>
    </row>
    <row r="8916">
      <c r="S8916" s="27"/>
      <c r="T8916" s="27"/>
      <c r="U8916" s="27"/>
    </row>
    <row r="8918">
      <c r="S8918" s="27"/>
      <c r="T8918" s="27"/>
      <c r="U8918" s="27"/>
    </row>
    <row r="8919">
      <c r="S8919" s="27"/>
      <c r="T8919" s="27"/>
      <c r="U8919" s="27"/>
    </row>
    <row r="8921">
      <c r="S8921" s="27"/>
      <c r="T8921" s="27"/>
      <c r="U8921" s="27"/>
    </row>
    <row r="8922">
      <c r="S8922" s="27"/>
      <c r="T8922" s="27"/>
      <c r="U8922" s="27"/>
    </row>
    <row r="8924">
      <c r="S8924" s="27"/>
      <c r="T8924" s="27"/>
      <c r="U8924" s="27"/>
    </row>
    <row r="8925">
      <c r="S8925" s="27"/>
      <c r="T8925" s="27"/>
      <c r="U8925" s="27"/>
    </row>
    <row r="8927">
      <c r="S8927" s="27"/>
      <c r="T8927" s="27"/>
      <c r="U8927" s="27"/>
    </row>
    <row r="8928">
      <c r="S8928" s="27"/>
      <c r="T8928" s="27"/>
      <c r="U8928" s="27"/>
    </row>
    <row r="8930">
      <c r="S8930" s="27"/>
      <c r="T8930" s="27"/>
      <c r="U8930" s="27"/>
    </row>
    <row r="8931">
      <c r="S8931" s="27"/>
      <c r="T8931" s="27"/>
      <c r="U8931" s="27"/>
    </row>
    <row r="8933">
      <c r="S8933" s="27"/>
      <c r="T8933" s="27"/>
      <c r="U8933" s="27"/>
    </row>
    <row r="8934">
      <c r="S8934" s="27"/>
      <c r="T8934" s="27"/>
      <c r="U8934" s="27"/>
    </row>
    <row r="8936">
      <c r="S8936" s="27"/>
      <c r="T8936" s="27"/>
      <c r="U8936" s="27"/>
    </row>
    <row r="8937">
      <c r="S8937" s="27"/>
      <c r="T8937" s="27"/>
      <c r="U8937" s="27"/>
    </row>
    <row r="8939">
      <c r="S8939" s="27"/>
      <c r="T8939" s="27"/>
      <c r="U8939" s="27"/>
    </row>
    <row r="8940">
      <c r="S8940" s="27"/>
      <c r="T8940" s="27"/>
      <c r="U8940" s="27"/>
    </row>
    <row r="8942">
      <c r="S8942" s="27"/>
      <c r="T8942" s="27"/>
      <c r="U8942" s="27"/>
    </row>
    <row r="8943">
      <c r="S8943" s="27"/>
      <c r="T8943" s="27"/>
      <c r="U8943" s="27"/>
    </row>
    <row r="8945">
      <c r="S8945" s="27"/>
      <c r="T8945" s="27"/>
      <c r="U8945" s="27"/>
    </row>
    <row r="8947">
      <c r="S8947" s="27"/>
      <c r="T8947" s="27"/>
      <c r="U8947" s="27"/>
    </row>
    <row r="8948">
      <c r="S8948" s="27"/>
      <c r="T8948" s="27"/>
      <c r="U8948" s="27"/>
    </row>
    <row r="8950">
      <c r="S8950" s="27"/>
      <c r="T8950" s="27"/>
      <c r="U8950" s="27"/>
    </row>
    <row r="8951">
      <c r="S8951" s="27"/>
      <c r="T8951" s="27"/>
      <c r="U8951" s="27"/>
    </row>
    <row r="8953">
      <c r="S8953" s="27"/>
    </row>
    <row r="8954">
      <c r="S8954" s="27"/>
      <c r="T8954" s="27"/>
      <c r="U8954" s="27"/>
    </row>
    <row r="8956">
      <c r="S8956" s="27"/>
      <c r="T8956" s="27"/>
      <c r="U8956" s="27"/>
    </row>
    <row r="8957">
      <c r="S8957" s="27"/>
      <c r="T8957" s="27"/>
      <c r="U8957" s="27"/>
    </row>
    <row r="8959">
      <c r="S8959" s="27"/>
      <c r="T8959" s="27"/>
      <c r="U8959" s="27"/>
    </row>
    <row r="8960">
      <c r="S8960" s="27"/>
      <c r="T8960" s="27"/>
      <c r="U8960" s="27"/>
    </row>
    <row r="8962">
      <c r="S8962" s="27"/>
      <c r="T8962" s="27"/>
      <c r="U8962" s="27"/>
    </row>
    <row r="8963">
      <c r="S8963" s="27"/>
      <c r="T8963" s="27"/>
      <c r="U8963" s="27"/>
    </row>
    <row r="8965">
      <c r="S8965" s="27"/>
      <c r="T8965" s="27"/>
      <c r="U8965" s="27"/>
    </row>
    <row r="8966">
      <c r="S8966" s="27"/>
      <c r="T8966" s="27"/>
      <c r="U8966" s="27"/>
    </row>
    <row r="8968">
      <c r="T8968" s="27"/>
    </row>
    <row r="8970">
      <c r="S8970" s="27"/>
      <c r="T8970" s="27"/>
      <c r="U8970" s="27"/>
    </row>
    <row r="8972">
      <c r="T8972" s="27"/>
      <c r="U8972" s="27"/>
    </row>
    <row r="8974">
      <c r="S8974" s="27"/>
      <c r="T8974" s="27"/>
      <c r="U8974" s="27"/>
    </row>
    <row r="8976">
      <c r="S8976" s="27"/>
      <c r="T8976" s="27"/>
      <c r="U8976" s="27"/>
    </row>
    <row r="8977">
      <c r="S8977" s="27"/>
      <c r="T8977" s="27"/>
      <c r="U8977" s="27"/>
    </row>
    <row r="8979">
      <c r="S8979" s="27"/>
      <c r="T8979" s="27"/>
      <c r="U8979" s="27"/>
    </row>
    <row r="8980">
      <c r="S8980" s="27"/>
      <c r="T8980" s="27"/>
      <c r="U8980" s="27"/>
    </row>
    <row r="8983">
      <c r="S8983" s="27"/>
      <c r="T8983" s="27"/>
    </row>
    <row r="8985">
      <c r="S8985" s="27"/>
      <c r="T8985" s="27"/>
      <c r="U8985" s="27"/>
    </row>
    <row r="8986">
      <c r="S8986" s="27"/>
      <c r="T8986" s="27"/>
      <c r="U8986" s="27"/>
    </row>
    <row r="8988">
      <c r="S8988" s="27"/>
      <c r="T8988" s="27"/>
      <c r="U8988" s="27"/>
    </row>
    <row r="8989">
      <c r="S8989" s="27"/>
      <c r="T8989" s="27"/>
      <c r="U8989" s="27"/>
    </row>
    <row r="8991">
      <c r="S8991" s="27"/>
      <c r="T8991" s="27"/>
      <c r="U8991" s="27"/>
    </row>
    <row r="8992">
      <c r="S8992" s="27"/>
      <c r="T8992" s="27"/>
      <c r="U8992" s="27"/>
    </row>
    <row r="8994">
      <c r="S8994" s="27"/>
      <c r="T8994" s="27"/>
      <c r="U8994" s="27"/>
    </row>
    <row r="8995">
      <c r="S8995" s="27"/>
      <c r="T8995" s="27"/>
      <c r="U8995" s="27"/>
    </row>
    <row r="8997">
      <c r="S8997" s="27"/>
      <c r="T8997" s="27"/>
      <c r="U8997" s="27"/>
    </row>
    <row r="9000">
      <c r="S9000" s="27"/>
      <c r="T9000" s="27"/>
      <c r="U9000" s="27"/>
    </row>
    <row r="9003">
      <c r="S9003" s="27"/>
      <c r="T9003" s="27"/>
      <c r="U9003" s="27"/>
    </row>
    <row r="9004">
      <c r="S9004" s="27"/>
      <c r="T9004" s="27"/>
      <c r="U9004" s="27"/>
    </row>
    <row r="9006">
      <c r="S9006" s="27"/>
      <c r="T9006" s="27"/>
      <c r="U9006" s="27"/>
    </row>
    <row r="9007">
      <c r="S9007" s="27"/>
      <c r="T9007" s="27"/>
      <c r="U9007" s="27"/>
    </row>
    <row r="9009">
      <c r="S9009" s="27"/>
      <c r="T9009" s="27"/>
      <c r="U9009" s="27"/>
    </row>
    <row r="9010">
      <c r="S9010" s="27"/>
      <c r="T9010" s="27"/>
      <c r="U9010" s="27"/>
    </row>
    <row r="9012">
      <c r="S9012" s="26"/>
      <c r="T9012" s="26"/>
    </row>
    <row r="9015">
      <c r="S9015" s="27"/>
      <c r="T9015" s="27"/>
      <c r="U9015" s="27"/>
    </row>
    <row r="9016">
      <c r="S9016" s="27"/>
      <c r="T9016" s="27"/>
      <c r="U9016" s="27"/>
    </row>
    <row r="9018">
      <c r="S9018" s="27"/>
      <c r="T9018" s="27"/>
      <c r="U9018" s="27"/>
    </row>
    <row r="9019">
      <c r="S9019" s="27"/>
      <c r="T9019" s="27"/>
      <c r="U9019" s="27"/>
    </row>
    <row r="9021">
      <c r="U9021" s="27"/>
    </row>
    <row r="9022">
      <c r="S9022" s="27"/>
      <c r="T9022" s="27"/>
      <c r="U9022" s="27"/>
    </row>
    <row r="9027">
      <c r="S9027" s="26"/>
      <c r="T9027" s="26"/>
      <c r="U9027" s="26"/>
    </row>
    <row r="9030">
      <c r="S9030" s="27"/>
      <c r="T9030" s="27"/>
      <c r="U9030" s="27"/>
    </row>
    <row r="9031">
      <c r="S9031" s="27"/>
      <c r="T9031" s="27"/>
      <c r="U9031" s="27"/>
    </row>
    <row r="9033">
      <c r="S9033" s="27"/>
      <c r="T9033" s="27"/>
      <c r="U9033" s="27"/>
    </row>
    <row r="9034">
      <c r="S9034" s="27"/>
      <c r="T9034" s="27"/>
      <c r="U9034" s="27"/>
    </row>
    <row r="9036">
      <c r="S9036" s="26"/>
      <c r="T9036" s="26"/>
      <c r="U9036" s="26"/>
    </row>
    <row r="9039">
      <c r="T9039" s="26"/>
    </row>
    <row r="9042">
      <c r="S9042" s="27"/>
      <c r="T9042" s="27"/>
      <c r="U9042" s="27"/>
    </row>
    <row r="9045">
      <c r="S9045" s="27"/>
      <c r="T9045" s="27"/>
      <c r="U9045" s="27"/>
    </row>
    <row r="9046">
      <c r="S9046" s="27"/>
      <c r="T9046" s="27"/>
      <c r="U9046" s="27"/>
    </row>
    <row r="9048">
      <c r="S9048" s="27"/>
      <c r="T9048" s="27"/>
      <c r="U9048" s="27"/>
    </row>
    <row r="9049">
      <c r="S9049" s="27"/>
      <c r="T9049" s="27"/>
      <c r="U9049" s="27"/>
    </row>
    <row r="9051">
      <c r="S9051" s="27"/>
      <c r="T9051" s="27"/>
      <c r="U9051" s="27"/>
    </row>
    <row r="9052">
      <c r="S9052" s="27"/>
      <c r="T9052" s="27"/>
      <c r="U9052" s="27"/>
    </row>
    <row r="9054">
      <c r="S9054" s="27"/>
      <c r="T9054" s="27"/>
      <c r="U9054" s="27"/>
    </row>
    <row r="9055">
      <c r="S9055" s="27"/>
      <c r="T9055" s="27"/>
      <c r="U9055" s="27"/>
    </row>
    <row r="9057">
      <c r="S9057" s="27"/>
      <c r="T9057" s="27"/>
      <c r="U9057" s="27"/>
    </row>
    <row r="9058">
      <c r="S9058" s="27"/>
      <c r="T9058" s="27"/>
      <c r="U9058" s="27"/>
    </row>
    <row r="9060">
      <c r="S9060" s="27"/>
      <c r="T9060" s="27"/>
      <c r="U9060" s="27"/>
    </row>
    <row r="9061">
      <c r="S9061" s="27"/>
      <c r="T9061" s="27"/>
      <c r="U9061" s="27"/>
    </row>
    <row r="9063">
      <c r="S9063" s="27"/>
      <c r="T9063" s="27"/>
      <c r="U9063" s="27"/>
    </row>
    <row r="9064">
      <c r="S9064" s="27"/>
      <c r="T9064" s="27"/>
      <c r="U9064" s="27"/>
    </row>
    <row r="9066">
      <c r="S9066" s="26"/>
      <c r="T9066" s="27"/>
      <c r="U9066" s="27"/>
    </row>
    <row r="9067">
      <c r="S9067" s="26"/>
      <c r="T9067" s="27"/>
      <c r="U9067" s="27"/>
    </row>
    <row r="9069">
      <c r="S9069" s="27"/>
      <c r="T9069" s="27"/>
      <c r="U9069" s="27"/>
    </row>
    <row r="9070">
      <c r="S9070" s="27"/>
      <c r="T9070" s="27"/>
      <c r="U9070" s="27"/>
    </row>
    <row r="9072">
      <c r="S9072" s="27"/>
      <c r="T9072" s="27"/>
      <c r="U9072" s="27"/>
    </row>
    <row r="9073">
      <c r="S9073" s="27"/>
      <c r="T9073" s="27"/>
      <c r="U9073" s="27"/>
    </row>
    <row r="9075">
      <c r="S9075" s="27"/>
      <c r="T9075" s="27"/>
      <c r="U9075" s="27"/>
    </row>
    <row r="9076">
      <c r="S9076" s="27"/>
      <c r="T9076" s="27"/>
      <c r="U9076" s="27"/>
    </row>
    <row r="9078">
      <c r="S9078" s="27"/>
      <c r="T9078" s="27"/>
      <c r="U9078" s="27"/>
    </row>
    <row r="9079">
      <c r="S9079" s="27"/>
      <c r="T9079" s="27"/>
      <c r="U9079" s="27"/>
    </row>
    <row r="9081">
      <c r="S9081" s="27"/>
      <c r="T9081" s="27"/>
      <c r="U9081" s="27"/>
    </row>
    <row r="9082">
      <c r="S9082" s="27"/>
      <c r="T9082" s="27"/>
      <c r="U9082" s="27"/>
    </row>
    <row r="9084">
      <c r="S9084" s="27"/>
      <c r="T9084" s="27"/>
      <c r="U9084" s="27"/>
    </row>
    <row r="9085">
      <c r="S9085" s="27"/>
      <c r="T9085" s="27"/>
      <c r="U9085" s="27"/>
    </row>
    <row r="9087">
      <c r="S9087" s="27"/>
      <c r="T9087" s="27"/>
      <c r="U9087" s="27"/>
    </row>
    <row r="9088">
      <c r="S9088" s="27"/>
      <c r="T9088" s="27"/>
      <c r="U9088" s="27"/>
    </row>
    <row r="9090">
      <c r="S9090" s="27"/>
      <c r="T9090" s="27"/>
      <c r="U9090" s="27"/>
    </row>
    <row r="9091">
      <c r="S9091" s="27"/>
      <c r="T9091" s="27"/>
      <c r="U9091" s="27"/>
    </row>
    <row r="9093">
      <c r="S9093" s="27"/>
      <c r="T9093" s="27"/>
      <c r="U9093" s="27"/>
    </row>
    <row r="9094">
      <c r="S9094" s="27"/>
      <c r="T9094" s="27"/>
      <c r="U9094" s="27"/>
    </row>
    <row r="9096">
      <c r="S9096" s="27"/>
      <c r="T9096" s="27"/>
      <c r="U9096" s="27"/>
    </row>
    <row r="9097">
      <c r="S9097" s="27"/>
      <c r="T9097" s="27"/>
      <c r="U9097" s="27"/>
    </row>
    <row r="9099">
      <c r="S9099" s="27"/>
      <c r="T9099" s="27"/>
      <c r="U9099" s="27"/>
    </row>
    <row r="9100">
      <c r="S9100" s="27"/>
      <c r="T9100" s="27"/>
      <c r="U9100" s="27"/>
    </row>
    <row r="9102">
      <c r="S9102" s="27"/>
      <c r="T9102" s="27"/>
      <c r="U9102" s="27"/>
    </row>
    <row r="9103">
      <c r="S9103" s="27"/>
      <c r="T9103" s="27"/>
      <c r="U9103" s="27"/>
    </row>
    <row r="9105">
      <c r="S9105" s="27"/>
      <c r="T9105" s="27"/>
      <c r="U9105" s="27"/>
    </row>
    <row r="9106">
      <c r="S9106" s="27"/>
      <c r="T9106" s="27"/>
      <c r="U9106" s="27"/>
    </row>
    <row r="9108">
      <c r="S9108" s="27"/>
      <c r="T9108" s="27"/>
      <c r="U9108" s="27"/>
    </row>
    <row r="9109">
      <c r="S9109" s="27"/>
      <c r="T9109" s="27"/>
      <c r="U9109" s="27"/>
    </row>
    <row r="9111">
      <c r="S9111" s="27"/>
      <c r="T9111" s="27"/>
      <c r="U9111" s="27"/>
    </row>
    <row r="9112">
      <c r="S9112" s="27"/>
      <c r="T9112" s="27"/>
      <c r="U9112" s="27"/>
    </row>
    <row r="9114">
      <c r="S9114" s="27"/>
      <c r="T9114" s="27"/>
      <c r="U9114" s="27"/>
    </row>
    <row r="9115">
      <c r="S9115" s="27"/>
      <c r="T9115" s="27"/>
      <c r="U9115" s="27"/>
    </row>
    <row r="9120">
      <c r="S9120" s="27"/>
      <c r="T9120" s="27"/>
      <c r="U9120" s="27"/>
    </row>
    <row r="9121">
      <c r="S9121" s="27"/>
      <c r="T9121" s="27"/>
      <c r="U9121" s="27"/>
    </row>
    <row r="9123">
      <c r="S9123" s="27"/>
      <c r="T9123" s="27"/>
      <c r="U9123" s="27"/>
    </row>
    <row r="9126">
      <c r="S9126" s="33"/>
      <c r="T9126" s="27"/>
      <c r="U9126" s="33"/>
    </row>
    <row r="9127">
      <c r="S9127" s="27"/>
      <c r="T9127" s="27"/>
      <c r="U9127" s="27"/>
    </row>
    <row r="9129">
      <c r="S9129" s="27"/>
      <c r="T9129" s="27"/>
      <c r="U9129" s="27"/>
    </row>
    <row r="9132">
      <c r="S9132" s="27"/>
      <c r="T9132" s="27"/>
      <c r="U9132" s="27"/>
    </row>
    <row r="9133">
      <c r="S9133" s="26"/>
      <c r="T9133" s="26"/>
      <c r="U9133" s="26"/>
    </row>
    <row r="9135">
      <c r="S9135" s="27"/>
      <c r="T9135" s="27"/>
      <c r="U9135" s="27"/>
    </row>
    <row r="9136">
      <c r="S9136" s="27"/>
      <c r="T9136" s="27"/>
      <c r="U9136" s="27"/>
    </row>
    <row r="9138">
      <c r="S9138" s="27"/>
      <c r="T9138" s="27"/>
      <c r="U9138" s="27"/>
    </row>
    <row r="9139">
      <c r="S9139" s="27"/>
      <c r="T9139" s="27"/>
      <c r="U9139" s="27"/>
    </row>
    <row r="9141">
      <c r="S9141" s="27"/>
      <c r="T9141" s="27"/>
      <c r="U9141" s="27"/>
    </row>
    <row r="9142">
      <c r="S9142" s="27"/>
      <c r="T9142" s="27"/>
      <c r="U9142" s="27"/>
    </row>
    <row r="9144">
      <c r="U9144" s="27"/>
    </row>
    <row r="9147">
      <c r="S9147" s="26"/>
      <c r="T9147" s="26"/>
      <c r="U9147" s="26"/>
    </row>
    <row r="9152">
      <c r="S9152" s="27"/>
      <c r="T9152" s="27"/>
      <c r="U9152" s="27"/>
    </row>
    <row r="9154">
      <c r="S9154" s="27"/>
      <c r="T9154" s="27"/>
      <c r="U9154" s="26"/>
    </row>
    <row r="9157">
      <c r="S9157" s="34"/>
      <c r="T9157" s="34"/>
      <c r="U9157" s="27"/>
    </row>
    <row r="9160">
      <c r="S9160" s="27"/>
      <c r="T9160" s="27"/>
      <c r="U9160" s="27"/>
    </row>
    <row r="9161">
      <c r="S9161" s="27"/>
      <c r="T9161" s="27"/>
      <c r="U9161" s="27"/>
    </row>
    <row r="9163">
      <c r="S9163" s="27"/>
      <c r="T9163" s="27"/>
      <c r="U9163" s="27"/>
    </row>
    <row r="9164">
      <c r="S9164" s="27"/>
      <c r="T9164" s="27"/>
      <c r="U9164" s="27"/>
    </row>
    <row r="9166">
      <c r="S9166" s="27"/>
      <c r="T9166" s="27"/>
      <c r="U9166" s="27"/>
    </row>
    <row r="9167">
      <c r="S9167" s="27"/>
      <c r="T9167" s="27"/>
      <c r="U9167" s="27"/>
    </row>
    <row r="9169">
      <c r="S9169" s="27"/>
      <c r="T9169" s="27"/>
      <c r="U9169" s="27"/>
    </row>
    <row r="9170">
      <c r="S9170" s="27"/>
      <c r="T9170" s="27"/>
    </row>
    <row r="9172">
      <c r="S9172" s="27"/>
      <c r="T9172" s="27"/>
      <c r="U9172" s="27"/>
    </row>
    <row r="9173">
      <c r="S9173" s="27"/>
      <c r="T9173" s="27"/>
      <c r="U9173" s="27"/>
    </row>
    <row r="9178">
      <c r="S9178" s="27"/>
      <c r="T9178" s="27"/>
      <c r="U9178" s="27"/>
    </row>
    <row r="9179">
      <c r="S9179" s="27"/>
      <c r="T9179" s="27"/>
      <c r="U9179" s="27"/>
    </row>
    <row r="9181">
      <c r="S9181" s="27"/>
      <c r="T9181" s="27"/>
      <c r="U9181" s="27"/>
    </row>
    <row r="9182">
      <c r="S9182" s="27"/>
      <c r="T9182" s="27"/>
      <c r="U9182" s="27"/>
    </row>
    <row r="9184">
      <c r="S9184" s="27"/>
      <c r="T9184" s="27"/>
      <c r="U9184" s="27"/>
    </row>
    <row r="9185">
      <c r="S9185" s="27"/>
      <c r="T9185" s="27"/>
      <c r="U9185" s="27"/>
    </row>
    <row r="9187">
      <c r="S9187" s="27"/>
      <c r="T9187" s="27"/>
      <c r="U9187" s="33"/>
    </row>
    <row r="9190">
      <c r="S9190" s="27"/>
      <c r="T9190" s="27"/>
      <c r="U9190" s="27"/>
    </row>
    <row r="9191">
      <c r="S9191" s="27"/>
      <c r="T9191" s="27"/>
      <c r="U9191" s="27"/>
    </row>
    <row r="9193">
      <c r="S9193" s="27"/>
      <c r="T9193" s="27"/>
      <c r="U9193" s="27"/>
    </row>
    <row r="9196">
      <c r="S9196" s="27"/>
      <c r="T9196" s="27"/>
      <c r="U9196" s="27"/>
    </row>
    <row r="9197">
      <c r="S9197" s="27"/>
      <c r="T9197" s="27"/>
      <c r="U9197" s="27"/>
    </row>
    <row r="9202">
      <c r="S9202" s="27"/>
      <c r="T9202" s="27"/>
      <c r="U9202" s="27"/>
    </row>
    <row r="9203">
      <c r="S9203" s="27"/>
      <c r="T9203" s="27"/>
      <c r="U9203" s="27"/>
    </row>
    <row r="9205">
      <c r="S9205" s="27"/>
      <c r="T9205" s="27"/>
      <c r="U9205" s="27"/>
    </row>
    <row r="9206">
      <c r="S9206" s="27"/>
      <c r="T9206" s="27"/>
      <c r="U9206" s="27"/>
    </row>
    <row r="9208">
      <c r="S9208" s="27"/>
      <c r="T9208" s="27"/>
      <c r="U9208" s="27"/>
    </row>
    <row r="9209">
      <c r="S9209" s="27"/>
      <c r="T9209" s="27"/>
      <c r="U9209" s="27"/>
    </row>
    <row r="9211">
      <c r="S9211" s="27"/>
      <c r="T9211" s="27"/>
      <c r="U9211" s="27"/>
    </row>
    <row r="9212">
      <c r="S9212" s="27"/>
      <c r="T9212" s="27"/>
      <c r="U9212" s="27"/>
    </row>
    <row r="9217">
      <c r="S9217" s="27"/>
      <c r="T9217" s="27"/>
      <c r="U9217" s="33"/>
    </row>
    <row r="9218">
      <c r="S9218" s="27"/>
      <c r="T9218" s="27"/>
      <c r="U9218" s="27"/>
    </row>
    <row r="9220">
      <c r="S9220" s="27"/>
      <c r="T9220" s="27"/>
      <c r="U9220" s="27"/>
    </row>
    <row r="9221">
      <c r="S9221" s="27"/>
      <c r="T9221" s="27"/>
      <c r="U9221" s="27"/>
    </row>
    <row r="9223">
      <c r="S9223" s="27"/>
      <c r="T9223" s="27"/>
      <c r="U9223" s="27"/>
    </row>
    <row r="9226">
      <c r="U9226" s="27"/>
    </row>
    <row r="9227">
      <c r="S9227" s="27"/>
      <c r="T9227" s="27"/>
    </row>
    <row r="9229">
      <c r="S9229" s="27"/>
      <c r="T9229" s="27"/>
      <c r="U9229" s="27"/>
    </row>
    <row r="9230">
      <c r="S9230" s="27"/>
      <c r="T9230" s="27"/>
      <c r="U9230" s="27"/>
    </row>
    <row r="9234">
      <c r="S9234" s="27"/>
      <c r="T9234" s="27"/>
      <c r="U9234" s="27"/>
    </row>
    <row r="9235">
      <c r="S9235" s="27"/>
      <c r="T9235" s="27"/>
      <c r="U9235" s="27"/>
    </row>
    <row r="9237">
      <c r="S9237" s="26"/>
      <c r="T9237" s="26"/>
      <c r="U9237" s="26"/>
    </row>
    <row r="9240">
      <c r="S9240" s="27"/>
      <c r="T9240" s="27"/>
      <c r="U9240" s="33"/>
    </row>
    <row r="9243">
      <c r="S9243" s="27"/>
      <c r="T9243" s="27"/>
      <c r="U9243" s="27"/>
    </row>
    <row r="9244">
      <c r="S9244" s="27"/>
      <c r="T9244" s="27"/>
      <c r="U9244" s="27"/>
    </row>
    <row r="9246">
      <c r="S9246" s="27"/>
      <c r="T9246" s="27"/>
      <c r="U9246" s="27"/>
    </row>
    <row r="9247">
      <c r="S9247" s="27"/>
      <c r="T9247" s="27"/>
      <c r="U9247" s="27"/>
    </row>
    <row r="9249">
      <c r="S9249" s="27"/>
      <c r="T9249" s="27"/>
      <c r="U9249" s="27"/>
    </row>
    <row r="9250">
      <c r="S9250" s="27"/>
      <c r="T9250" s="27"/>
      <c r="U9250" s="27"/>
    </row>
    <row r="9255">
      <c r="S9255" s="27"/>
      <c r="T9255" s="27"/>
      <c r="U9255" s="27"/>
    </row>
    <row r="9256">
      <c r="S9256" s="27"/>
      <c r="T9256" s="27"/>
      <c r="U9256" s="27"/>
    </row>
    <row r="9258">
      <c r="S9258" s="27"/>
      <c r="T9258" s="27"/>
      <c r="U9258" s="27"/>
    </row>
    <row r="9259">
      <c r="S9259" s="27"/>
      <c r="T9259" s="27"/>
      <c r="U9259" s="27"/>
    </row>
    <row r="9261">
      <c r="S9261" s="27"/>
      <c r="T9261" s="27"/>
      <c r="U9261" s="27"/>
    </row>
    <row r="9262">
      <c r="S9262" s="27"/>
      <c r="T9262" s="27"/>
      <c r="U9262" s="27"/>
    </row>
    <row r="9264">
      <c r="S9264" s="27"/>
      <c r="T9264" s="27"/>
      <c r="U9264" s="27"/>
    </row>
    <row r="9265">
      <c r="S9265" s="27"/>
      <c r="T9265" s="27"/>
      <c r="U9265" s="27"/>
    </row>
    <row r="9267">
      <c r="S9267" s="27"/>
      <c r="T9267" s="27"/>
      <c r="U9267" s="27"/>
    </row>
    <row r="9268">
      <c r="S9268" s="27"/>
      <c r="T9268" s="27"/>
      <c r="U9268" s="27"/>
    </row>
    <row r="9270">
      <c r="S9270" s="27"/>
      <c r="T9270" s="27"/>
      <c r="U9270" s="27"/>
    </row>
    <row r="9271">
      <c r="S9271" s="27"/>
      <c r="T9271" s="27"/>
      <c r="U9271" s="27"/>
    </row>
    <row r="9273">
      <c r="S9273" s="27"/>
      <c r="T9273" s="27"/>
      <c r="U9273" s="27"/>
    </row>
    <row r="9274">
      <c r="S9274" s="27"/>
      <c r="T9274" s="27"/>
      <c r="U9274" s="27"/>
    </row>
    <row r="9276">
      <c r="S9276" s="27"/>
      <c r="T9276" s="27"/>
      <c r="U9276" s="27"/>
    </row>
    <row r="9277">
      <c r="S9277" s="27"/>
      <c r="T9277" s="27"/>
      <c r="U9277" s="27"/>
    </row>
    <row r="9279">
      <c r="S9279" s="27"/>
      <c r="T9279" s="27"/>
      <c r="U9279" s="27"/>
    </row>
    <row r="9280">
      <c r="S9280" s="27"/>
      <c r="T9280" s="27"/>
      <c r="U9280" s="27"/>
    </row>
    <row r="9282">
      <c r="S9282" s="27"/>
      <c r="T9282" s="27"/>
      <c r="U9282" s="27"/>
    </row>
    <row r="9283">
      <c r="S9283" s="27"/>
      <c r="T9283" s="27"/>
      <c r="U9283" s="27"/>
    </row>
    <row r="9285">
      <c r="S9285" s="27"/>
      <c r="T9285" s="27"/>
      <c r="U9285" s="27"/>
    </row>
    <row r="9286">
      <c r="S9286" s="27"/>
      <c r="T9286" s="27"/>
      <c r="U9286" s="27"/>
    </row>
    <row r="9288">
      <c r="S9288" s="27"/>
      <c r="T9288" s="27"/>
      <c r="U9288" s="27"/>
    </row>
    <row r="9289">
      <c r="S9289" s="27"/>
      <c r="T9289" s="27"/>
      <c r="U9289" s="27"/>
    </row>
    <row r="9291">
      <c r="S9291" s="27"/>
      <c r="T9291" s="27"/>
      <c r="U9291" s="27"/>
    </row>
    <row r="9292">
      <c r="S9292" s="27"/>
      <c r="T9292" s="27"/>
      <c r="U9292" s="27"/>
    </row>
    <row r="9294">
      <c r="S9294" s="27"/>
      <c r="T9294" s="27"/>
      <c r="U9294" s="27"/>
    </row>
    <row r="9295">
      <c r="S9295" s="27"/>
      <c r="T9295" s="27"/>
      <c r="U9295" s="27"/>
    </row>
    <row r="9297">
      <c r="S9297" s="27"/>
      <c r="T9297" s="27"/>
      <c r="U9297" s="27"/>
    </row>
    <row r="9298">
      <c r="S9298" s="27"/>
      <c r="T9298" s="27"/>
      <c r="U9298" s="27"/>
    </row>
    <row r="9300">
      <c r="S9300" s="27"/>
      <c r="T9300" s="27"/>
      <c r="U9300" s="27"/>
    </row>
    <row r="9301">
      <c r="S9301" s="27"/>
      <c r="T9301" s="27"/>
      <c r="U9301" s="27"/>
    </row>
    <row r="9303">
      <c r="S9303" s="27"/>
      <c r="T9303" s="27"/>
      <c r="U9303" s="27"/>
    </row>
    <row r="9304">
      <c r="S9304" s="27"/>
      <c r="T9304" s="27"/>
      <c r="U9304" s="27"/>
    </row>
    <row r="9306">
      <c r="S9306" s="27"/>
      <c r="T9306" s="27"/>
      <c r="U9306" s="27"/>
    </row>
    <row r="9307">
      <c r="S9307" s="27"/>
      <c r="T9307" s="27"/>
      <c r="U9307" s="27"/>
    </row>
    <row r="9309">
      <c r="S9309" s="27"/>
      <c r="T9309" s="27"/>
      <c r="U9309" s="27"/>
    </row>
    <row r="9310">
      <c r="S9310" s="27"/>
      <c r="T9310" s="27"/>
      <c r="U9310" s="27"/>
    </row>
    <row r="9312">
      <c r="S9312" s="27"/>
      <c r="T9312" s="27"/>
      <c r="U9312" s="27"/>
    </row>
    <row r="9313">
      <c r="S9313" s="27"/>
      <c r="T9313" s="27"/>
      <c r="U9313" s="27"/>
    </row>
    <row r="9315">
      <c r="S9315" s="27"/>
      <c r="T9315" s="27"/>
      <c r="U9315" s="27"/>
    </row>
    <row r="9316">
      <c r="S9316" s="27"/>
      <c r="T9316" s="27"/>
      <c r="U9316" s="27"/>
    </row>
    <row r="9318">
      <c r="S9318" s="27"/>
      <c r="T9318" s="27"/>
      <c r="U9318" s="27"/>
    </row>
    <row r="9319">
      <c r="S9319" s="27"/>
      <c r="T9319" s="27"/>
      <c r="U9319" s="27"/>
    </row>
    <row r="9321">
      <c r="S9321" s="27"/>
      <c r="T9321" s="27"/>
      <c r="U9321" s="27"/>
    </row>
    <row r="9322">
      <c r="S9322" s="27"/>
      <c r="T9322" s="27"/>
      <c r="U9322" s="27"/>
    </row>
    <row r="9324">
      <c r="S9324" s="27"/>
      <c r="T9324" s="27"/>
      <c r="U9324" s="27"/>
    </row>
    <row r="9325">
      <c r="S9325" s="27"/>
      <c r="T9325" s="27"/>
      <c r="U9325" s="27"/>
    </row>
    <row r="9327">
      <c r="S9327" s="27"/>
      <c r="T9327" s="27"/>
      <c r="U9327" s="27"/>
    </row>
    <row r="9328">
      <c r="S9328" s="27"/>
      <c r="T9328" s="27"/>
      <c r="U9328" s="27"/>
    </row>
    <row r="9330">
      <c r="S9330" s="27"/>
      <c r="T9330" s="27"/>
      <c r="U9330" s="27"/>
    </row>
    <row r="9331">
      <c r="S9331" s="27"/>
      <c r="T9331" s="27"/>
      <c r="U9331" s="27"/>
    </row>
    <row r="9333">
      <c r="S9333" s="27"/>
      <c r="T9333" s="27"/>
      <c r="U9333" s="27"/>
    </row>
    <row r="9334">
      <c r="S9334" s="27"/>
      <c r="T9334" s="27"/>
      <c r="U9334" s="27"/>
    </row>
    <row r="9336">
      <c r="S9336" s="27"/>
      <c r="T9336" s="27"/>
      <c r="U9336" s="27"/>
    </row>
    <row r="9337">
      <c r="S9337" s="27"/>
      <c r="T9337" s="27"/>
      <c r="U9337" s="27"/>
    </row>
    <row r="9339">
      <c r="S9339" s="27"/>
      <c r="T9339" s="27"/>
      <c r="U9339" s="27"/>
    </row>
    <row r="9340">
      <c r="S9340" s="27"/>
      <c r="T9340" s="27"/>
      <c r="U9340" s="27"/>
    </row>
    <row r="9342">
      <c r="S9342" s="27"/>
      <c r="T9342" s="27"/>
      <c r="U9342" s="27"/>
    </row>
    <row r="9343">
      <c r="S9343" s="27"/>
      <c r="T9343" s="27"/>
      <c r="U9343" s="27"/>
    </row>
    <row r="9345">
      <c r="S9345" s="27"/>
      <c r="T9345" s="27"/>
      <c r="U9345" s="27"/>
    </row>
    <row r="9346">
      <c r="S9346" s="27"/>
      <c r="T9346" s="27"/>
      <c r="U9346" s="27"/>
    </row>
    <row r="9348">
      <c r="S9348" s="27"/>
      <c r="T9348" s="27"/>
      <c r="U9348" s="27"/>
    </row>
    <row r="9350">
      <c r="S9350" s="27"/>
      <c r="T9350" s="27"/>
      <c r="U9350" s="27"/>
    </row>
    <row r="9351">
      <c r="S9351" s="27"/>
      <c r="T9351" s="27"/>
      <c r="U9351" s="27"/>
    </row>
    <row r="9353">
      <c r="S9353" s="27"/>
      <c r="T9353" s="27"/>
      <c r="U9353" s="27"/>
    </row>
    <row r="9354">
      <c r="S9354" s="27"/>
      <c r="T9354" s="27"/>
      <c r="U9354" s="27"/>
    </row>
    <row r="9356">
      <c r="S9356" s="27"/>
      <c r="T9356" s="27"/>
      <c r="U9356" s="27"/>
    </row>
    <row r="9357">
      <c r="S9357" s="27"/>
      <c r="T9357" s="27"/>
      <c r="U9357" s="27"/>
    </row>
    <row r="9359">
      <c r="S9359" s="27"/>
      <c r="T9359" s="27"/>
      <c r="U9359" s="27"/>
    </row>
    <row r="9360">
      <c r="S9360" s="27"/>
      <c r="T9360" s="27"/>
      <c r="U9360" s="27"/>
    </row>
    <row r="9362">
      <c r="S9362" s="27"/>
      <c r="T9362" s="27"/>
      <c r="U9362" s="27"/>
    </row>
    <row r="9363">
      <c r="S9363" s="27"/>
      <c r="T9363" s="27"/>
      <c r="U9363" s="27"/>
    </row>
    <row r="9365">
      <c r="S9365" s="27"/>
      <c r="T9365" s="27"/>
      <c r="U9365" s="27"/>
    </row>
    <row r="9366">
      <c r="S9366" s="27"/>
      <c r="T9366" s="27"/>
      <c r="U9366" s="27"/>
    </row>
    <row r="9368">
      <c r="S9368" s="27"/>
      <c r="T9368" s="27"/>
      <c r="U9368" s="27"/>
    </row>
    <row r="9369">
      <c r="S9369" s="27"/>
      <c r="T9369" s="27"/>
      <c r="U9369" s="27"/>
    </row>
    <row r="9371">
      <c r="S9371" s="27"/>
      <c r="T9371" s="27"/>
      <c r="U9371" s="27"/>
    </row>
    <row r="9373">
      <c r="S9373" s="27"/>
      <c r="T9373" s="27"/>
      <c r="U9373" s="27"/>
    </row>
    <row r="9375">
      <c r="S9375" s="27"/>
      <c r="T9375" s="27"/>
      <c r="U9375" s="27"/>
    </row>
    <row r="9377">
      <c r="S9377" s="27"/>
      <c r="T9377" s="27"/>
      <c r="U9377" s="27"/>
    </row>
    <row r="9379">
      <c r="S9379" s="27"/>
      <c r="T9379" s="27"/>
      <c r="U9379" s="27"/>
    </row>
    <row r="9380">
      <c r="S9380" s="27"/>
      <c r="T9380" s="27"/>
      <c r="U9380" s="27"/>
    </row>
    <row r="9382">
      <c r="S9382" s="27"/>
      <c r="T9382" s="27"/>
      <c r="U9382" s="27"/>
    </row>
    <row r="9383">
      <c r="S9383" s="27"/>
      <c r="T9383" s="27"/>
      <c r="U9383" s="27"/>
    </row>
    <row r="9385">
      <c r="S9385" s="27"/>
      <c r="T9385" s="27"/>
      <c r="U9385" s="27"/>
    </row>
    <row r="9386">
      <c r="S9386" s="27"/>
      <c r="T9386" s="27"/>
    </row>
    <row r="9388">
      <c r="S9388" s="27"/>
      <c r="T9388" s="27"/>
      <c r="U9388" s="27"/>
    </row>
    <row r="9389">
      <c r="S9389" s="27"/>
      <c r="T9389" s="27"/>
      <c r="U9389" s="27"/>
    </row>
    <row r="9391">
      <c r="S9391" s="27"/>
      <c r="T9391" s="27"/>
      <c r="U9391" s="27"/>
    </row>
    <row r="9392">
      <c r="S9392" s="27"/>
      <c r="T9392" s="27"/>
      <c r="U9392" s="27"/>
    </row>
    <row r="9394">
      <c r="S9394" s="27"/>
      <c r="T9394" s="27"/>
      <c r="U9394" s="27"/>
    </row>
    <row r="9395">
      <c r="S9395" s="27"/>
      <c r="T9395" s="27"/>
      <c r="U9395" s="27"/>
    </row>
    <row r="9397">
      <c r="S9397" s="27"/>
      <c r="T9397" s="27"/>
      <c r="U9397" s="27"/>
    </row>
    <row r="9398">
      <c r="S9398" s="27"/>
      <c r="T9398" s="27"/>
      <c r="U9398" s="27"/>
    </row>
    <row r="9401">
      <c r="S9401" s="34"/>
    </row>
    <row r="9403">
      <c r="S9403" s="27"/>
      <c r="T9403" s="27"/>
      <c r="U9403" s="27"/>
    </row>
    <row r="9406">
      <c r="S9406" s="27"/>
      <c r="T9406" s="27"/>
      <c r="U9406" s="27"/>
    </row>
    <row r="9407">
      <c r="S9407" s="27"/>
      <c r="T9407" s="27"/>
      <c r="U9407" s="27"/>
    </row>
    <row r="9409">
      <c r="S9409" s="27"/>
      <c r="T9409" s="27"/>
      <c r="U9409" s="27"/>
    </row>
    <row r="9410">
      <c r="S9410" s="27"/>
      <c r="T9410" s="27"/>
      <c r="U9410" s="27"/>
    </row>
    <row r="9412">
      <c r="S9412" s="27"/>
      <c r="T9412" s="27"/>
      <c r="U9412" s="27"/>
    </row>
    <row r="9413">
      <c r="S9413" s="27"/>
      <c r="T9413" s="27"/>
      <c r="U9413" s="27"/>
    </row>
    <row r="9418">
      <c r="S9418" s="27"/>
      <c r="T9418" s="27"/>
      <c r="U9418" s="27"/>
    </row>
    <row r="9419">
      <c r="S9419" s="27"/>
      <c r="T9419" s="27"/>
      <c r="U9419" s="27"/>
    </row>
    <row r="9421">
      <c r="S9421" s="27"/>
      <c r="T9421" s="27"/>
      <c r="U9421" s="27"/>
    </row>
    <row r="9422">
      <c r="S9422" s="27"/>
      <c r="T9422" s="27"/>
      <c r="U9422" s="27"/>
    </row>
    <row r="9424">
      <c r="U9424" s="27"/>
    </row>
    <row r="9425">
      <c r="S9425" s="27"/>
      <c r="T9425" s="27"/>
      <c r="U9425" s="27"/>
    </row>
    <row r="9433">
      <c r="S9433" s="27"/>
      <c r="T9433" s="27"/>
      <c r="U9433" s="27"/>
    </row>
    <row r="9434">
      <c r="S9434" s="27"/>
      <c r="T9434" s="27"/>
      <c r="U9434" s="27"/>
    </row>
    <row r="9436">
      <c r="S9436" s="27"/>
      <c r="T9436" s="27"/>
      <c r="U9436" s="27"/>
    </row>
    <row r="9437">
      <c r="S9437" s="27"/>
      <c r="T9437" s="27"/>
      <c r="U9437" s="27"/>
    </row>
    <row r="9442">
      <c r="S9442" s="26"/>
      <c r="T9442" s="26"/>
    </row>
    <row r="9445">
      <c r="S9445" s="27"/>
      <c r="T9445" s="27"/>
      <c r="U9445" s="27"/>
    </row>
    <row r="9448">
      <c r="S9448" s="27"/>
      <c r="T9448" s="27"/>
      <c r="U9448" s="27"/>
    </row>
    <row r="9449">
      <c r="S9449" s="27"/>
      <c r="T9449" s="27"/>
      <c r="U9449" s="27"/>
    </row>
    <row r="9451">
      <c r="S9451" s="27"/>
      <c r="T9451" s="27"/>
      <c r="U9451" s="27"/>
    </row>
    <row r="9452">
      <c r="S9452" s="27"/>
      <c r="T9452" s="27"/>
      <c r="U9452" s="27"/>
    </row>
    <row r="9454">
      <c r="S9454" s="27"/>
      <c r="T9454" s="27"/>
      <c r="U9454" s="27"/>
    </row>
    <row r="9455">
      <c r="S9455" s="27"/>
      <c r="T9455" s="27"/>
      <c r="U9455" s="27"/>
    </row>
    <row r="9457">
      <c r="S9457" s="27"/>
      <c r="T9457" s="27"/>
      <c r="U9457" s="27"/>
    </row>
    <row r="9458">
      <c r="S9458" s="27"/>
      <c r="T9458" s="27"/>
      <c r="U9458" s="27"/>
    </row>
    <row r="9460">
      <c r="S9460" s="27"/>
      <c r="T9460" s="27"/>
      <c r="U9460" s="27"/>
    </row>
    <row r="9461">
      <c r="S9461" s="27"/>
      <c r="T9461" s="27"/>
      <c r="U9461" s="27"/>
    </row>
    <row r="9463">
      <c r="S9463" s="27"/>
      <c r="T9463" s="27"/>
      <c r="U9463" s="27"/>
    </row>
    <row r="9464">
      <c r="S9464" s="27"/>
      <c r="T9464" s="27"/>
      <c r="U9464" s="27"/>
    </row>
    <row r="9466">
      <c r="S9466" s="27"/>
      <c r="T9466" s="27"/>
      <c r="U9466" s="27"/>
    </row>
    <row r="9467">
      <c r="S9467" s="27"/>
      <c r="T9467" s="27"/>
      <c r="U9467" s="27"/>
    </row>
    <row r="9469">
      <c r="S9469" s="27"/>
      <c r="T9469" s="27"/>
      <c r="U9469" s="27"/>
    </row>
    <row r="9470">
      <c r="S9470" s="27"/>
      <c r="T9470" s="27"/>
      <c r="U9470" s="27"/>
    </row>
    <row r="9472">
      <c r="S9472" s="27"/>
      <c r="T9472" s="27"/>
      <c r="U9472" s="27"/>
    </row>
    <row r="9473">
      <c r="S9473" s="27"/>
      <c r="T9473" s="27"/>
      <c r="U9473" s="27"/>
    </row>
    <row r="9475">
      <c r="S9475" s="27"/>
      <c r="T9475" s="27"/>
      <c r="U9475" s="27"/>
    </row>
    <row r="9476">
      <c r="S9476" s="27"/>
      <c r="T9476" s="27"/>
      <c r="U9476" s="27"/>
    </row>
    <row r="9478">
      <c r="S9478" s="27"/>
      <c r="T9478" s="27"/>
      <c r="U9478" s="27"/>
    </row>
    <row r="9479">
      <c r="S9479" s="27"/>
      <c r="T9479" s="27"/>
      <c r="U9479" s="27"/>
    </row>
    <row r="9481">
      <c r="S9481" s="27"/>
      <c r="T9481" s="27"/>
      <c r="U9481" s="27"/>
    </row>
    <row r="9482">
      <c r="S9482" s="27"/>
      <c r="T9482" s="27"/>
      <c r="U9482" s="27"/>
    </row>
    <row r="9484">
      <c r="S9484" s="27"/>
      <c r="T9484" s="27"/>
      <c r="U9484" s="27"/>
    </row>
    <row r="9485">
      <c r="S9485" s="27"/>
      <c r="T9485" s="27"/>
      <c r="U9485" s="27"/>
    </row>
    <row r="9487">
      <c r="S9487" s="27"/>
      <c r="T9487" s="27"/>
      <c r="U9487" s="27"/>
    </row>
    <row r="9488">
      <c r="S9488" s="27"/>
      <c r="T9488" s="27"/>
      <c r="U9488" s="27"/>
    </row>
    <row r="9490">
      <c r="S9490" s="27"/>
      <c r="T9490" s="27"/>
      <c r="U9490" s="27"/>
    </row>
    <row r="9491">
      <c r="S9491" s="27"/>
      <c r="T9491" s="27"/>
      <c r="U9491" s="27"/>
    </row>
    <row r="9493">
      <c r="S9493" s="27"/>
      <c r="T9493" s="27"/>
      <c r="U9493" s="27"/>
    </row>
    <row r="9494">
      <c r="S9494" s="27"/>
      <c r="T9494" s="27"/>
      <c r="U9494" s="27"/>
    </row>
    <row r="9496">
      <c r="S9496" s="27"/>
      <c r="T9496" s="27"/>
      <c r="U9496" s="27"/>
    </row>
    <row r="9497">
      <c r="S9497" s="27"/>
      <c r="T9497" s="27"/>
      <c r="U9497" s="27"/>
    </row>
    <row r="9499">
      <c r="S9499" s="27"/>
      <c r="T9499" s="27"/>
      <c r="U9499" s="27"/>
    </row>
    <row r="9500">
      <c r="S9500" s="27"/>
      <c r="T9500" s="27"/>
      <c r="U9500" s="27"/>
    </row>
    <row r="9502">
      <c r="S9502" s="27"/>
      <c r="T9502" s="27"/>
    </row>
    <row r="9503">
      <c r="S9503" s="27"/>
      <c r="T9503" s="27"/>
    </row>
    <row r="9505">
      <c r="S9505" s="27"/>
      <c r="T9505" s="27"/>
      <c r="U9505" s="27"/>
    </row>
    <row r="9506">
      <c r="S9506" s="27"/>
      <c r="T9506" s="27"/>
      <c r="U9506" s="27"/>
    </row>
    <row r="9508">
      <c r="S9508" s="27"/>
      <c r="T9508" s="27"/>
      <c r="U9508" s="27"/>
    </row>
    <row r="9509">
      <c r="S9509" s="27"/>
      <c r="T9509" s="27"/>
      <c r="U9509" s="27"/>
    </row>
    <row r="9511">
      <c r="S9511" s="27"/>
      <c r="T9511" s="27"/>
      <c r="U9511" s="27"/>
    </row>
    <row r="9512">
      <c r="S9512" s="27"/>
      <c r="T9512" s="27"/>
      <c r="U9512" s="27"/>
    </row>
    <row r="9514">
      <c r="S9514" s="27"/>
      <c r="T9514" s="27"/>
      <c r="U9514" s="27"/>
    </row>
    <row r="9515">
      <c r="S9515" s="27"/>
      <c r="T9515" s="27"/>
      <c r="U9515" s="27"/>
    </row>
    <row r="9517">
      <c r="S9517" s="27"/>
      <c r="T9517" s="27"/>
      <c r="U9517" s="27"/>
    </row>
    <row r="9518">
      <c r="S9518" s="27"/>
      <c r="T9518" s="27"/>
      <c r="U9518" s="27"/>
    </row>
    <row r="9523">
      <c r="S9523" s="27"/>
      <c r="T9523" s="27"/>
      <c r="U9523" s="27"/>
    </row>
    <row r="9524">
      <c r="S9524" s="27"/>
      <c r="T9524" s="27"/>
      <c r="U9524" s="27"/>
    </row>
    <row r="9526">
      <c r="S9526" s="27"/>
      <c r="T9526" s="27"/>
      <c r="U9526" s="27"/>
    </row>
    <row r="9529">
      <c r="S9529" s="27"/>
      <c r="T9529" s="27"/>
      <c r="U9529" s="33"/>
    </row>
    <row r="9530">
      <c r="S9530" s="27"/>
      <c r="T9530" s="27"/>
      <c r="U9530" s="27"/>
    </row>
    <row r="9532">
      <c r="S9532" s="27"/>
      <c r="T9532" s="27"/>
      <c r="U9532" s="27"/>
    </row>
    <row r="9533">
      <c r="S9533" s="27"/>
      <c r="T9533" s="27"/>
      <c r="U9533" s="27"/>
    </row>
    <row r="9535">
      <c r="S9535" s="27"/>
      <c r="T9535" s="27"/>
      <c r="U9535" s="27"/>
    </row>
    <row r="9539">
      <c r="S9539" s="27"/>
      <c r="T9539" s="27"/>
      <c r="U9539" s="27"/>
    </row>
    <row r="9540">
      <c r="S9540" s="27"/>
      <c r="T9540" s="27"/>
      <c r="U9540" s="27"/>
    </row>
    <row r="9542">
      <c r="S9542" s="27"/>
      <c r="T9542" s="27"/>
      <c r="U9542" s="27"/>
    </row>
    <row r="9543">
      <c r="S9543" s="27"/>
      <c r="T9543" s="27"/>
      <c r="U9543" s="27"/>
    </row>
    <row r="9545">
      <c r="S9545" s="26"/>
    </row>
    <row r="9553">
      <c r="S9553" s="27"/>
      <c r="T9553" s="27"/>
      <c r="U9553" s="27"/>
    </row>
    <row r="9555">
      <c r="S9555" s="27"/>
      <c r="T9555" s="27"/>
      <c r="U9555" s="27"/>
    </row>
    <row r="9558">
      <c r="S9558" s="27"/>
      <c r="T9558" s="27"/>
      <c r="U9558" s="27"/>
    </row>
    <row r="9561">
      <c r="S9561" s="27"/>
      <c r="T9561" s="27"/>
      <c r="U9561" s="27"/>
    </row>
    <row r="9562">
      <c r="S9562" s="27"/>
      <c r="T9562" s="27"/>
      <c r="U9562" s="27"/>
    </row>
    <row r="9564">
      <c r="S9564" s="27"/>
      <c r="T9564" s="27"/>
      <c r="U9564" s="27"/>
    </row>
    <row r="9565">
      <c r="S9565" s="27"/>
      <c r="T9565" s="27"/>
      <c r="U9565" s="27"/>
    </row>
    <row r="9567">
      <c r="S9567" s="27"/>
      <c r="T9567" s="27"/>
      <c r="U9567" s="27"/>
    </row>
    <row r="9568">
      <c r="S9568" s="27"/>
      <c r="T9568" s="27"/>
      <c r="U9568" s="27"/>
    </row>
    <row r="9570">
      <c r="S9570" s="27"/>
      <c r="T9570" s="27"/>
      <c r="U9570" s="27"/>
    </row>
    <row r="9571">
      <c r="S9571" s="27"/>
      <c r="T9571" s="27"/>
      <c r="U9571" s="26"/>
    </row>
    <row r="9573">
      <c r="S9573" s="27"/>
      <c r="T9573" s="27"/>
      <c r="U9573" s="27"/>
    </row>
    <row r="9574">
      <c r="S9574" s="27"/>
      <c r="T9574" s="27"/>
      <c r="U9574" s="27"/>
    </row>
    <row r="9579">
      <c r="S9579" s="27"/>
      <c r="T9579" s="27"/>
      <c r="U9579" s="27"/>
    </row>
    <row r="9580">
      <c r="S9580" s="27"/>
      <c r="T9580" s="27"/>
      <c r="U9580" s="27"/>
    </row>
    <row r="9582">
      <c r="S9582" s="27"/>
      <c r="T9582" s="27"/>
      <c r="U9582" s="27"/>
    </row>
    <row r="9583">
      <c r="S9583" s="27"/>
      <c r="T9583" s="27"/>
      <c r="U9583" s="27"/>
    </row>
    <row r="9585">
      <c r="S9585" s="27"/>
      <c r="T9585" s="27"/>
      <c r="U9585" s="27"/>
    </row>
    <row r="9586">
      <c r="S9586" s="27"/>
      <c r="T9586" s="27"/>
      <c r="U9586" s="27"/>
    </row>
    <row r="9588">
      <c r="S9588" s="27"/>
      <c r="T9588" s="27"/>
      <c r="U9588" s="33"/>
    </row>
    <row r="9589">
      <c r="U9589" s="34"/>
    </row>
    <row r="9591">
      <c r="S9591" s="27"/>
      <c r="T9591" s="27"/>
      <c r="U9591" s="27"/>
    </row>
    <row r="9592">
      <c r="S9592" s="27"/>
      <c r="T9592" s="27"/>
      <c r="U9592" s="27"/>
    </row>
    <row r="9594">
      <c r="S9594" s="27"/>
      <c r="T9594" s="27"/>
      <c r="U9594" s="27"/>
    </row>
    <row r="9597">
      <c r="S9597" s="27"/>
      <c r="T9597" s="27"/>
      <c r="U9597" s="27"/>
    </row>
    <row r="9598">
      <c r="S9598" s="27"/>
      <c r="T9598" s="27"/>
      <c r="U9598" s="27"/>
    </row>
    <row r="9603">
      <c r="S9603" s="27"/>
      <c r="T9603" s="27"/>
      <c r="U9603" s="27"/>
    </row>
    <row r="9604">
      <c r="S9604" s="27"/>
      <c r="T9604" s="27"/>
      <c r="U9604" s="27"/>
    </row>
    <row r="9606">
      <c r="S9606" s="27"/>
      <c r="T9606" s="27"/>
      <c r="U9606" s="27"/>
    </row>
    <row r="9607">
      <c r="S9607" s="27"/>
      <c r="T9607" s="27"/>
      <c r="U9607" s="27"/>
    </row>
    <row r="9609">
      <c r="S9609" s="27"/>
      <c r="T9609" s="27"/>
      <c r="U9609" s="27"/>
    </row>
    <row r="9610">
      <c r="S9610" s="27"/>
      <c r="T9610" s="27"/>
      <c r="U9610" s="27"/>
    </row>
    <row r="9612">
      <c r="S9612" s="27"/>
      <c r="T9612" s="27"/>
      <c r="U9612" s="27"/>
    </row>
    <row r="9613">
      <c r="S9613" s="27"/>
      <c r="T9613" s="27"/>
      <c r="U9613" s="27"/>
    </row>
    <row r="9615">
      <c r="U9615" s="34"/>
    </row>
    <row r="9618">
      <c r="S9618" s="27"/>
      <c r="T9618" s="27"/>
      <c r="U9618" s="27"/>
    </row>
    <row r="9619">
      <c r="S9619" s="27"/>
      <c r="T9619" s="27"/>
      <c r="U9619" s="27"/>
    </row>
    <row r="9621">
      <c r="S9621" s="27"/>
      <c r="T9621" s="27"/>
      <c r="U9621" s="27"/>
    </row>
    <row r="9622">
      <c r="S9622" s="27"/>
      <c r="T9622" s="27"/>
      <c r="U9622" s="27"/>
    </row>
    <row r="9624">
      <c r="S9624" s="27"/>
      <c r="T9624" s="27"/>
      <c r="U9624" s="27"/>
    </row>
    <row r="9625">
      <c r="T9625" s="26"/>
      <c r="U9625" s="26"/>
    </row>
    <row r="9627">
      <c r="S9627" s="26"/>
      <c r="T9627" s="26"/>
      <c r="U9627" s="27"/>
    </row>
    <row r="9628">
      <c r="U9628" s="27"/>
    </row>
    <row r="9630">
      <c r="S9630" s="27"/>
      <c r="T9630" s="27"/>
      <c r="U9630" s="27"/>
    </row>
    <row r="9631">
      <c r="S9631" s="27"/>
      <c r="T9631" s="27"/>
      <c r="U9631" s="27"/>
    </row>
    <row r="9634">
      <c r="S9634" s="27"/>
      <c r="T9634" s="27"/>
      <c r="U9634" s="27"/>
    </row>
    <row r="9635">
      <c r="S9635" s="26"/>
      <c r="T9635" s="26"/>
      <c r="U9635" s="26"/>
    </row>
    <row r="9637">
      <c r="S9637" s="26"/>
      <c r="T9637" s="26"/>
      <c r="U9637" s="26"/>
    </row>
    <row r="9640">
      <c r="S9640" s="26"/>
      <c r="T9640" s="26"/>
      <c r="U9640" s="26"/>
    </row>
    <row r="9643">
      <c r="S9643" s="27"/>
      <c r="T9643" s="27"/>
      <c r="U9643" s="27"/>
    </row>
    <row r="9646">
      <c r="S9646" s="27"/>
      <c r="T9646" s="27"/>
      <c r="U9646" s="27"/>
    </row>
    <row r="9647">
      <c r="S9647" s="27"/>
      <c r="T9647" s="27"/>
      <c r="U9647" s="27"/>
    </row>
    <row r="9649">
      <c r="S9649" s="27"/>
      <c r="T9649" s="27"/>
      <c r="U9649" s="27"/>
    </row>
    <row r="9650">
      <c r="S9650" s="27"/>
      <c r="T9650" s="27"/>
      <c r="U9650" s="27"/>
    </row>
    <row r="9652">
      <c r="S9652" s="27"/>
      <c r="T9652" s="27"/>
      <c r="U9652" s="27"/>
    </row>
    <row r="9653">
      <c r="S9653" s="27"/>
      <c r="T9653" s="27"/>
      <c r="U9653" s="27"/>
    </row>
    <row r="9655">
      <c r="S9655" s="26"/>
      <c r="T9655" s="26"/>
      <c r="U9655" s="26"/>
    </row>
    <row r="9658">
      <c r="S9658" s="27"/>
      <c r="T9658" s="27"/>
      <c r="U9658" s="27"/>
    </row>
    <row r="9659">
      <c r="S9659" s="27"/>
      <c r="T9659" s="27"/>
      <c r="U9659" s="27"/>
    </row>
    <row r="9661">
      <c r="S9661" s="27"/>
      <c r="T9661" s="27"/>
      <c r="U9661" s="27"/>
    </row>
    <row r="9662">
      <c r="S9662" s="27"/>
      <c r="T9662" s="27"/>
      <c r="U9662" s="27"/>
    </row>
    <row r="9664">
      <c r="S9664" s="27"/>
      <c r="T9664" s="27"/>
      <c r="U9664" s="27"/>
    </row>
    <row r="9665">
      <c r="S9665" s="27"/>
      <c r="T9665" s="27"/>
      <c r="U9665" s="27"/>
    </row>
    <row r="9667">
      <c r="S9667" s="27"/>
      <c r="T9667" s="27"/>
      <c r="U9667" s="27"/>
    </row>
    <row r="9668">
      <c r="S9668" s="27"/>
      <c r="T9668" s="27"/>
      <c r="U9668" s="27"/>
    </row>
    <row r="9670">
      <c r="S9670" s="27"/>
      <c r="T9670" s="27"/>
      <c r="U9670" s="27"/>
    </row>
    <row r="9671">
      <c r="S9671" s="27"/>
      <c r="T9671" s="27"/>
      <c r="U9671" s="27"/>
    </row>
    <row r="9673">
      <c r="S9673" s="27"/>
      <c r="T9673" s="27"/>
      <c r="U9673" s="27"/>
    </row>
    <row r="9674">
      <c r="S9674" s="27"/>
      <c r="T9674" s="27"/>
      <c r="U9674" s="27"/>
    </row>
    <row r="9676">
      <c r="S9676" s="27"/>
      <c r="T9676" s="27"/>
      <c r="U9676" s="27"/>
    </row>
    <row r="9677">
      <c r="S9677" s="27"/>
      <c r="T9677" s="27"/>
      <c r="U9677" s="27"/>
    </row>
    <row r="9679">
      <c r="S9679" s="27"/>
      <c r="T9679" s="27"/>
      <c r="U9679" s="27"/>
    </row>
    <row r="9680">
      <c r="S9680" s="27"/>
      <c r="T9680" s="27"/>
      <c r="U9680" s="27"/>
    </row>
    <row r="9682">
      <c r="S9682" s="27"/>
      <c r="T9682" s="27"/>
      <c r="U9682" s="27"/>
    </row>
    <row r="9683">
      <c r="S9683" s="27"/>
      <c r="T9683" s="27"/>
      <c r="U9683" s="27"/>
    </row>
    <row r="9685">
      <c r="S9685" s="27"/>
      <c r="T9685" s="27"/>
      <c r="U9685" s="27"/>
    </row>
    <row r="9686">
      <c r="S9686" s="27"/>
      <c r="T9686" s="27"/>
      <c r="U9686" s="27"/>
    </row>
    <row r="9688">
      <c r="S9688" s="27"/>
      <c r="T9688" s="27"/>
      <c r="U9688" s="27"/>
    </row>
    <row r="9689">
      <c r="S9689" s="27"/>
      <c r="T9689" s="27"/>
      <c r="U9689" s="27"/>
    </row>
    <row r="9691">
      <c r="S9691" s="27"/>
      <c r="T9691" s="27"/>
      <c r="U9691" s="27"/>
    </row>
    <row r="9692">
      <c r="S9692" s="27"/>
      <c r="T9692" s="27"/>
      <c r="U9692" s="27"/>
    </row>
    <row r="9694">
      <c r="S9694" s="27"/>
      <c r="T9694" s="27"/>
      <c r="U9694" s="27"/>
    </row>
    <row r="9695">
      <c r="S9695" s="27"/>
      <c r="T9695" s="27"/>
      <c r="U9695" s="27"/>
    </row>
    <row r="9697">
      <c r="S9697" s="27"/>
      <c r="T9697" s="27"/>
      <c r="U9697" s="27"/>
    </row>
    <row r="9698">
      <c r="S9698" s="27"/>
      <c r="T9698" s="27"/>
      <c r="U9698" s="27"/>
    </row>
    <row r="9700">
      <c r="S9700" s="27"/>
      <c r="T9700" s="27"/>
      <c r="U9700" s="27"/>
    </row>
    <row r="9701">
      <c r="S9701" s="27"/>
      <c r="T9701" s="27"/>
      <c r="U9701" s="27"/>
    </row>
    <row r="9703">
      <c r="S9703" s="27"/>
      <c r="T9703" s="27"/>
      <c r="U9703" s="27"/>
    </row>
    <row r="9704">
      <c r="S9704" s="27"/>
      <c r="T9704" s="27"/>
      <c r="U9704" s="27"/>
    </row>
    <row r="9706">
      <c r="S9706" s="27"/>
      <c r="T9706" s="27"/>
      <c r="U9706" s="27"/>
    </row>
    <row r="9707">
      <c r="S9707" s="27"/>
      <c r="T9707" s="27"/>
      <c r="U9707" s="27"/>
    </row>
    <row r="9709">
      <c r="S9709" s="27"/>
      <c r="T9709" s="27"/>
      <c r="U9709" s="27"/>
    </row>
    <row r="9710">
      <c r="S9710" s="27"/>
      <c r="T9710" s="27"/>
      <c r="U9710" s="27"/>
    </row>
    <row r="9712">
      <c r="S9712" s="27"/>
      <c r="T9712" s="27"/>
      <c r="U9712" s="27"/>
    </row>
    <row r="9713">
      <c r="S9713" s="27"/>
      <c r="T9713" s="27"/>
      <c r="U9713" s="27"/>
    </row>
    <row r="9715">
      <c r="S9715" s="27"/>
      <c r="T9715" s="27"/>
      <c r="U9715" s="27"/>
    </row>
    <row r="9716">
      <c r="S9716" s="27"/>
      <c r="T9716" s="27"/>
      <c r="U9716" s="27"/>
    </row>
    <row r="9718">
      <c r="S9718" s="27"/>
      <c r="T9718" s="27"/>
      <c r="U9718" s="27"/>
    </row>
    <row r="9719">
      <c r="S9719" s="27"/>
      <c r="T9719" s="27"/>
      <c r="U9719" s="27"/>
    </row>
    <row r="9721">
      <c r="S9721" s="27"/>
      <c r="T9721" s="27"/>
      <c r="U9721" s="27"/>
    </row>
    <row r="9722">
      <c r="S9722" s="27"/>
      <c r="T9722" s="27"/>
      <c r="U9722" s="27"/>
    </row>
    <row r="9724">
      <c r="S9724" s="27"/>
      <c r="T9724" s="27"/>
      <c r="U9724" s="27"/>
    </row>
    <row r="9725">
      <c r="S9725" s="27"/>
      <c r="T9725" s="27"/>
      <c r="U9725" s="27"/>
    </row>
    <row r="9727">
      <c r="S9727" s="27"/>
      <c r="T9727" s="27"/>
      <c r="U9727" s="27"/>
    </row>
    <row r="9728">
      <c r="S9728" s="27"/>
      <c r="T9728" s="27"/>
      <c r="U9728" s="27"/>
    </row>
    <row r="9730">
      <c r="S9730" s="27"/>
      <c r="T9730" s="27"/>
      <c r="U9730" s="27"/>
    </row>
    <row r="9731">
      <c r="S9731" s="27"/>
      <c r="T9731" s="27"/>
      <c r="U9731" s="27"/>
    </row>
    <row r="9733">
      <c r="S9733" s="27"/>
      <c r="T9733" s="27"/>
      <c r="U9733" s="27"/>
    </row>
    <row r="9734">
      <c r="S9734" s="27"/>
      <c r="T9734" s="27"/>
      <c r="U9734" s="27"/>
    </row>
    <row r="9736">
      <c r="S9736" s="27"/>
      <c r="T9736" s="27"/>
      <c r="U9736" s="27"/>
    </row>
    <row r="9737">
      <c r="S9737" s="27"/>
      <c r="T9737" s="27"/>
      <c r="U9737" s="27"/>
    </row>
    <row r="9739">
      <c r="S9739" s="27"/>
      <c r="T9739" s="27"/>
      <c r="U9739" s="27"/>
    </row>
    <row r="9740">
      <c r="S9740" s="27"/>
      <c r="T9740" s="27"/>
      <c r="U9740" s="27"/>
    </row>
    <row r="9742">
      <c r="S9742" s="27"/>
      <c r="T9742" s="27"/>
      <c r="U9742" s="27"/>
    </row>
    <row r="9743">
      <c r="S9743" s="27"/>
      <c r="T9743" s="27"/>
      <c r="U9743" s="27"/>
    </row>
    <row r="9745">
      <c r="S9745" s="27"/>
      <c r="T9745" s="27"/>
      <c r="U9745" s="27"/>
    </row>
    <row r="9746">
      <c r="S9746" s="27"/>
      <c r="T9746" s="27"/>
      <c r="U9746" s="27"/>
    </row>
    <row r="9748">
      <c r="S9748" s="27"/>
      <c r="T9748" s="27"/>
      <c r="U9748" s="27"/>
    </row>
    <row r="9749">
      <c r="S9749" s="27"/>
      <c r="T9749" s="27"/>
      <c r="U9749" s="27"/>
    </row>
    <row r="9751">
      <c r="S9751" s="27"/>
      <c r="T9751" s="27"/>
      <c r="U9751" s="27"/>
    </row>
    <row r="9753">
      <c r="S9753" s="27"/>
      <c r="T9753" s="27"/>
      <c r="U9753" s="27"/>
    </row>
    <row r="9754">
      <c r="S9754" s="27"/>
      <c r="T9754" s="27"/>
      <c r="U9754" s="27"/>
    </row>
    <row r="9756">
      <c r="S9756" s="27"/>
      <c r="T9756" s="27"/>
      <c r="U9756" s="27"/>
    </row>
    <row r="9757">
      <c r="S9757" s="27"/>
      <c r="T9757" s="27"/>
      <c r="U9757" s="27"/>
    </row>
    <row r="9759">
      <c r="S9759" s="27"/>
      <c r="T9759" s="27"/>
      <c r="U9759" s="27"/>
    </row>
    <row r="9760">
      <c r="S9760" s="27"/>
      <c r="T9760" s="27"/>
      <c r="U9760" s="27"/>
    </row>
    <row r="9762">
      <c r="S9762" s="27"/>
      <c r="T9762" s="27"/>
      <c r="U9762" s="27"/>
    </row>
    <row r="9763">
      <c r="S9763" s="27"/>
      <c r="T9763" s="27"/>
      <c r="U9763" s="27"/>
    </row>
    <row r="9765">
      <c r="S9765" s="27"/>
      <c r="T9765" s="27"/>
      <c r="U9765" s="27"/>
    </row>
    <row r="9766">
      <c r="S9766" s="27"/>
      <c r="T9766" s="27"/>
      <c r="U9766" s="27"/>
    </row>
    <row r="9768">
      <c r="S9768" s="27"/>
      <c r="T9768" s="27"/>
      <c r="U9768" s="27"/>
    </row>
    <row r="9769">
      <c r="S9769" s="27"/>
      <c r="T9769" s="27"/>
      <c r="U9769" s="27"/>
    </row>
    <row r="9771">
      <c r="S9771" s="27"/>
      <c r="T9771" s="27"/>
      <c r="U9771" s="27"/>
    </row>
    <row r="9772">
      <c r="S9772" s="27"/>
      <c r="T9772" s="27"/>
      <c r="U9772" s="27"/>
    </row>
    <row r="9774">
      <c r="S9774" s="27"/>
      <c r="T9774" s="27"/>
      <c r="U9774" s="27"/>
    </row>
    <row r="9776">
      <c r="S9776" s="27"/>
      <c r="T9776" s="27"/>
      <c r="U9776" s="27"/>
    </row>
    <row r="9778">
      <c r="S9778" s="27"/>
      <c r="T9778" s="27"/>
      <c r="U9778" s="27"/>
    </row>
    <row r="9780">
      <c r="S9780" s="27"/>
      <c r="T9780" s="27"/>
      <c r="U9780" s="27"/>
    </row>
    <row r="9782">
      <c r="S9782" s="27"/>
      <c r="T9782" s="27"/>
      <c r="U9782" s="27"/>
    </row>
    <row r="9783">
      <c r="S9783" s="27"/>
      <c r="T9783" s="27"/>
      <c r="U9783" s="27"/>
    </row>
    <row r="9785">
      <c r="S9785" s="27"/>
      <c r="T9785" s="27"/>
      <c r="U9785" s="27"/>
    </row>
    <row r="9786">
      <c r="S9786" s="27"/>
      <c r="T9786" s="27"/>
      <c r="U9786" s="27"/>
    </row>
    <row r="9788">
      <c r="S9788" s="27"/>
      <c r="T9788" s="27"/>
      <c r="U9788" s="27"/>
    </row>
    <row r="9789">
      <c r="U9789" s="27"/>
    </row>
    <row r="9791">
      <c r="S9791" s="27"/>
      <c r="T9791" s="27"/>
      <c r="U9791" s="27"/>
    </row>
    <row r="9792">
      <c r="S9792" s="27"/>
      <c r="T9792" s="27"/>
      <c r="U9792" s="27"/>
    </row>
    <row r="9794">
      <c r="S9794" s="27"/>
      <c r="T9794" s="27"/>
      <c r="U9794" s="27"/>
    </row>
    <row r="9795">
      <c r="S9795" s="27"/>
      <c r="T9795" s="27"/>
      <c r="U9795" s="27"/>
    </row>
    <row r="9798">
      <c r="S9798" s="27"/>
      <c r="T9798" s="27"/>
      <c r="U9798" s="27"/>
    </row>
    <row r="9799">
      <c r="S9799" s="27"/>
      <c r="T9799" s="27"/>
      <c r="U9799" s="27"/>
    </row>
    <row r="9804">
      <c r="S9804" s="27"/>
      <c r="T9804" s="27"/>
      <c r="U9804" s="27"/>
    </row>
    <row r="9807">
      <c r="S9807" s="27"/>
      <c r="T9807" s="27"/>
      <c r="U9807" s="27"/>
    </row>
    <row r="9808">
      <c r="S9808" s="27"/>
      <c r="T9808" s="27"/>
      <c r="U9808" s="27"/>
    </row>
    <row r="9810">
      <c r="S9810" s="27"/>
      <c r="T9810" s="27"/>
      <c r="U9810" s="27"/>
    </row>
    <row r="9811">
      <c r="S9811" s="27"/>
      <c r="T9811" s="27"/>
      <c r="U9811" s="27"/>
    </row>
    <row r="9813">
      <c r="S9813" s="27"/>
      <c r="T9813" s="27"/>
      <c r="U9813" s="27"/>
    </row>
    <row r="9814">
      <c r="S9814" s="27"/>
      <c r="T9814" s="27"/>
      <c r="U9814" s="27"/>
    </row>
    <row r="9816">
      <c r="S9816" s="26"/>
      <c r="T9816" s="26"/>
      <c r="U9816" s="26"/>
    </row>
    <row r="9819">
      <c r="S9819" s="27"/>
      <c r="T9819" s="27"/>
      <c r="U9819" s="27"/>
    </row>
    <row r="9820">
      <c r="S9820" s="27"/>
      <c r="T9820" s="27"/>
      <c r="U9820" s="27"/>
    </row>
    <row r="9822">
      <c r="S9822" s="27"/>
      <c r="T9822" s="27"/>
      <c r="U9822" s="27"/>
    </row>
    <row r="9823">
      <c r="S9823" s="27"/>
      <c r="T9823" s="27"/>
      <c r="U9823" s="27"/>
    </row>
    <row r="9825">
      <c r="S9825" s="26"/>
      <c r="T9825" s="27"/>
      <c r="U9825" s="26"/>
    </row>
    <row r="9826">
      <c r="T9826" s="27"/>
    </row>
    <row r="9828">
      <c r="S9828" s="27"/>
      <c r="U9828" s="27"/>
    </row>
    <row r="9831">
      <c r="S9831" s="26"/>
      <c r="T9831" s="26"/>
      <c r="U9831" s="26"/>
    </row>
    <row r="9832">
      <c r="S9832" s="26"/>
      <c r="T9832" s="26"/>
      <c r="U9832" s="26"/>
    </row>
    <row r="9834">
      <c r="S9834" s="27"/>
      <c r="T9834" s="27"/>
      <c r="U9834" s="27"/>
    </row>
    <row r="9835">
      <c r="S9835" s="27"/>
      <c r="T9835" s="27"/>
      <c r="U9835" s="27"/>
    </row>
    <row r="9837">
      <c r="S9837" s="27"/>
      <c r="T9837" s="27"/>
      <c r="U9837" s="27"/>
    </row>
    <row r="9838">
      <c r="S9838" s="27"/>
      <c r="T9838" s="27"/>
      <c r="U9838" s="27"/>
    </row>
    <row r="9846">
      <c r="S9846" s="27"/>
      <c r="T9846" s="27"/>
      <c r="U9846" s="27"/>
    </row>
    <row r="9849">
      <c r="S9849" s="27"/>
      <c r="T9849" s="27"/>
      <c r="U9849" s="27"/>
    </row>
    <row r="9850">
      <c r="S9850" s="27"/>
      <c r="T9850" s="27"/>
      <c r="U9850" s="27"/>
    </row>
    <row r="9852">
      <c r="S9852" s="27"/>
      <c r="T9852" s="27"/>
      <c r="U9852" s="27"/>
    </row>
    <row r="9853">
      <c r="S9853" s="27"/>
      <c r="T9853" s="27"/>
      <c r="U9853" s="27"/>
    </row>
    <row r="9855">
      <c r="S9855" s="27"/>
      <c r="T9855" s="27"/>
      <c r="U9855" s="27"/>
    </row>
    <row r="9856">
      <c r="S9856" s="27"/>
      <c r="T9856" s="27"/>
      <c r="U9856" s="27"/>
    </row>
    <row r="9858">
      <c r="S9858" s="27"/>
      <c r="T9858" s="27"/>
      <c r="U9858" s="27"/>
    </row>
    <row r="9859">
      <c r="S9859" s="27"/>
      <c r="T9859" s="27"/>
      <c r="U9859" s="27"/>
    </row>
    <row r="9861">
      <c r="S9861" s="27"/>
      <c r="T9861" s="27"/>
      <c r="U9861" s="27"/>
    </row>
    <row r="9862">
      <c r="S9862" s="27"/>
      <c r="T9862" s="27"/>
      <c r="U9862" s="27"/>
    </row>
    <row r="9864">
      <c r="S9864" s="27"/>
      <c r="T9864" s="27"/>
      <c r="U9864" s="27"/>
    </row>
    <row r="9865">
      <c r="S9865" s="27"/>
      <c r="T9865" s="27"/>
      <c r="U9865" s="27"/>
    </row>
    <row r="9867">
      <c r="S9867" s="27"/>
      <c r="T9867" s="27"/>
      <c r="U9867" s="27"/>
    </row>
    <row r="9868">
      <c r="S9868" s="27"/>
      <c r="T9868" s="27"/>
      <c r="U9868" s="27"/>
    </row>
    <row r="9870">
      <c r="S9870" s="27"/>
      <c r="T9870" s="27"/>
      <c r="U9870" s="27"/>
    </row>
    <row r="9871">
      <c r="S9871" s="27"/>
      <c r="T9871" s="27"/>
      <c r="U9871" s="27"/>
    </row>
    <row r="9873">
      <c r="S9873" s="27"/>
      <c r="T9873" s="27"/>
      <c r="U9873" s="27"/>
    </row>
    <row r="9874">
      <c r="S9874" s="27"/>
      <c r="T9874" s="27"/>
      <c r="U9874" s="27"/>
    </row>
    <row r="9876">
      <c r="S9876" s="27"/>
      <c r="T9876" s="27"/>
      <c r="U9876" s="27"/>
    </row>
    <row r="9877">
      <c r="S9877" s="27"/>
      <c r="T9877" s="27"/>
      <c r="U9877" s="27"/>
    </row>
    <row r="9879">
      <c r="S9879" s="27"/>
      <c r="T9879" s="27"/>
      <c r="U9879" s="27"/>
    </row>
    <row r="9880">
      <c r="S9880" s="27"/>
      <c r="T9880" s="27"/>
      <c r="U9880" s="27"/>
    </row>
    <row r="9882">
      <c r="S9882" s="27"/>
      <c r="T9882" s="27"/>
      <c r="U9882" s="27"/>
    </row>
    <row r="9883">
      <c r="S9883" s="27"/>
      <c r="T9883" s="27"/>
      <c r="U9883" s="27"/>
    </row>
    <row r="9885">
      <c r="S9885" s="27"/>
      <c r="T9885" s="27"/>
      <c r="U9885" s="27"/>
    </row>
    <row r="9886">
      <c r="S9886" s="27"/>
      <c r="T9886" s="27"/>
      <c r="U9886" s="27"/>
    </row>
    <row r="9888">
      <c r="S9888" s="27"/>
      <c r="T9888" s="27"/>
      <c r="U9888" s="27"/>
    </row>
    <row r="9889">
      <c r="S9889" s="27"/>
      <c r="T9889" s="27"/>
      <c r="U9889" s="27"/>
    </row>
    <row r="9891">
      <c r="S9891" s="27"/>
      <c r="T9891" s="27"/>
      <c r="U9891" s="27"/>
    </row>
    <row r="9892">
      <c r="S9892" s="27"/>
      <c r="T9892" s="27"/>
      <c r="U9892" s="27"/>
    </row>
    <row r="9894">
      <c r="S9894" s="27"/>
      <c r="T9894" s="27"/>
      <c r="U9894" s="27"/>
    </row>
    <row r="9895">
      <c r="S9895" s="27"/>
      <c r="T9895" s="27"/>
      <c r="U9895" s="27"/>
    </row>
    <row r="9897">
      <c r="S9897" s="27"/>
      <c r="T9897" s="27"/>
      <c r="U9897" s="27"/>
    </row>
    <row r="9898">
      <c r="S9898" s="27"/>
      <c r="T9898" s="27"/>
      <c r="U9898" s="27"/>
    </row>
    <row r="9900">
      <c r="S9900" s="27"/>
      <c r="T9900" s="27"/>
      <c r="U9900" s="27"/>
    </row>
    <row r="9901">
      <c r="S9901" s="27"/>
      <c r="T9901" s="27"/>
      <c r="U9901" s="27"/>
    </row>
    <row r="9903">
      <c r="S9903" s="27"/>
      <c r="T9903" s="27"/>
      <c r="U9903" s="27"/>
    </row>
    <row r="9904">
      <c r="S9904" s="27"/>
      <c r="T9904" s="27"/>
      <c r="U9904" s="27"/>
    </row>
    <row r="9906">
      <c r="S9906" s="27"/>
      <c r="T9906" s="27"/>
      <c r="U9906" s="27"/>
    </row>
    <row r="9907">
      <c r="S9907" s="27"/>
      <c r="T9907" s="27"/>
      <c r="U9907" s="27"/>
    </row>
    <row r="9909">
      <c r="S9909" s="27"/>
      <c r="T9909" s="27"/>
      <c r="U9909" s="27"/>
    </row>
    <row r="9910">
      <c r="S9910" s="27"/>
      <c r="T9910" s="27"/>
      <c r="U9910" s="27"/>
    </row>
    <row r="9912">
      <c r="S9912" s="27"/>
      <c r="T9912" s="27"/>
      <c r="U9912" s="27"/>
    </row>
    <row r="9913">
      <c r="S9913" s="27"/>
      <c r="T9913" s="27"/>
      <c r="U9913" s="27"/>
    </row>
    <row r="9915">
      <c r="S9915" s="27"/>
      <c r="T9915" s="27"/>
      <c r="U9915" s="27"/>
    </row>
    <row r="9916">
      <c r="S9916" s="27"/>
      <c r="T9916" s="27"/>
      <c r="U9916" s="27"/>
    </row>
    <row r="9918">
      <c r="S9918" s="27"/>
      <c r="T9918" s="27"/>
      <c r="U9918" s="27"/>
    </row>
    <row r="9919">
      <c r="S9919" s="27"/>
      <c r="T9919" s="27"/>
      <c r="U9919" s="27"/>
    </row>
    <row r="9921">
      <c r="S9921" s="27"/>
      <c r="T9921" s="27"/>
      <c r="U9921" s="27"/>
    </row>
    <row r="9922">
      <c r="S9922" s="27"/>
      <c r="T9922" s="27"/>
      <c r="U9922" s="27"/>
    </row>
    <row r="9924">
      <c r="S9924" s="27"/>
      <c r="T9924" s="27"/>
      <c r="U9924" s="27"/>
    </row>
    <row r="9925">
      <c r="S9925" s="27"/>
      <c r="T9925" s="27"/>
      <c r="U9925" s="27"/>
    </row>
    <row r="9927">
      <c r="S9927" s="27"/>
      <c r="T9927" s="27"/>
      <c r="U9927" s="27"/>
    </row>
    <row r="9928">
      <c r="S9928" s="27"/>
      <c r="T9928" s="27"/>
      <c r="U9928" s="27"/>
    </row>
    <row r="9930">
      <c r="S9930" s="33"/>
      <c r="U9930" s="33"/>
    </row>
    <row r="9931">
      <c r="S9931" s="27"/>
      <c r="T9931" s="26"/>
      <c r="U9931" s="27"/>
    </row>
    <row r="9933">
      <c r="S9933" s="27"/>
      <c r="T9933" s="27"/>
      <c r="U9933" s="27"/>
    </row>
    <row r="9934">
      <c r="S9934" s="27"/>
      <c r="T9934" s="27"/>
      <c r="U9934" s="27"/>
    </row>
    <row r="9936">
      <c r="S9936" s="26"/>
      <c r="T9936" s="27"/>
      <c r="U9936" s="27"/>
    </row>
    <row r="9937">
      <c r="S9937" s="26"/>
      <c r="T9937" s="26"/>
      <c r="U9937" s="26"/>
    </row>
    <row r="9939">
      <c r="S9939" s="27"/>
      <c r="U9939" s="27"/>
    </row>
    <row r="9940">
      <c r="S9940" s="27"/>
      <c r="T9940" s="27"/>
      <c r="U9940" s="27"/>
    </row>
    <row r="9942">
      <c r="S9942" s="27"/>
      <c r="T9942" s="27"/>
      <c r="U9942" s="27"/>
    </row>
    <row r="9943">
      <c r="S9943" s="27"/>
      <c r="T9943" s="27"/>
      <c r="U9943" s="27"/>
    </row>
    <row r="9945">
      <c r="S9945" s="27"/>
      <c r="T9945" s="27"/>
      <c r="U9945" s="27"/>
    </row>
    <row r="9946">
      <c r="S9946" s="27"/>
      <c r="T9946" s="27"/>
      <c r="U9946" s="27"/>
    </row>
    <row r="9948">
      <c r="U9948" s="27"/>
    </row>
    <row r="9951">
      <c r="T9951" s="27"/>
      <c r="U9951" s="26"/>
    </row>
    <row r="9954">
      <c r="S9954" s="27"/>
      <c r="U9954" s="27"/>
    </row>
    <row r="9956">
      <c r="S9956" s="27"/>
      <c r="T9956" s="27"/>
      <c r="U9956" s="27"/>
    </row>
    <row r="9958">
      <c r="S9958" s="26"/>
      <c r="T9958" s="26"/>
      <c r="U9958" s="26"/>
    </row>
    <row r="9964">
      <c r="S9964" s="27"/>
      <c r="T9964" s="27"/>
      <c r="U9964" s="27"/>
    </row>
    <row r="9965">
      <c r="S9965" s="27"/>
      <c r="T9965" s="27"/>
      <c r="U9965" s="27"/>
    </row>
    <row r="9967">
      <c r="S9967" s="27"/>
      <c r="T9967" s="27"/>
      <c r="U9967" s="27"/>
    </row>
    <row r="9968">
      <c r="S9968" s="27"/>
      <c r="T9968" s="27"/>
      <c r="U9968" s="27"/>
    </row>
    <row r="9970">
      <c r="S9970" s="27"/>
      <c r="T9970" s="27"/>
      <c r="U9970" s="27"/>
    </row>
    <row r="9971">
      <c r="U9971" s="27"/>
    </row>
    <row r="9973">
      <c r="S9973" s="27"/>
      <c r="T9973" s="27"/>
      <c r="U9973" s="27"/>
    </row>
    <row r="9974">
      <c r="S9974" s="27"/>
      <c r="T9974" s="27"/>
      <c r="U9974" s="26"/>
    </row>
    <row r="9976">
      <c r="S9976" s="27"/>
      <c r="T9976" s="27"/>
      <c r="U9976" s="27"/>
    </row>
    <row r="9977">
      <c r="S9977" s="27"/>
      <c r="T9977" s="27"/>
      <c r="U9977" s="27"/>
    </row>
    <row r="9979">
      <c r="S9979" s="26"/>
      <c r="T9979" s="26"/>
      <c r="U9979" s="26"/>
    </row>
    <row r="9980">
      <c r="S9980" s="26"/>
      <c r="T9980" s="26"/>
      <c r="U9980" s="26"/>
    </row>
    <row r="9982">
      <c r="S9982" s="27"/>
      <c r="T9982" s="27"/>
      <c r="U9982" s="27"/>
    </row>
    <row r="9983">
      <c r="S9983" s="27"/>
      <c r="T9983" s="27"/>
      <c r="U9983" s="27"/>
    </row>
    <row r="9985">
      <c r="S9985" s="27"/>
      <c r="T9985" s="27"/>
      <c r="U9985" s="27"/>
    </row>
    <row r="9986">
      <c r="S9986" s="27"/>
      <c r="T9986" s="27"/>
      <c r="U9986" s="27"/>
    </row>
    <row r="9988">
      <c r="S9988" s="27"/>
      <c r="T9988" s="27"/>
      <c r="U9988" s="27"/>
    </row>
    <row r="9989">
      <c r="S9989" s="27"/>
      <c r="T9989" s="27"/>
      <c r="U9989" s="27"/>
    </row>
    <row r="9991">
      <c r="S9991" s="26"/>
      <c r="T9991" s="33"/>
      <c r="U9991" s="27"/>
    </row>
    <row r="9994">
      <c r="S9994" s="27"/>
      <c r="T9994" s="27"/>
      <c r="U9994" s="27"/>
    </row>
    <row r="9995">
      <c r="S9995" s="27"/>
      <c r="T9995" s="27"/>
      <c r="U9995" s="27"/>
    </row>
    <row r="9997">
      <c r="S9997" s="27"/>
      <c r="T9997" s="27"/>
      <c r="U9997" s="27"/>
    </row>
    <row r="10000">
      <c r="S10000" s="27"/>
      <c r="T10000" s="27"/>
      <c r="U10000" s="33"/>
    </row>
    <row r="10001">
      <c r="S10001" s="33"/>
      <c r="T10001" s="33"/>
      <c r="U10001" s="33"/>
    </row>
    <row r="10003">
      <c r="S10003" s="26"/>
      <c r="T10003" s="26"/>
      <c r="U10003" s="26"/>
    </row>
    <row r="10006">
      <c r="S10006" s="27"/>
      <c r="T10006" s="27"/>
      <c r="U10006" s="27"/>
    </row>
    <row r="10007">
      <c r="S10007" s="27"/>
      <c r="T10007" s="27"/>
      <c r="U10007" s="27"/>
    </row>
    <row r="10009">
      <c r="S10009" s="27"/>
      <c r="T10009" s="27"/>
      <c r="U10009" s="27"/>
    </row>
    <row r="10010">
      <c r="S10010" s="27"/>
      <c r="T10010" s="27"/>
      <c r="U10010" s="27"/>
    </row>
    <row r="10012">
      <c r="S10012" s="27"/>
      <c r="T10012" s="27"/>
      <c r="U10012" s="27"/>
    </row>
    <row r="10013">
      <c r="S10013" s="27"/>
      <c r="T10013" s="27"/>
      <c r="U10013" s="27"/>
    </row>
    <row r="10015">
      <c r="S10015" s="27"/>
      <c r="T10015" s="27"/>
      <c r="U10015" s="27"/>
    </row>
    <row r="10016">
      <c r="S10016" s="27"/>
      <c r="T10016" s="27"/>
      <c r="U10016" s="27"/>
    </row>
    <row r="10021">
      <c r="S10021" s="27"/>
      <c r="T10021" s="33"/>
      <c r="U10021" s="27"/>
    </row>
    <row r="10022">
      <c r="S10022" s="27"/>
      <c r="T10022" s="27"/>
      <c r="U10022" s="27"/>
    </row>
    <row r="10024">
      <c r="S10024" s="27"/>
      <c r="T10024" s="27"/>
      <c r="U10024" s="27"/>
    </row>
    <row r="10025">
      <c r="S10025" s="27"/>
      <c r="T10025" s="27"/>
      <c r="U10025" s="27"/>
    </row>
    <row r="10027">
      <c r="S10027" s="27"/>
      <c r="T10027" s="27"/>
      <c r="U10027" s="27"/>
    </row>
    <row r="10030">
      <c r="S10030" s="27"/>
      <c r="T10030" s="26"/>
      <c r="U10030" s="27"/>
    </row>
    <row r="10031">
      <c r="S10031" s="27"/>
      <c r="U10031" s="27"/>
    </row>
    <row r="10033">
      <c r="S10033" s="27"/>
      <c r="T10033" s="27"/>
      <c r="U10033" s="27"/>
    </row>
    <row r="10034">
      <c r="S10034" s="27"/>
      <c r="T10034" s="27"/>
      <c r="U10034" s="27"/>
    </row>
    <row r="10036">
      <c r="S10036" s="27"/>
      <c r="T10036" s="27"/>
      <c r="U10036" s="27"/>
    </row>
    <row r="10037">
      <c r="S10037" s="27"/>
      <c r="T10037" s="27"/>
      <c r="U10037" s="27"/>
    </row>
    <row r="10039">
      <c r="S10039" s="27"/>
      <c r="U10039" s="27"/>
    </row>
    <row r="10042">
      <c r="S10042" s="27"/>
      <c r="T10042" s="27"/>
      <c r="U10042" s="27"/>
    </row>
    <row r="10043">
      <c r="S10043" s="27"/>
      <c r="T10043" s="27"/>
      <c r="U10043" s="27"/>
    </row>
    <row r="10045">
      <c r="S10045" s="26"/>
      <c r="T10045" s="26"/>
      <c r="U10045" s="26"/>
    </row>
    <row r="10048">
      <c r="S10048" s="27"/>
      <c r="T10048" s="27"/>
      <c r="U10048" s="27"/>
    </row>
    <row r="10051">
      <c r="S10051" s="27"/>
      <c r="T10051" s="27"/>
      <c r="U10051" s="27"/>
    </row>
    <row r="10052">
      <c r="S10052" s="27"/>
      <c r="T10052" s="27"/>
      <c r="U10052" s="27"/>
    </row>
    <row r="10054">
      <c r="S10054" s="27"/>
      <c r="T10054" s="27"/>
      <c r="U10054" s="27"/>
    </row>
    <row r="10055">
      <c r="S10055" s="27"/>
      <c r="T10055" s="27"/>
      <c r="U10055" s="27"/>
    </row>
    <row r="10057">
      <c r="S10057" s="27"/>
      <c r="T10057" s="27"/>
      <c r="U10057" s="27"/>
    </row>
    <row r="10058">
      <c r="S10058" s="27"/>
      <c r="T10058" s="27"/>
      <c r="U10058" s="27"/>
    </row>
    <row r="10060">
      <c r="S10060" s="27"/>
    </row>
    <row r="10061">
      <c r="T10061" s="26"/>
      <c r="U10061" s="26"/>
    </row>
    <row r="10063">
      <c r="S10063" s="27"/>
      <c r="T10063" s="27"/>
      <c r="U10063" s="27"/>
    </row>
    <row r="10064">
      <c r="S10064" s="27"/>
      <c r="T10064" s="27"/>
      <c r="U10064" s="27"/>
    </row>
    <row r="10066">
      <c r="S10066" s="27"/>
      <c r="T10066" s="27"/>
      <c r="U10066" s="27"/>
    </row>
    <row r="10067">
      <c r="S10067" s="27"/>
      <c r="T10067" s="27"/>
      <c r="U10067" s="27"/>
    </row>
    <row r="10069">
      <c r="S10069" s="27"/>
      <c r="T10069" s="27"/>
      <c r="U10069" s="27"/>
    </row>
    <row r="10070">
      <c r="S10070" s="27"/>
      <c r="T10070" s="27"/>
      <c r="U10070" s="27"/>
    </row>
    <row r="10072">
      <c r="S10072" s="27"/>
      <c r="T10072" s="27"/>
      <c r="U10072" s="27"/>
    </row>
    <row r="10073">
      <c r="S10073" s="27"/>
      <c r="T10073" s="27"/>
      <c r="U10073" s="27"/>
    </row>
    <row r="10075">
      <c r="S10075" s="27"/>
      <c r="T10075" s="27"/>
      <c r="U10075" s="27"/>
    </row>
    <row r="10076">
      <c r="S10076" s="27"/>
      <c r="T10076" s="27"/>
      <c r="U10076" s="27"/>
    </row>
    <row r="10078">
      <c r="S10078" s="27"/>
      <c r="T10078" s="27"/>
      <c r="U10078" s="27"/>
    </row>
    <row r="10079">
      <c r="S10079" s="27"/>
      <c r="T10079" s="27"/>
      <c r="U10079" s="27"/>
    </row>
    <row r="10081">
      <c r="S10081" s="27"/>
      <c r="T10081" s="27"/>
      <c r="U10081" s="27"/>
    </row>
    <row r="10082">
      <c r="S10082" s="27"/>
      <c r="T10082" s="27"/>
      <c r="U10082" s="27"/>
    </row>
    <row r="10084">
      <c r="S10084" s="27"/>
      <c r="T10084" s="27"/>
      <c r="U10084" s="27"/>
    </row>
    <row r="10085">
      <c r="S10085" s="27"/>
      <c r="T10085" s="27"/>
      <c r="U10085" s="27"/>
    </row>
    <row r="10087">
      <c r="S10087" s="27"/>
      <c r="T10087" s="27"/>
      <c r="U10087" s="27"/>
    </row>
    <row r="10088">
      <c r="S10088" s="27"/>
      <c r="T10088" s="27"/>
      <c r="U10088" s="27"/>
    </row>
    <row r="10090">
      <c r="S10090" s="27"/>
      <c r="T10090" s="27"/>
      <c r="U10090" s="27"/>
    </row>
    <row r="10091">
      <c r="S10091" s="27"/>
      <c r="T10091" s="27"/>
      <c r="U10091" s="27"/>
    </row>
    <row r="10093">
      <c r="S10093" s="27"/>
      <c r="T10093" s="27"/>
      <c r="U10093" s="27"/>
    </row>
    <row r="10094">
      <c r="S10094" s="27"/>
      <c r="T10094" s="27"/>
      <c r="U10094" s="27"/>
    </row>
    <row r="10096">
      <c r="S10096" s="27"/>
      <c r="T10096" s="27"/>
      <c r="U10096" s="27"/>
    </row>
    <row r="10097">
      <c r="S10097" s="27"/>
      <c r="T10097" s="27"/>
      <c r="U10097" s="27"/>
    </row>
    <row r="10099">
      <c r="S10099" s="27"/>
      <c r="T10099" s="27"/>
      <c r="U10099" s="27"/>
    </row>
    <row r="10100">
      <c r="S10100" s="27"/>
      <c r="T10100" s="27"/>
      <c r="U10100" s="27"/>
    </row>
    <row r="10102">
      <c r="S10102" s="27"/>
      <c r="T10102" s="27"/>
      <c r="U10102" s="27"/>
    </row>
    <row r="10103">
      <c r="S10103" s="27"/>
      <c r="T10103" s="27"/>
      <c r="U10103" s="27"/>
    </row>
    <row r="10105">
      <c r="S10105" s="27"/>
      <c r="T10105" s="27"/>
      <c r="U10105" s="27"/>
    </row>
    <row r="10106">
      <c r="S10106" s="27"/>
      <c r="T10106" s="27"/>
      <c r="U10106" s="27"/>
    </row>
    <row r="10108">
      <c r="S10108" s="27"/>
      <c r="T10108" s="27"/>
      <c r="U10108" s="27"/>
    </row>
    <row r="10109">
      <c r="S10109" s="27"/>
      <c r="T10109" s="27"/>
      <c r="U10109" s="27"/>
    </row>
    <row r="10111">
      <c r="S10111" s="27"/>
      <c r="T10111" s="27"/>
      <c r="U10111" s="27"/>
    </row>
    <row r="10112">
      <c r="S10112" s="27"/>
      <c r="T10112" s="27"/>
      <c r="U10112" s="27"/>
    </row>
    <row r="10114">
      <c r="S10114" s="27"/>
      <c r="T10114" s="27"/>
      <c r="U10114" s="27"/>
    </row>
    <row r="10115">
      <c r="S10115" s="27"/>
      <c r="T10115" s="27"/>
      <c r="U10115" s="27"/>
    </row>
    <row r="10117">
      <c r="S10117" s="27"/>
      <c r="T10117" s="27"/>
      <c r="U10117" s="27"/>
    </row>
    <row r="10118">
      <c r="S10118" s="27"/>
      <c r="T10118" s="27"/>
      <c r="U10118" s="27"/>
    </row>
    <row r="10120">
      <c r="S10120" s="27"/>
      <c r="T10120" s="27"/>
      <c r="U10120" s="27"/>
    </row>
    <row r="10121">
      <c r="S10121" s="27"/>
      <c r="T10121" s="27"/>
      <c r="U10121" s="27"/>
    </row>
    <row r="10123">
      <c r="S10123" s="27"/>
      <c r="T10123" s="27"/>
      <c r="U10123" s="27"/>
    </row>
    <row r="10124">
      <c r="S10124" s="27"/>
      <c r="T10124" s="27"/>
      <c r="U10124" s="27"/>
    </row>
    <row r="10126">
      <c r="S10126" s="27"/>
      <c r="T10126" s="27"/>
      <c r="U10126" s="27"/>
    </row>
    <row r="10127">
      <c r="S10127" s="27"/>
      <c r="T10127" s="27"/>
      <c r="U10127" s="27"/>
    </row>
    <row r="10129">
      <c r="S10129" s="27"/>
      <c r="T10129" s="27"/>
      <c r="U10129" s="27"/>
    </row>
    <row r="10130">
      <c r="S10130" s="27"/>
      <c r="T10130" s="27"/>
      <c r="U10130" s="27"/>
    </row>
    <row r="10132">
      <c r="S10132" s="27"/>
      <c r="T10132" s="27"/>
      <c r="U10132" s="27"/>
    </row>
    <row r="10133">
      <c r="S10133" s="27"/>
      <c r="T10133" s="27"/>
      <c r="U10133" s="27"/>
    </row>
    <row r="10135">
      <c r="S10135" s="27"/>
      <c r="T10135" s="27"/>
      <c r="U10135" s="27"/>
    </row>
    <row r="10136">
      <c r="S10136" s="27"/>
      <c r="T10136" s="27"/>
      <c r="U10136" s="27"/>
    </row>
    <row r="10138">
      <c r="S10138" s="27"/>
      <c r="T10138" s="27"/>
      <c r="U10138" s="27"/>
    </row>
    <row r="10139">
      <c r="S10139" s="27"/>
      <c r="T10139" s="27"/>
      <c r="U10139" s="27"/>
    </row>
    <row r="10141">
      <c r="S10141" s="27"/>
      <c r="T10141" s="27"/>
      <c r="U10141" s="27"/>
    </row>
    <row r="10142">
      <c r="S10142" s="27"/>
      <c r="T10142" s="27"/>
      <c r="U10142" s="27"/>
    </row>
    <row r="10144">
      <c r="S10144" s="27"/>
      <c r="T10144" s="27"/>
      <c r="U10144" s="27"/>
    </row>
    <row r="10145">
      <c r="S10145" s="27"/>
      <c r="T10145" s="27"/>
      <c r="U10145" s="27"/>
    </row>
    <row r="10147">
      <c r="S10147" s="27"/>
      <c r="T10147" s="27"/>
      <c r="U10147" s="27"/>
    </row>
    <row r="10148">
      <c r="S10148" s="27"/>
      <c r="T10148" s="27"/>
      <c r="U10148" s="27"/>
    </row>
    <row r="10150">
      <c r="S10150" s="27"/>
      <c r="T10150" s="27"/>
      <c r="U10150" s="27"/>
    </row>
    <row r="10151">
      <c r="S10151" s="27"/>
      <c r="T10151" s="27"/>
      <c r="U10151" s="27"/>
    </row>
    <row r="10153">
      <c r="S10153" s="27"/>
      <c r="T10153" s="27"/>
      <c r="U10153" s="27"/>
    </row>
    <row r="10154">
      <c r="S10154" s="27"/>
      <c r="T10154" s="27"/>
      <c r="U10154" s="27"/>
    </row>
    <row r="10156">
      <c r="S10156" s="27"/>
      <c r="T10156" s="27"/>
      <c r="U10156" s="27"/>
    </row>
    <row r="10157">
      <c r="S10157" s="27"/>
      <c r="T10157" s="27"/>
      <c r="U10157" s="27"/>
    </row>
    <row r="10159">
      <c r="S10159" s="27"/>
      <c r="T10159" s="27"/>
      <c r="U10159" s="27"/>
    </row>
    <row r="10161">
      <c r="S10161" s="27"/>
      <c r="T10161" s="27"/>
      <c r="U10161" s="27"/>
    </row>
    <row r="10162">
      <c r="S10162" s="27"/>
      <c r="T10162" s="27"/>
      <c r="U10162" s="27"/>
    </row>
    <row r="10164">
      <c r="S10164" s="27"/>
      <c r="T10164" s="27"/>
      <c r="U10164" s="27"/>
    </row>
    <row r="10165">
      <c r="S10165" s="27"/>
      <c r="T10165" s="27"/>
      <c r="U10165" s="27"/>
    </row>
    <row r="10167">
      <c r="S10167" s="27"/>
      <c r="T10167" s="27"/>
      <c r="U10167" s="27"/>
    </row>
    <row r="10168">
      <c r="S10168" s="27"/>
      <c r="T10168" s="27"/>
      <c r="U10168" s="27"/>
    </row>
    <row r="10170">
      <c r="S10170" s="27"/>
      <c r="T10170" s="27"/>
      <c r="U10170" s="27"/>
    </row>
    <row r="10171">
      <c r="S10171" s="27"/>
      <c r="T10171" s="27"/>
      <c r="U10171" s="27"/>
    </row>
    <row r="10173">
      <c r="S10173" s="27"/>
      <c r="T10173" s="27"/>
      <c r="U10173" s="27"/>
    </row>
    <row r="10174">
      <c r="S10174" s="27"/>
      <c r="T10174" s="27"/>
      <c r="U10174" s="27"/>
    </row>
    <row r="10176">
      <c r="S10176" s="27"/>
      <c r="T10176" s="27"/>
      <c r="U10176" s="27"/>
    </row>
    <row r="10177">
      <c r="S10177" s="27"/>
      <c r="T10177" s="27"/>
      <c r="U10177" s="27"/>
    </row>
    <row r="10179">
      <c r="S10179" s="27"/>
      <c r="T10179" s="27"/>
      <c r="U10179" s="27"/>
    </row>
    <row r="10180">
      <c r="S10180" s="27"/>
      <c r="T10180" s="27"/>
      <c r="U10180" s="27"/>
    </row>
    <row r="10182">
      <c r="S10182" s="27"/>
      <c r="T10182" s="27"/>
      <c r="U10182" s="27"/>
    </row>
    <row r="10184">
      <c r="S10184" s="27"/>
      <c r="T10184" s="27"/>
      <c r="U10184" s="27"/>
    </row>
    <row r="10186">
      <c r="S10186" s="27"/>
      <c r="T10186" s="27"/>
      <c r="U10186" s="27"/>
    </row>
    <row r="10188">
      <c r="S10188" s="27"/>
      <c r="T10188" s="27"/>
      <c r="U10188" s="27"/>
    </row>
    <row r="10190">
      <c r="S10190" s="27"/>
      <c r="T10190" s="27"/>
      <c r="U10190" s="27"/>
    </row>
    <row r="10191">
      <c r="S10191" s="27"/>
      <c r="T10191" s="27"/>
      <c r="U10191" s="27"/>
    </row>
    <row r="10193">
      <c r="S10193" s="27"/>
      <c r="T10193" s="27"/>
      <c r="U10193" s="27"/>
    </row>
    <row r="10194">
      <c r="S10194" s="27"/>
      <c r="T10194" s="27"/>
      <c r="U10194" s="27"/>
    </row>
    <row r="10196">
      <c r="S10196" s="27"/>
      <c r="T10196" s="27"/>
      <c r="U10196" s="27"/>
    </row>
    <row r="10197">
      <c r="S10197" s="33"/>
      <c r="T10197" s="33"/>
      <c r="U10197" s="33"/>
    </row>
    <row r="10199">
      <c r="S10199" s="27"/>
      <c r="T10199" s="27"/>
      <c r="U10199" s="27"/>
    </row>
    <row r="10200">
      <c r="S10200" s="27"/>
      <c r="T10200" s="27"/>
      <c r="U10200" s="27"/>
    </row>
    <row r="10202">
      <c r="S10202" s="27"/>
      <c r="T10202" s="27"/>
      <c r="U10202" s="27"/>
    </row>
    <row r="10203">
      <c r="S10203" s="27"/>
      <c r="T10203" s="27"/>
      <c r="U10203" s="27"/>
    </row>
    <row r="10205">
      <c r="S10205" s="27"/>
      <c r="T10205" s="27"/>
      <c r="U10205" s="27"/>
    </row>
    <row r="10206">
      <c r="S10206" s="27"/>
      <c r="T10206" s="27"/>
      <c r="U10206" s="27"/>
    </row>
    <row r="10208">
      <c r="S10208" s="27"/>
      <c r="T10208" s="27"/>
      <c r="U10208" s="27"/>
    </row>
    <row r="10209">
      <c r="S10209" s="27"/>
      <c r="T10209" s="27"/>
      <c r="U10209" s="27"/>
    </row>
    <row r="10211">
      <c r="S10211" s="27"/>
      <c r="T10211" s="26"/>
      <c r="U10211" s="26"/>
    </row>
    <row r="10214">
      <c r="S10214" s="27"/>
      <c r="T10214" s="27"/>
      <c r="U10214" s="27"/>
    </row>
    <row r="10217">
      <c r="S10217" s="27"/>
      <c r="T10217" s="27"/>
      <c r="U10217" s="27"/>
    </row>
    <row r="10218">
      <c r="S10218" s="27"/>
      <c r="T10218" s="27"/>
      <c r="U10218" s="27"/>
    </row>
    <row r="10220">
      <c r="S10220" s="27"/>
      <c r="T10220" s="27"/>
      <c r="U10220" s="27"/>
    </row>
    <row r="10221">
      <c r="S10221" s="27"/>
      <c r="T10221" s="27"/>
      <c r="U10221" s="27"/>
    </row>
    <row r="10223">
      <c r="S10223" s="27"/>
      <c r="T10223" s="27"/>
      <c r="U10223" s="27"/>
    </row>
    <row r="10224">
      <c r="S10224" s="27"/>
      <c r="T10224" s="27"/>
      <c r="U10224" s="27"/>
    </row>
    <row r="10226">
      <c r="S10226" s="26"/>
      <c r="T10226" s="26"/>
    </row>
    <row r="10229">
      <c r="S10229" s="27"/>
      <c r="T10229" s="27"/>
      <c r="U10229" s="27"/>
    </row>
    <row r="10230">
      <c r="S10230" s="27"/>
      <c r="T10230" s="27"/>
      <c r="U10230" s="27"/>
    </row>
    <row r="10232">
      <c r="S10232" s="27"/>
      <c r="T10232" s="27"/>
      <c r="U10232" s="27"/>
    </row>
    <row r="10233">
      <c r="S10233" s="27"/>
      <c r="T10233" s="27"/>
      <c r="U10233" s="27"/>
    </row>
    <row r="10235">
      <c r="T10235" s="26"/>
      <c r="U10235" s="26"/>
    </row>
    <row r="10236">
      <c r="S10236" s="27"/>
    </row>
    <row r="10238">
      <c r="T10238" s="27"/>
      <c r="U10238" s="27"/>
    </row>
    <row r="10241">
      <c r="S10241" s="26"/>
      <c r="T10241" s="26"/>
      <c r="U10241" s="26"/>
    </row>
    <row r="10244">
      <c r="S10244" s="27"/>
      <c r="T10244" s="27"/>
      <c r="U10244" s="27"/>
    </row>
    <row r="10245">
      <c r="S10245" s="27"/>
      <c r="T10245" s="27"/>
      <c r="U10245" s="27"/>
    </row>
    <row r="10247">
      <c r="S10247" s="27"/>
      <c r="T10247" s="27"/>
      <c r="U10247" s="27"/>
    </row>
    <row r="10248">
      <c r="S10248" s="27"/>
      <c r="T10248" s="27"/>
      <c r="U10248" s="27"/>
    </row>
    <row r="10250">
      <c r="S10250" s="26"/>
      <c r="T10250" s="26"/>
      <c r="U10250" s="26"/>
    </row>
    <row r="10256">
      <c r="S10256" s="27"/>
      <c r="T10256" s="27"/>
      <c r="U10256" s="27"/>
    </row>
    <row r="10259">
      <c r="S10259" s="27"/>
      <c r="T10259" s="27"/>
      <c r="U10259" s="27"/>
    </row>
    <row r="10260">
      <c r="S10260" s="27"/>
      <c r="T10260" s="27"/>
      <c r="U10260" s="27"/>
    </row>
    <row r="10262">
      <c r="S10262" s="27"/>
      <c r="T10262" s="27"/>
      <c r="U10262" s="27"/>
    </row>
    <row r="10263">
      <c r="S10263" s="27"/>
      <c r="T10263" s="27"/>
      <c r="U10263" s="27"/>
    </row>
    <row r="10265">
      <c r="S10265" s="27"/>
      <c r="T10265" s="27"/>
      <c r="U10265" s="27"/>
    </row>
    <row r="10266">
      <c r="S10266" s="27"/>
      <c r="T10266" s="27"/>
      <c r="U10266" s="27"/>
    </row>
    <row r="10268">
      <c r="S10268" s="27"/>
      <c r="T10268" s="27"/>
      <c r="U10268" s="27"/>
    </row>
    <row r="10269">
      <c r="S10269" s="27"/>
      <c r="T10269" s="27"/>
      <c r="U10269" s="27"/>
    </row>
    <row r="10271">
      <c r="S10271" s="27"/>
      <c r="T10271" s="27"/>
      <c r="U10271" s="27"/>
    </row>
    <row r="10272">
      <c r="S10272" s="27"/>
      <c r="T10272" s="27"/>
      <c r="U10272" s="27"/>
    </row>
    <row r="10274">
      <c r="S10274" s="27"/>
      <c r="T10274" s="27"/>
      <c r="U10274" s="27"/>
    </row>
    <row r="10275">
      <c r="S10275" s="27"/>
      <c r="T10275" s="27"/>
      <c r="U10275" s="27"/>
    </row>
    <row r="10277">
      <c r="S10277" s="27"/>
      <c r="T10277" s="27"/>
      <c r="U10277" s="27"/>
    </row>
    <row r="10278">
      <c r="S10278" s="27"/>
      <c r="T10278" s="27"/>
      <c r="U10278" s="27"/>
    </row>
    <row r="10280">
      <c r="S10280" s="27"/>
      <c r="T10280" s="27"/>
      <c r="U10280" s="27"/>
    </row>
    <row r="10281">
      <c r="S10281" s="27"/>
      <c r="T10281" s="27"/>
      <c r="U10281" s="27"/>
    </row>
    <row r="10283">
      <c r="S10283" s="27"/>
      <c r="T10283" s="27"/>
      <c r="U10283" s="27"/>
    </row>
    <row r="10284">
      <c r="S10284" s="27"/>
      <c r="T10284" s="27"/>
      <c r="U10284" s="27"/>
    </row>
    <row r="10286">
      <c r="S10286" s="27"/>
      <c r="T10286" s="27"/>
      <c r="U10286" s="27"/>
    </row>
    <row r="10287">
      <c r="S10287" s="27"/>
      <c r="T10287" s="27"/>
      <c r="U10287" s="27"/>
    </row>
    <row r="10289">
      <c r="S10289" s="27"/>
      <c r="T10289" s="27"/>
      <c r="U10289" s="27"/>
    </row>
    <row r="10290">
      <c r="S10290" s="27"/>
      <c r="T10290" s="27"/>
      <c r="U10290" s="27"/>
    </row>
    <row r="10292">
      <c r="S10292" s="27"/>
      <c r="T10292" s="27"/>
      <c r="U10292" s="27"/>
    </row>
    <row r="10293">
      <c r="S10293" s="27"/>
      <c r="T10293" s="27"/>
      <c r="U10293" s="27"/>
    </row>
    <row r="10295">
      <c r="S10295" s="27"/>
      <c r="T10295" s="27"/>
      <c r="U10295" s="27"/>
    </row>
    <row r="10296">
      <c r="S10296" s="27"/>
      <c r="T10296" s="27"/>
      <c r="U10296" s="27"/>
    </row>
    <row r="10298">
      <c r="S10298" s="27"/>
      <c r="T10298" s="27"/>
      <c r="U10298" s="27"/>
    </row>
    <row r="10299">
      <c r="S10299" s="27"/>
      <c r="T10299" s="27"/>
      <c r="U10299" s="27"/>
    </row>
    <row r="10301">
      <c r="U10301" s="27"/>
    </row>
    <row r="10302">
      <c r="U10302" s="27"/>
    </row>
    <row r="10304">
      <c r="S10304" s="27"/>
      <c r="T10304" s="27"/>
      <c r="U10304" s="27"/>
    </row>
    <row r="10305">
      <c r="S10305" s="27"/>
      <c r="T10305" s="27"/>
      <c r="U10305" s="27"/>
    </row>
    <row r="10307">
      <c r="S10307" s="27"/>
      <c r="T10307" s="27"/>
      <c r="U10307" s="27"/>
    </row>
    <row r="10308">
      <c r="S10308" s="27"/>
      <c r="T10308" s="27"/>
      <c r="U10308" s="27"/>
    </row>
    <row r="10310">
      <c r="S10310" s="27"/>
      <c r="T10310" s="27"/>
      <c r="U10310" s="27"/>
    </row>
    <row r="10311">
      <c r="S10311" s="27"/>
      <c r="T10311" s="27"/>
      <c r="U10311" s="27"/>
    </row>
    <row r="10313">
      <c r="S10313" s="27"/>
      <c r="T10313" s="27"/>
      <c r="U10313" s="27"/>
    </row>
    <row r="10314">
      <c r="S10314" s="27"/>
      <c r="T10314" s="27"/>
      <c r="U10314" s="27"/>
    </row>
    <row r="10316">
      <c r="S10316" s="27"/>
      <c r="T10316" s="27"/>
      <c r="U10316" s="27"/>
    </row>
    <row r="10317">
      <c r="S10317" s="27"/>
      <c r="T10317" s="27"/>
      <c r="U10317" s="27"/>
    </row>
    <row r="10319">
      <c r="S10319" s="27"/>
      <c r="T10319" s="27"/>
      <c r="U10319" s="27"/>
    </row>
    <row r="10320">
      <c r="S10320" s="27"/>
      <c r="T10320" s="27"/>
      <c r="U10320" s="27"/>
    </row>
    <row r="10322">
      <c r="S10322" s="27"/>
      <c r="T10322" s="27"/>
      <c r="U10322" s="27"/>
    </row>
    <row r="10323">
      <c r="S10323" s="27"/>
      <c r="T10323" s="27"/>
      <c r="U10323" s="27"/>
    </row>
    <row r="10325">
      <c r="S10325" s="27"/>
      <c r="T10325" s="27"/>
      <c r="U10325" s="27"/>
    </row>
    <row r="10326">
      <c r="S10326" s="27"/>
      <c r="T10326" s="27"/>
      <c r="U10326" s="27"/>
    </row>
    <row r="10328">
      <c r="S10328" s="27"/>
      <c r="T10328" s="27"/>
      <c r="U10328" s="27"/>
    </row>
    <row r="10329">
      <c r="S10329" s="27"/>
      <c r="T10329" s="27"/>
      <c r="U10329" s="27"/>
    </row>
    <row r="10334">
      <c r="S10334" s="27"/>
      <c r="T10334" s="27"/>
    </row>
    <row r="10337">
      <c r="S10337" s="27"/>
      <c r="T10337" s="27"/>
      <c r="U10337" s="27"/>
    </row>
    <row r="10340">
      <c r="T10340" s="33"/>
    </row>
    <row r="10341">
      <c r="T10341" s="27"/>
    </row>
    <row r="10343">
      <c r="S10343" s="27"/>
      <c r="T10343" s="27"/>
      <c r="U10343" s="27"/>
    </row>
    <row r="10344">
      <c r="S10344" s="27"/>
      <c r="T10344" s="27"/>
      <c r="U10344" s="27"/>
    </row>
    <row r="10346">
      <c r="T10346" s="27"/>
      <c r="U10346" s="27"/>
    </row>
    <row r="10347">
      <c r="S10347" s="26"/>
    </row>
    <row r="10349">
      <c r="S10349" s="27"/>
      <c r="T10349" s="27"/>
      <c r="U10349" s="27"/>
    </row>
    <row r="10350">
      <c r="S10350" s="27"/>
      <c r="T10350" s="27"/>
      <c r="U10350" s="27"/>
    </row>
    <row r="10352">
      <c r="S10352" s="27"/>
      <c r="T10352" s="27"/>
      <c r="U10352" s="27"/>
    </row>
    <row r="10353">
      <c r="S10353" s="27"/>
      <c r="T10353" s="27"/>
      <c r="U10353" s="27"/>
    </row>
    <row r="10355">
      <c r="S10355" s="27"/>
      <c r="T10355" s="27"/>
      <c r="U10355" s="27"/>
    </row>
    <row r="10356">
      <c r="S10356" s="27"/>
      <c r="T10356" s="27"/>
      <c r="U10356" s="27"/>
    </row>
    <row r="10361">
      <c r="S10361" s="26"/>
      <c r="T10361" s="26"/>
      <c r="U10361" s="26"/>
    </row>
    <row r="10364">
      <c r="S10364" s="27"/>
      <c r="T10364" s="27"/>
      <c r="U10364" s="27"/>
    </row>
    <row r="10366">
      <c r="S10366" s="27"/>
      <c r="T10366" s="27"/>
      <c r="U10366" s="27"/>
    </row>
    <row r="10368">
      <c r="S10368" s="26"/>
      <c r="T10368" s="26"/>
      <c r="U10368" s="26"/>
    </row>
    <row r="10371">
      <c r="S10371" s="27"/>
      <c r="T10371" s="27"/>
      <c r="U10371" s="27"/>
    </row>
    <row r="10374">
      <c r="S10374" s="27"/>
      <c r="T10374" s="27"/>
      <c r="U10374" s="27"/>
    </row>
    <row r="10375">
      <c r="S10375" s="27"/>
      <c r="T10375" s="27"/>
      <c r="U10375" s="27"/>
    </row>
    <row r="10377">
      <c r="S10377" s="27"/>
      <c r="T10377" s="27"/>
      <c r="U10377" s="27"/>
    </row>
    <row r="10378">
      <c r="S10378" s="27"/>
      <c r="T10378" s="27"/>
      <c r="U10378" s="27"/>
    </row>
    <row r="10380">
      <c r="S10380" s="27"/>
      <c r="T10380" s="27"/>
      <c r="U10380" s="27"/>
    </row>
    <row r="10381">
      <c r="U10381" s="27"/>
    </row>
    <row r="10383">
      <c r="S10383" s="27"/>
      <c r="T10383" s="27"/>
    </row>
    <row r="10384">
      <c r="S10384" s="26"/>
      <c r="T10384" s="26"/>
      <c r="U10384" s="26"/>
    </row>
    <row r="10386">
      <c r="S10386" s="27"/>
      <c r="T10386" s="27"/>
      <c r="U10386" s="27"/>
    </row>
    <row r="10387">
      <c r="S10387" s="27"/>
      <c r="T10387" s="27"/>
      <c r="U10387" s="27"/>
    </row>
    <row r="10392">
      <c r="S10392" s="27"/>
      <c r="T10392" s="27"/>
      <c r="U10392" s="27"/>
    </row>
    <row r="10393">
      <c r="S10393" s="27"/>
      <c r="T10393" s="27"/>
      <c r="U10393" s="27"/>
    </row>
    <row r="10395">
      <c r="S10395" s="27"/>
      <c r="T10395" s="27"/>
      <c r="U10395" s="27"/>
    </row>
    <row r="10396">
      <c r="S10396" s="27"/>
      <c r="T10396" s="27"/>
      <c r="U10396" s="27"/>
    </row>
    <row r="10398">
      <c r="S10398" s="27"/>
      <c r="T10398" s="27"/>
      <c r="U10398" s="27"/>
    </row>
    <row r="10399">
      <c r="S10399" s="27"/>
      <c r="T10399" s="27"/>
      <c r="U10399" s="27"/>
    </row>
    <row r="10401">
      <c r="S10401" s="33"/>
      <c r="T10401" s="33"/>
      <c r="U10401" s="33"/>
    </row>
    <row r="10407">
      <c r="S10407" s="27"/>
      <c r="T10407" s="27"/>
      <c r="U10407" s="27"/>
    </row>
    <row r="10410">
      <c r="S10410" s="27"/>
      <c r="T10410" s="27"/>
      <c r="U10410" s="27"/>
    </row>
    <row r="10411">
      <c r="S10411" s="33"/>
      <c r="T10411" s="33"/>
      <c r="U10411" s="33"/>
    </row>
    <row r="10413">
      <c r="S10413" s="27"/>
      <c r="T10413" s="27"/>
      <c r="U10413" s="27"/>
    </row>
    <row r="10414">
      <c r="S10414" s="26"/>
      <c r="T10414" s="26"/>
      <c r="U10414" s="26"/>
    </row>
    <row r="10416">
      <c r="S10416" s="27"/>
      <c r="T10416" s="27"/>
      <c r="U10416" s="27"/>
    </row>
    <row r="10417">
      <c r="S10417" s="27"/>
      <c r="T10417" s="27"/>
      <c r="U10417" s="27"/>
    </row>
    <row r="10419">
      <c r="S10419" s="27"/>
      <c r="T10419" s="27"/>
      <c r="U10419" s="27"/>
    </row>
    <row r="10420">
      <c r="S10420" s="27"/>
      <c r="T10420" s="27"/>
      <c r="U10420" s="27"/>
    </row>
    <row r="10422">
      <c r="S10422" s="27"/>
      <c r="T10422" s="27"/>
      <c r="U10422" s="27"/>
    </row>
    <row r="10423">
      <c r="S10423" s="27"/>
      <c r="T10423" s="27"/>
      <c r="U10423" s="27"/>
    </row>
    <row r="10425">
      <c r="S10425" s="27"/>
      <c r="T10425" s="27"/>
      <c r="U10425" s="27"/>
    </row>
    <row r="10426">
      <c r="S10426" s="27"/>
      <c r="T10426" s="27"/>
      <c r="U10426" s="27"/>
    </row>
    <row r="10428">
      <c r="U10428" s="27"/>
    </row>
    <row r="10431">
      <c r="S10431" s="27"/>
      <c r="T10431" s="33"/>
      <c r="U10431" s="27"/>
    </row>
    <row r="10432">
      <c r="S10432" s="27"/>
      <c r="T10432" s="27"/>
      <c r="U10432" s="27"/>
    </row>
    <row r="10434">
      <c r="S10434" s="27"/>
      <c r="T10434" s="27"/>
      <c r="U10434" s="27"/>
    </row>
    <row r="10435">
      <c r="S10435" s="27"/>
      <c r="T10435" s="27"/>
      <c r="U10435" s="27"/>
    </row>
    <row r="10437">
      <c r="S10437" s="27"/>
      <c r="T10437" s="27"/>
      <c r="U10437" s="27"/>
    </row>
    <row r="10440">
      <c r="S10440" s="26"/>
      <c r="T10440" s="26"/>
      <c r="U10440" s="27"/>
    </row>
    <row r="10441">
      <c r="U10441" s="27"/>
    </row>
    <row r="10443">
      <c r="S10443" s="27"/>
      <c r="T10443" s="27"/>
      <c r="U10443" s="27"/>
    </row>
    <row r="10444">
      <c r="S10444" s="27"/>
      <c r="T10444" s="27"/>
      <c r="U10444" s="27"/>
    </row>
    <row r="10446">
      <c r="S10446" s="27"/>
      <c r="T10446" s="27"/>
      <c r="U10446" s="27"/>
    </row>
    <row r="10447">
      <c r="S10447" s="27"/>
      <c r="T10447" s="27"/>
      <c r="U10447" s="27"/>
    </row>
    <row r="10452">
      <c r="S10452" s="27"/>
      <c r="T10452" s="27"/>
      <c r="U10452" s="27"/>
    </row>
    <row r="10453">
      <c r="S10453" s="27"/>
      <c r="T10453" s="27"/>
      <c r="U10453" s="27"/>
    </row>
    <row r="10455">
      <c r="S10455" s="26"/>
      <c r="T10455" s="26"/>
      <c r="U10455" s="26"/>
    </row>
    <row r="10458">
      <c r="S10458" s="27"/>
      <c r="T10458" s="27"/>
      <c r="U10458" s="27"/>
    </row>
    <row r="10461">
      <c r="S10461" s="27"/>
      <c r="T10461" s="27"/>
      <c r="U10461" s="27"/>
    </row>
    <row r="10462">
      <c r="S10462" s="27"/>
      <c r="T10462" s="27"/>
      <c r="U10462" s="27"/>
    </row>
    <row r="10464">
      <c r="S10464" s="27"/>
      <c r="T10464" s="27"/>
      <c r="U10464" s="27"/>
    </row>
    <row r="10465">
      <c r="S10465" s="27"/>
      <c r="T10465" s="27"/>
      <c r="U10465" s="27"/>
    </row>
    <row r="10467">
      <c r="S10467" s="27"/>
      <c r="T10467" s="27"/>
      <c r="U10467" s="27"/>
    </row>
    <row r="10468">
      <c r="S10468" s="27"/>
      <c r="T10468" s="27"/>
      <c r="U10468" s="27"/>
    </row>
    <row r="10470">
      <c r="S10470" s="27"/>
    </row>
    <row r="10471">
      <c r="T10471" s="26"/>
      <c r="U10471" s="26"/>
    </row>
    <row r="10473">
      <c r="S10473" s="27"/>
      <c r="T10473" s="27"/>
      <c r="U10473" s="27"/>
    </row>
    <row r="10474">
      <c r="S10474" s="27"/>
      <c r="T10474" s="27"/>
      <c r="U10474" s="27"/>
    </row>
    <row r="10476">
      <c r="S10476" s="27"/>
      <c r="T10476" s="27"/>
      <c r="U10476" s="27"/>
    </row>
    <row r="10477">
      <c r="S10477" s="27"/>
      <c r="T10477" s="27"/>
      <c r="U10477" s="27"/>
    </row>
    <row r="10479">
      <c r="S10479" s="27"/>
      <c r="T10479" s="27"/>
      <c r="U10479" s="27"/>
    </row>
    <row r="10482">
      <c r="S10482" s="27"/>
      <c r="T10482" s="27"/>
      <c r="U10482" s="27"/>
    </row>
    <row r="10483">
      <c r="S10483" s="27"/>
      <c r="T10483" s="27"/>
      <c r="U10483" s="27"/>
    </row>
    <row r="10485">
      <c r="S10485" s="27"/>
      <c r="T10485" s="27"/>
      <c r="U10485" s="27"/>
    </row>
    <row r="10486">
      <c r="S10486" s="27"/>
      <c r="T10486" s="27"/>
      <c r="U10486" s="27"/>
    </row>
    <row r="10488">
      <c r="S10488" s="27"/>
      <c r="T10488" s="27"/>
      <c r="U10488" s="27"/>
    </row>
    <row r="10489">
      <c r="S10489" s="27"/>
      <c r="T10489" s="27"/>
      <c r="U10489" s="27"/>
    </row>
    <row r="10491">
      <c r="S10491" s="27"/>
      <c r="T10491" s="27"/>
      <c r="U10491" s="27"/>
    </row>
    <row r="10492">
      <c r="S10492" s="27"/>
      <c r="T10492" s="27"/>
      <c r="U10492" s="27"/>
    </row>
    <row r="10494">
      <c r="S10494" s="27"/>
      <c r="T10494" s="27"/>
      <c r="U10494" s="27"/>
    </row>
    <row r="10495">
      <c r="S10495" s="27"/>
      <c r="T10495" s="27"/>
      <c r="U10495" s="27"/>
    </row>
    <row r="10497">
      <c r="S10497" s="27"/>
      <c r="T10497" s="27"/>
      <c r="U10497" s="27"/>
    </row>
    <row r="10498">
      <c r="S10498" s="27"/>
      <c r="T10498" s="27"/>
      <c r="U10498" s="27"/>
    </row>
    <row r="10500">
      <c r="S10500" s="27"/>
      <c r="T10500" s="27"/>
      <c r="U10500" s="27"/>
    </row>
    <row r="10501">
      <c r="S10501" s="27"/>
      <c r="T10501" s="27"/>
      <c r="U10501" s="27"/>
    </row>
    <row r="10503">
      <c r="S10503" s="27"/>
      <c r="T10503" s="27"/>
      <c r="U10503" s="27"/>
    </row>
    <row r="10504">
      <c r="S10504" s="27"/>
      <c r="T10504" s="27"/>
      <c r="U10504" s="27"/>
    </row>
    <row r="10506">
      <c r="S10506" s="27"/>
      <c r="T10506" s="27"/>
      <c r="U10506" s="27"/>
    </row>
    <row r="10507">
      <c r="S10507" s="27"/>
      <c r="T10507" s="27"/>
      <c r="U10507" s="27"/>
    </row>
    <row r="10509">
      <c r="S10509" s="27"/>
      <c r="T10509" s="27"/>
      <c r="U10509" s="27"/>
    </row>
    <row r="10510">
      <c r="S10510" s="27"/>
      <c r="T10510" s="27"/>
      <c r="U10510" s="27"/>
    </row>
    <row r="10512">
      <c r="S10512" s="27"/>
      <c r="T10512" s="27"/>
      <c r="U10512" s="27"/>
    </row>
    <row r="10513">
      <c r="S10513" s="27"/>
      <c r="T10513" s="27"/>
      <c r="U10513" s="27"/>
    </row>
    <row r="10515">
      <c r="S10515" s="27"/>
      <c r="T10515" s="27"/>
      <c r="U10515" s="27"/>
    </row>
    <row r="10516">
      <c r="S10516" s="27"/>
      <c r="T10516" s="27"/>
      <c r="U10516" s="27"/>
    </row>
    <row r="10518">
      <c r="S10518" s="27"/>
      <c r="T10518" s="27"/>
      <c r="U10518" s="27"/>
    </row>
    <row r="10519">
      <c r="S10519" s="27"/>
      <c r="T10519" s="27"/>
      <c r="U10519" s="27"/>
    </row>
    <row r="10521">
      <c r="S10521" s="27"/>
      <c r="T10521" s="27"/>
      <c r="U10521" s="27"/>
    </row>
    <row r="10522">
      <c r="S10522" s="27"/>
      <c r="T10522" s="27"/>
      <c r="U10522" s="27"/>
    </row>
    <row r="10524">
      <c r="S10524" s="27"/>
      <c r="T10524" s="27"/>
      <c r="U10524" s="27"/>
    </row>
    <row r="10525">
      <c r="S10525" s="27"/>
      <c r="T10525" s="27"/>
      <c r="U10525" s="27"/>
    </row>
    <row r="10527">
      <c r="S10527" s="27"/>
      <c r="T10527" s="27"/>
      <c r="U10527" s="27"/>
    </row>
    <row r="10528">
      <c r="S10528" s="27"/>
      <c r="T10528" s="27"/>
      <c r="U10528" s="27"/>
    </row>
    <row r="10530">
      <c r="S10530" s="27"/>
      <c r="T10530" s="27"/>
      <c r="U10530" s="27"/>
    </row>
    <row r="10531">
      <c r="S10531" s="27"/>
      <c r="T10531" s="27"/>
      <c r="U10531" s="27"/>
    </row>
    <row r="10533">
      <c r="S10533" s="27"/>
      <c r="T10533" s="27"/>
      <c r="U10533" s="27"/>
    </row>
    <row r="10534">
      <c r="S10534" s="27"/>
      <c r="T10534" s="27"/>
      <c r="U10534" s="27"/>
    </row>
    <row r="10536">
      <c r="S10536" s="27"/>
      <c r="T10536" s="27"/>
      <c r="U10536" s="27"/>
    </row>
    <row r="10537">
      <c r="S10537" s="27"/>
      <c r="T10537" s="27"/>
      <c r="U10537" s="27"/>
    </row>
    <row r="10539">
      <c r="S10539" s="27"/>
      <c r="T10539" s="27"/>
      <c r="U10539" s="27"/>
    </row>
    <row r="10540">
      <c r="S10540" s="27"/>
      <c r="T10540" s="27"/>
      <c r="U10540" s="27"/>
    </row>
    <row r="10542">
      <c r="S10542" s="27"/>
      <c r="T10542" s="27"/>
      <c r="U10542" s="27"/>
    </row>
    <row r="10543">
      <c r="S10543" s="27"/>
      <c r="T10543" s="27"/>
      <c r="U10543" s="27"/>
    </row>
    <row r="10545">
      <c r="S10545" s="27"/>
      <c r="T10545" s="27"/>
      <c r="U10545" s="27"/>
    </row>
    <row r="10546">
      <c r="S10546" s="27"/>
      <c r="T10546" s="27"/>
      <c r="U10546" s="27"/>
    </row>
    <row r="10548">
      <c r="S10548" s="27"/>
      <c r="T10548" s="27"/>
      <c r="U10548" s="27"/>
    </row>
    <row r="10549">
      <c r="S10549" s="27"/>
      <c r="T10549" s="27"/>
      <c r="U10549" s="27"/>
    </row>
    <row r="10551">
      <c r="S10551" s="27"/>
      <c r="T10551" s="27"/>
      <c r="U10551" s="27"/>
    </row>
    <row r="10552">
      <c r="S10552" s="27"/>
      <c r="T10552" s="27"/>
      <c r="U10552" s="27"/>
    </row>
    <row r="10554">
      <c r="S10554" s="27"/>
      <c r="T10554" s="27"/>
      <c r="U10554" s="27"/>
    </row>
    <row r="10555">
      <c r="S10555" s="27"/>
      <c r="T10555" s="27"/>
      <c r="U10555" s="27"/>
    </row>
    <row r="10557">
      <c r="S10557" s="27"/>
      <c r="T10557" s="27"/>
      <c r="U10557" s="27"/>
    </row>
    <row r="10558">
      <c r="S10558" s="27"/>
      <c r="T10558" s="27"/>
      <c r="U10558" s="27"/>
    </row>
    <row r="10560">
      <c r="S10560" s="27"/>
      <c r="T10560" s="27"/>
      <c r="U10560" s="27"/>
    </row>
    <row r="10561">
      <c r="S10561" s="27"/>
      <c r="T10561" s="27"/>
      <c r="U10561" s="27"/>
    </row>
    <row r="10563">
      <c r="S10563" s="27"/>
      <c r="T10563" s="27"/>
      <c r="U10563" s="27"/>
    </row>
    <row r="10564">
      <c r="S10564" s="27"/>
      <c r="T10564" s="27"/>
      <c r="U10564" s="27"/>
    </row>
    <row r="10566">
      <c r="S10566" s="27"/>
      <c r="T10566" s="27"/>
      <c r="U10566" s="27"/>
    </row>
    <row r="10567">
      <c r="S10567" s="27"/>
      <c r="T10567" s="27"/>
      <c r="U10567" s="27"/>
    </row>
    <row r="10569">
      <c r="S10569" s="27"/>
      <c r="T10569" s="27"/>
      <c r="U10569" s="27"/>
    </row>
    <row r="10571">
      <c r="S10571" s="27"/>
      <c r="T10571" s="27"/>
      <c r="U10571" s="27"/>
    </row>
    <row r="10572">
      <c r="S10572" s="27"/>
      <c r="T10572" s="27"/>
      <c r="U10572" s="27"/>
    </row>
    <row r="10574">
      <c r="S10574" s="27"/>
      <c r="T10574" s="27"/>
      <c r="U10574" s="27"/>
    </row>
    <row r="10575">
      <c r="S10575" s="27"/>
      <c r="T10575" s="27"/>
      <c r="U10575" s="27"/>
    </row>
    <row r="10577">
      <c r="S10577" s="27"/>
      <c r="T10577" s="27"/>
      <c r="U10577" s="27"/>
    </row>
    <row r="10578">
      <c r="S10578" s="27"/>
      <c r="T10578" s="27"/>
      <c r="U10578" s="27"/>
    </row>
    <row r="10580">
      <c r="S10580" s="27"/>
      <c r="T10580" s="27"/>
      <c r="U10580" s="27"/>
    </row>
    <row r="10581">
      <c r="S10581" s="27"/>
      <c r="T10581" s="27"/>
      <c r="U10581" s="27"/>
    </row>
    <row r="10583">
      <c r="S10583" s="27"/>
      <c r="T10583" s="27"/>
      <c r="U10583" s="27"/>
    </row>
    <row r="10584">
      <c r="S10584" s="27"/>
      <c r="T10584" s="27"/>
      <c r="U10584" s="27"/>
    </row>
    <row r="10586">
      <c r="S10586" s="27"/>
      <c r="T10586" s="27"/>
      <c r="U10586" s="27"/>
    </row>
    <row r="10587">
      <c r="S10587" s="33"/>
      <c r="T10587" s="27"/>
      <c r="U10587" s="27"/>
    </row>
    <row r="10589">
      <c r="S10589" s="27"/>
      <c r="T10589" s="27"/>
      <c r="U10589" s="27"/>
    </row>
    <row r="10590">
      <c r="S10590" s="27"/>
      <c r="T10590" s="27"/>
      <c r="U10590" s="27"/>
    </row>
    <row r="10592">
      <c r="S10592" s="27"/>
      <c r="T10592" s="27"/>
      <c r="U10592" s="27"/>
    </row>
    <row r="10594">
      <c r="S10594" s="27"/>
      <c r="T10594" s="27"/>
      <c r="U10594" s="27"/>
    </row>
    <row r="10596">
      <c r="S10596" s="27"/>
      <c r="T10596" s="27"/>
      <c r="U10596" s="27"/>
    </row>
    <row r="10598">
      <c r="S10598" s="27"/>
      <c r="T10598" s="27"/>
      <c r="U10598" s="27"/>
    </row>
    <row r="10600">
      <c r="S10600" s="27"/>
      <c r="T10600" s="27"/>
      <c r="U10600" s="27"/>
    </row>
    <row r="10601">
      <c r="S10601" s="27"/>
      <c r="T10601" s="27"/>
      <c r="U10601" s="27"/>
    </row>
    <row r="10603">
      <c r="S10603" s="27"/>
      <c r="T10603" s="27"/>
      <c r="U10603" s="27"/>
    </row>
    <row r="10604">
      <c r="S10604" s="27"/>
      <c r="T10604" s="27"/>
      <c r="U10604" s="27"/>
    </row>
    <row r="10606">
      <c r="S10606" s="27"/>
      <c r="T10606" s="27"/>
      <c r="U10606" s="27"/>
    </row>
    <row r="10607">
      <c r="S10607" s="33"/>
      <c r="T10607" s="33"/>
      <c r="U10607" s="33"/>
    </row>
    <row r="10609">
      <c r="S10609" s="27"/>
      <c r="T10609" s="27"/>
      <c r="U10609" s="27"/>
    </row>
    <row r="10610">
      <c r="S10610" s="27"/>
      <c r="T10610" s="27"/>
      <c r="U10610" s="27"/>
    </row>
    <row r="10612">
      <c r="S10612" s="27"/>
      <c r="T10612" s="27"/>
      <c r="U10612" s="27"/>
    </row>
    <row r="10613">
      <c r="S10613" s="27"/>
      <c r="T10613" s="27"/>
      <c r="U10613" s="27"/>
    </row>
    <row r="10615">
      <c r="S10615" s="27"/>
      <c r="T10615" s="27"/>
      <c r="U10615" s="27"/>
    </row>
    <row r="10616">
      <c r="S10616" s="27"/>
      <c r="T10616" s="27"/>
      <c r="U10616" s="27"/>
    </row>
    <row r="10621">
      <c r="S10621" s="27"/>
      <c r="T10621" s="27"/>
    </row>
    <row r="10624">
      <c r="S10624" s="27"/>
      <c r="T10624" s="27"/>
      <c r="U10624" s="27"/>
    </row>
    <row r="10627">
      <c r="S10627" s="27"/>
      <c r="T10627" s="27"/>
      <c r="U10627" s="27"/>
    </row>
    <row r="10628">
      <c r="S10628" s="27"/>
      <c r="T10628" s="27"/>
      <c r="U10628" s="27"/>
    </row>
    <row r="10630">
      <c r="S10630" s="27"/>
      <c r="T10630" s="27"/>
      <c r="U10630" s="27"/>
    </row>
    <row r="10631">
      <c r="S10631" s="27"/>
      <c r="T10631" s="27"/>
      <c r="U10631" s="27"/>
    </row>
    <row r="10633">
      <c r="S10633" s="27"/>
      <c r="T10633" s="27"/>
      <c r="U10633" s="27"/>
    </row>
    <row r="10634">
      <c r="S10634" s="27"/>
      <c r="T10634" s="27"/>
      <c r="U10634" s="27"/>
    </row>
    <row r="10636">
      <c r="S10636" s="26"/>
      <c r="T10636" s="26"/>
      <c r="U10636" s="27"/>
    </row>
    <row r="10639">
      <c r="S10639" s="27"/>
      <c r="T10639" s="27"/>
      <c r="U10639" s="27"/>
    </row>
    <row r="10640">
      <c r="S10640" s="27"/>
      <c r="T10640" s="27"/>
      <c r="U10640" s="27"/>
    </row>
    <row r="10642">
      <c r="S10642" s="27"/>
      <c r="T10642" s="27"/>
      <c r="U10642" s="27"/>
    </row>
    <row r="10643">
      <c r="S10643" s="27"/>
      <c r="T10643" s="27"/>
      <c r="U10643" s="27"/>
    </row>
    <row r="10645">
      <c r="T10645" s="27"/>
      <c r="U10645" s="27"/>
    </row>
    <row r="10646">
      <c r="T10646" s="27"/>
      <c r="U10646" s="27"/>
    </row>
    <row r="10651">
      <c r="S10651" s="26"/>
      <c r="T10651" s="26"/>
      <c r="U10651" s="26"/>
    </row>
    <row r="10654">
      <c r="S10654" s="27"/>
      <c r="T10654" s="27"/>
      <c r="U10654" s="27"/>
    </row>
    <row r="10655">
      <c r="S10655" s="27"/>
      <c r="T10655" s="27"/>
      <c r="U10655" s="27"/>
    </row>
    <row r="10657">
      <c r="S10657" s="27"/>
      <c r="T10657" s="27"/>
      <c r="U10657" s="27"/>
    </row>
    <row r="10658">
      <c r="S10658" s="27"/>
      <c r="T10658" s="27"/>
      <c r="U10658" s="27"/>
    </row>
    <row r="10660">
      <c r="S10660" s="26"/>
      <c r="T10660" s="26"/>
      <c r="U10660" s="26"/>
    </row>
    <row r="10663">
      <c r="S10663" s="27"/>
      <c r="T10663" s="27"/>
      <c r="U10663" s="27"/>
    </row>
    <row r="10666">
      <c r="S10666" s="27"/>
      <c r="T10666" s="27"/>
      <c r="U10666" s="27"/>
    </row>
    <row r="10667">
      <c r="S10667" s="27"/>
      <c r="T10667" s="27"/>
      <c r="U10667" s="27"/>
    </row>
    <row r="10669">
      <c r="S10669" s="27"/>
      <c r="T10669" s="27"/>
      <c r="U10669" s="27"/>
    </row>
    <row r="10670">
      <c r="S10670" s="27"/>
      <c r="T10670" s="27"/>
      <c r="U10670" s="27"/>
    </row>
    <row r="10672">
      <c r="S10672" s="27"/>
      <c r="T10672" s="27"/>
      <c r="U10672" s="27"/>
    </row>
    <row r="10673">
      <c r="S10673" s="27"/>
      <c r="T10673" s="27"/>
      <c r="U10673" s="27"/>
    </row>
    <row r="10675">
      <c r="S10675" s="27"/>
      <c r="T10675" s="27"/>
      <c r="U10675" s="27"/>
    </row>
    <row r="10676">
      <c r="S10676" s="27"/>
      <c r="T10676" s="27"/>
      <c r="U10676" s="27"/>
    </row>
    <row r="10678">
      <c r="S10678" s="27"/>
      <c r="T10678" s="27"/>
      <c r="U10678" s="27"/>
    </row>
    <row r="10679">
      <c r="S10679" s="27"/>
      <c r="T10679" s="27"/>
      <c r="U10679" s="27"/>
    </row>
    <row r="10681">
      <c r="S10681" s="27"/>
      <c r="T10681" s="27"/>
      <c r="U10681" s="27"/>
    </row>
    <row r="10682">
      <c r="S10682" s="27"/>
      <c r="T10682" s="27"/>
      <c r="U10682" s="27"/>
    </row>
    <row r="10684">
      <c r="S10684" s="27"/>
      <c r="T10684" s="27"/>
      <c r="U10684" s="27"/>
    </row>
    <row r="10685">
      <c r="S10685" s="27"/>
      <c r="T10685" s="27"/>
      <c r="U10685" s="27"/>
    </row>
    <row r="10687">
      <c r="S10687" s="27"/>
      <c r="T10687" s="27"/>
      <c r="U10687" s="27"/>
    </row>
    <row r="10688">
      <c r="S10688" s="27"/>
      <c r="T10688" s="27"/>
      <c r="U10688" s="27"/>
    </row>
    <row r="10690">
      <c r="S10690" s="27"/>
      <c r="T10690" s="27"/>
      <c r="U10690" s="27"/>
    </row>
    <row r="10691">
      <c r="S10691" s="27"/>
      <c r="T10691" s="27"/>
      <c r="U10691" s="27"/>
    </row>
    <row r="10693">
      <c r="S10693" s="27"/>
      <c r="T10693" s="27"/>
      <c r="U10693" s="27"/>
    </row>
    <row r="10694">
      <c r="S10694" s="27"/>
      <c r="T10694" s="27"/>
      <c r="U10694" s="27"/>
    </row>
    <row r="10696">
      <c r="S10696" s="27"/>
      <c r="T10696" s="27"/>
      <c r="U10696" s="27"/>
    </row>
    <row r="10697">
      <c r="S10697" s="27"/>
      <c r="T10697" s="27"/>
      <c r="U10697" s="27"/>
    </row>
    <row r="10699">
      <c r="S10699" s="27"/>
      <c r="T10699" s="27"/>
      <c r="U10699" s="27"/>
    </row>
    <row r="10700">
      <c r="S10700" s="27"/>
      <c r="T10700" s="27"/>
      <c r="U10700" s="27"/>
    </row>
    <row r="10702">
      <c r="S10702" s="27"/>
      <c r="T10702" s="27"/>
      <c r="U10702" s="27"/>
    </row>
    <row r="10703">
      <c r="S10703" s="27"/>
      <c r="T10703" s="27"/>
      <c r="U10703" s="27"/>
    </row>
    <row r="10705">
      <c r="S10705" s="27"/>
      <c r="T10705" s="27"/>
      <c r="U10705" s="27"/>
    </row>
    <row r="10706">
      <c r="S10706" s="27"/>
      <c r="T10706" s="27"/>
      <c r="U10706" s="27"/>
    </row>
    <row r="10708">
      <c r="S10708" s="27"/>
      <c r="T10708" s="27"/>
      <c r="U10708" s="27"/>
    </row>
    <row r="10709">
      <c r="S10709" s="27"/>
      <c r="T10709" s="27"/>
      <c r="U10709" s="27"/>
    </row>
    <row r="10711">
      <c r="S10711" s="27"/>
      <c r="T10711" s="27"/>
      <c r="U10711" s="27"/>
    </row>
    <row r="10712">
      <c r="S10712" s="27"/>
      <c r="T10712" s="27"/>
      <c r="U10712" s="27"/>
    </row>
    <row r="10714">
      <c r="S10714" s="27"/>
      <c r="T10714" s="27"/>
      <c r="U10714" s="27"/>
    </row>
    <row r="10715">
      <c r="S10715" s="27"/>
      <c r="T10715" s="27"/>
      <c r="U10715" s="27"/>
    </row>
    <row r="10717">
      <c r="S10717" s="27"/>
      <c r="T10717" s="27"/>
      <c r="U10717" s="27"/>
    </row>
    <row r="10718">
      <c r="S10718" s="27"/>
      <c r="T10718" s="27"/>
      <c r="U10718" s="27"/>
    </row>
    <row r="10720">
      <c r="S10720" s="27"/>
      <c r="T10720" s="27"/>
      <c r="U10720" s="27"/>
    </row>
    <row r="10721">
      <c r="S10721" s="27"/>
      <c r="T10721" s="27"/>
      <c r="U10721" s="27"/>
    </row>
    <row r="10723">
      <c r="S10723" s="27"/>
      <c r="T10723" s="27"/>
      <c r="U10723" s="27"/>
    </row>
    <row r="10724">
      <c r="S10724" s="27"/>
      <c r="T10724" s="27"/>
      <c r="U10724" s="27"/>
    </row>
    <row r="10726">
      <c r="S10726" s="27"/>
      <c r="T10726" s="27"/>
      <c r="U10726" s="27"/>
    </row>
    <row r="10727">
      <c r="S10727" s="27"/>
      <c r="T10727" s="27"/>
      <c r="U10727" s="27"/>
    </row>
    <row r="10729">
      <c r="S10729" s="27"/>
      <c r="T10729" s="27"/>
      <c r="U10729" s="27"/>
    </row>
    <row r="10730">
      <c r="S10730" s="27"/>
      <c r="T10730" s="27"/>
      <c r="U10730" s="27"/>
    </row>
    <row r="10732">
      <c r="S10732" s="27"/>
      <c r="T10732" s="27"/>
      <c r="U10732" s="27"/>
    </row>
    <row r="10733">
      <c r="S10733" s="27"/>
      <c r="T10733" s="27"/>
      <c r="U10733" s="27"/>
    </row>
    <row r="10735">
      <c r="S10735" s="27"/>
      <c r="T10735" s="27"/>
      <c r="U10735" s="27"/>
    </row>
    <row r="10736">
      <c r="S10736" s="27"/>
      <c r="T10736" s="27"/>
      <c r="U10736" s="27"/>
    </row>
    <row r="10738">
      <c r="S10738" s="27"/>
      <c r="T10738" s="27"/>
      <c r="U10738" s="27"/>
    </row>
    <row r="10739">
      <c r="S10739" s="33"/>
      <c r="T10739" s="27"/>
      <c r="U10739" s="27"/>
    </row>
    <row r="10741">
      <c r="S10741" s="27"/>
      <c r="T10741" s="27"/>
      <c r="U10741" s="27"/>
    </row>
    <row r="10744">
      <c r="S10744" s="33"/>
      <c r="T10744" s="27"/>
      <c r="U10744" s="33"/>
    </row>
    <row r="10745">
      <c r="S10745" s="27"/>
      <c r="T10745" s="27"/>
      <c r="U10745" s="27"/>
    </row>
    <row r="10747">
      <c r="S10747" s="27"/>
      <c r="T10747" s="27"/>
      <c r="U10747" s="27"/>
    </row>
    <row r="10748">
      <c r="S10748" s="27"/>
      <c r="T10748" s="27"/>
      <c r="U10748" s="27"/>
    </row>
    <row r="10750">
      <c r="S10750" s="27"/>
      <c r="T10750" s="27"/>
      <c r="U10750" s="27"/>
    </row>
    <row r="10751">
      <c r="S10751" s="27"/>
    </row>
    <row r="10755">
      <c r="S10755" s="27"/>
      <c r="T10755" s="27"/>
      <c r="U10755" s="27"/>
    </row>
    <row r="10757">
      <c r="S10757" s="27"/>
      <c r="T10757" s="27"/>
      <c r="U10757" s="27"/>
    </row>
    <row r="10758">
      <c r="S10758" s="27"/>
      <c r="T10758" s="27"/>
      <c r="U10758" s="27"/>
    </row>
    <row r="10763">
      <c r="S10763" s="26"/>
      <c r="U10763" s="27"/>
    </row>
    <row r="10766">
      <c r="S10766" s="27"/>
      <c r="T10766" s="27"/>
      <c r="U10766" s="37"/>
    </row>
    <row r="10768">
      <c r="S10768" s="27"/>
      <c r="T10768" s="27"/>
      <c r="U10768" s="27"/>
    </row>
    <row r="10771">
      <c r="S10771" s="27"/>
      <c r="T10771" s="27"/>
      <c r="U10771" s="27"/>
    </row>
    <row r="10774">
      <c r="S10774" s="27"/>
      <c r="T10774" s="27"/>
      <c r="U10774" s="27"/>
    </row>
    <row r="10775">
      <c r="S10775" s="27"/>
      <c r="T10775" s="27"/>
      <c r="U10775" s="27"/>
    </row>
    <row r="10777">
      <c r="S10777" s="27"/>
      <c r="T10777" s="27"/>
      <c r="U10777" s="27"/>
    </row>
    <row r="10778">
      <c r="S10778" s="27"/>
      <c r="T10778" s="27"/>
      <c r="U10778" s="27"/>
    </row>
    <row r="10780">
      <c r="S10780" s="27"/>
      <c r="T10780" s="27"/>
      <c r="U10780" s="27"/>
    </row>
    <row r="10781">
      <c r="U10781" s="27"/>
    </row>
    <row r="10783">
      <c r="S10783" s="27"/>
      <c r="T10783" s="27"/>
      <c r="U10783" s="27"/>
    </row>
    <row r="10784">
      <c r="S10784" s="26"/>
      <c r="T10784" s="27"/>
      <c r="U10784" s="26"/>
    </row>
    <row r="10786">
      <c r="S10786" s="27"/>
      <c r="T10786" s="27"/>
      <c r="U10786" s="27"/>
    </row>
    <row r="10787">
      <c r="S10787" s="27"/>
      <c r="T10787" s="27"/>
      <c r="U10787" s="27"/>
    </row>
    <row r="10792">
      <c r="S10792" s="27"/>
      <c r="T10792" s="27"/>
      <c r="U10792" s="27"/>
    </row>
    <row r="10793">
      <c r="S10793" s="27"/>
      <c r="T10793" s="27"/>
      <c r="U10793" s="27"/>
    </row>
    <row r="10795">
      <c r="S10795" s="27"/>
      <c r="T10795" s="27"/>
      <c r="U10795" s="27"/>
    </row>
    <row r="10796">
      <c r="S10796" s="27"/>
      <c r="T10796" s="27"/>
      <c r="U10796" s="27"/>
    </row>
    <row r="10798">
      <c r="S10798" s="27"/>
      <c r="T10798" s="27"/>
      <c r="U10798" s="27"/>
    </row>
    <row r="10799">
      <c r="S10799" s="27"/>
      <c r="T10799" s="27"/>
      <c r="U10799" s="27"/>
    </row>
    <row r="10801">
      <c r="S10801" s="33"/>
      <c r="T10801" s="33"/>
      <c r="U10801" s="27"/>
    </row>
    <row r="10807">
      <c r="S10807" s="27"/>
      <c r="T10807" s="27"/>
      <c r="U10807" s="27"/>
    </row>
    <row r="10810">
      <c r="S10810" s="27"/>
      <c r="T10810" s="27"/>
    </row>
    <row r="10811">
      <c r="S10811" s="33"/>
      <c r="T10811" s="33"/>
      <c r="U10811" s="33"/>
    </row>
    <row r="10814">
      <c r="S10814" s="26"/>
      <c r="T10814" s="26"/>
      <c r="U10814" s="26"/>
    </row>
    <row r="10816">
      <c r="S10816" s="27"/>
      <c r="T10816" s="27"/>
      <c r="U10816" s="27"/>
    </row>
    <row r="10817">
      <c r="S10817" s="27"/>
      <c r="T10817" s="27"/>
      <c r="U10817" s="27"/>
    </row>
    <row r="10819">
      <c r="S10819" s="27"/>
      <c r="T10819" s="27"/>
      <c r="U10819" s="27"/>
    </row>
    <row r="10820">
      <c r="S10820" s="27"/>
      <c r="T10820" s="27"/>
      <c r="U10820" s="27"/>
    </row>
    <row r="10822">
      <c r="S10822" s="27"/>
      <c r="T10822" s="27"/>
      <c r="U10822" s="27"/>
    </row>
    <row r="10823">
      <c r="S10823" s="27"/>
      <c r="T10823" s="27"/>
      <c r="U10823" s="27"/>
    </row>
    <row r="10828">
      <c r="S10828" s="27"/>
      <c r="T10828" s="27"/>
      <c r="U10828" s="27"/>
    </row>
    <row r="10829">
      <c r="S10829" s="27"/>
      <c r="T10829" s="27"/>
      <c r="U10829" s="27"/>
    </row>
    <row r="10831">
      <c r="S10831" s="27"/>
      <c r="T10831" s="27"/>
      <c r="U10831" s="27"/>
    </row>
    <row r="10832">
      <c r="S10832" s="27"/>
      <c r="T10832" s="27"/>
      <c r="U10832" s="27"/>
    </row>
    <row r="10834">
      <c r="S10834" s="27"/>
      <c r="T10834" s="27"/>
      <c r="U10834" s="27"/>
    </row>
    <row r="10837">
      <c r="S10837" s="27"/>
      <c r="T10837" s="26"/>
      <c r="U10837" s="27"/>
    </row>
    <row r="10838">
      <c r="S10838" s="27"/>
      <c r="U10838" s="27"/>
    </row>
    <row r="10843">
      <c r="S10843" s="27"/>
      <c r="T10843" s="27"/>
      <c r="U10843" s="27"/>
    </row>
    <row r="10844">
      <c r="S10844" s="27"/>
      <c r="T10844" s="27"/>
      <c r="U10844" s="27"/>
    </row>
    <row r="10849">
      <c r="S10849" s="27"/>
      <c r="T10849" s="27"/>
      <c r="U10849" s="27"/>
    </row>
    <row r="10850">
      <c r="S10850" s="27"/>
      <c r="T10850" s="27"/>
      <c r="U10850" s="27"/>
    </row>
    <row r="10852">
      <c r="S10852" s="26"/>
      <c r="T10852" s="26"/>
      <c r="U10852" s="26"/>
    </row>
    <row r="10855">
      <c r="S10855" s="27"/>
      <c r="T10855" s="27"/>
      <c r="U10855" s="27"/>
    </row>
    <row r="10859">
      <c r="S10859" s="27"/>
      <c r="T10859" s="27"/>
      <c r="U10859" s="27"/>
    </row>
    <row r="10861">
      <c r="S10861" s="27"/>
      <c r="T10861" s="27"/>
      <c r="U10861" s="27"/>
    </row>
    <row r="10862">
      <c r="S10862" s="27"/>
      <c r="T10862" s="27"/>
      <c r="U10862" s="27"/>
    </row>
    <row r="10864">
      <c r="S10864" s="27"/>
      <c r="T10864" s="27"/>
      <c r="U10864" s="27"/>
    </row>
    <row r="10865">
      <c r="S10865" s="27"/>
      <c r="T10865" s="27"/>
      <c r="U10865" s="27"/>
    </row>
    <row r="10867">
      <c r="S10867" s="26"/>
    </row>
    <row r="10868">
      <c r="T10868" s="26"/>
      <c r="U10868" s="26"/>
    </row>
    <row r="10870">
      <c r="S10870" s="27"/>
      <c r="T10870" s="27"/>
    </row>
    <row r="10871">
      <c r="S10871" s="27"/>
      <c r="T10871" s="27"/>
      <c r="U10871" s="27"/>
    </row>
    <row r="10873">
      <c r="S10873" s="27"/>
      <c r="T10873" s="27"/>
      <c r="U10873" s="27"/>
    </row>
    <row r="10874">
      <c r="S10874" s="27"/>
      <c r="T10874" s="27"/>
      <c r="U10874" s="27"/>
    </row>
    <row r="10876">
      <c r="S10876" s="27"/>
      <c r="T10876" s="27"/>
      <c r="U10876" s="27"/>
    </row>
    <row r="10877">
      <c r="S10877" s="27"/>
      <c r="T10877" s="27"/>
      <c r="U10877" s="27"/>
    </row>
    <row r="10879">
      <c r="S10879" s="27"/>
      <c r="T10879" s="27"/>
      <c r="U10879" s="27"/>
    </row>
    <row r="10880">
      <c r="S10880" s="27"/>
      <c r="T10880" s="27"/>
      <c r="U10880" s="27"/>
    </row>
    <row r="10882">
      <c r="S10882" s="27"/>
      <c r="T10882" s="27"/>
      <c r="U10882" s="27"/>
    </row>
    <row r="10883">
      <c r="S10883" s="27"/>
      <c r="T10883" s="27"/>
      <c r="U10883" s="27"/>
    </row>
    <row r="10885">
      <c r="S10885" s="27"/>
      <c r="T10885" s="27"/>
      <c r="U10885" s="27"/>
    </row>
    <row r="10886">
      <c r="S10886" s="27"/>
      <c r="T10886" s="27"/>
      <c r="U10886" s="27"/>
    </row>
    <row r="10888">
      <c r="S10888" s="27"/>
      <c r="T10888" s="27"/>
      <c r="U10888" s="27"/>
    </row>
    <row r="10889">
      <c r="S10889" s="27"/>
      <c r="T10889" s="27"/>
      <c r="U10889" s="27"/>
    </row>
    <row r="10891">
      <c r="S10891" s="27"/>
      <c r="T10891" s="27"/>
      <c r="U10891" s="27"/>
    </row>
    <row r="10892">
      <c r="S10892" s="27"/>
      <c r="T10892" s="27"/>
      <c r="U10892" s="27"/>
    </row>
    <row r="10894">
      <c r="S10894" s="27"/>
      <c r="T10894" s="27"/>
      <c r="U10894" s="27"/>
    </row>
    <row r="10895">
      <c r="S10895" s="27"/>
      <c r="T10895" s="27"/>
      <c r="U10895" s="27"/>
    </row>
    <row r="10897">
      <c r="S10897" s="27"/>
      <c r="T10897" s="27"/>
      <c r="U10897" s="27"/>
    </row>
    <row r="10898">
      <c r="S10898" s="27"/>
      <c r="T10898" s="27"/>
      <c r="U10898" s="27"/>
    </row>
    <row r="10900">
      <c r="S10900" s="27"/>
      <c r="T10900" s="27"/>
      <c r="U10900" s="27"/>
    </row>
    <row r="10901">
      <c r="S10901" s="27"/>
      <c r="T10901" s="27"/>
      <c r="U10901" s="27"/>
    </row>
    <row r="10903">
      <c r="S10903" s="27"/>
      <c r="T10903" s="27"/>
      <c r="U10903" s="27"/>
    </row>
    <row r="10904">
      <c r="S10904" s="27"/>
      <c r="T10904" s="27"/>
      <c r="U10904" s="27"/>
    </row>
    <row r="10906">
      <c r="S10906" s="27"/>
      <c r="T10906" s="27"/>
      <c r="U10906" s="27"/>
    </row>
    <row r="10907">
      <c r="S10907" s="27"/>
      <c r="T10907" s="27"/>
      <c r="U10907" s="27"/>
    </row>
    <row r="10909">
      <c r="S10909" s="27"/>
      <c r="T10909" s="27"/>
      <c r="U10909" s="27"/>
    </row>
    <row r="10910">
      <c r="S10910" s="27"/>
      <c r="T10910" s="27"/>
      <c r="U10910" s="27"/>
    </row>
    <row r="10912">
      <c r="S10912" s="27"/>
      <c r="T10912" s="27"/>
      <c r="U10912" s="27"/>
    </row>
    <row r="10913">
      <c r="S10913" s="27"/>
      <c r="T10913" s="27"/>
      <c r="U10913" s="27"/>
    </row>
    <row r="10915">
      <c r="S10915" s="27"/>
      <c r="T10915" s="27"/>
      <c r="U10915" s="27"/>
    </row>
    <row r="10916">
      <c r="S10916" s="27"/>
      <c r="T10916" s="27"/>
      <c r="U10916" s="27"/>
    </row>
    <row r="10918">
      <c r="S10918" s="27"/>
      <c r="T10918" s="27"/>
      <c r="U10918" s="27"/>
    </row>
    <row r="10919">
      <c r="S10919" s="27"/>
      <c r="T10919" s="27"/>
      <c r="U10919" s="27"/>
    </row>
    <row r="10921">
      <c r="S10921" s="27"/>
      <c r="T10921" s="27"/>
      <c r="U10921" s="27"/>
    </row>
    <row r="10922">
      <c r="S10922" s="27"/>
      <c r="T10922" s="27"/>
      <c r="U10922" s="27"/>
    </row>
    <row r="10924">
      <c r="S10924" s="27"/>
      <c r="T10924" s="27"/>
      <c r="U10924" s="27"/>
    </row>
    <row r="10925">
      <c r="S10925" s="27"/>
      <c r="T10925" s="27"/>
      <c r="U10925" s="27"/>
    </row>
    <row r="10927">
      <c r="S10927" s="27"/>
      <c r="T10927" s="27"/>
      <c r="U10927" s="27"/>
    </row>
    <row r="10928">
      <c r="S10928" s="27"/>
      <c r="T10928" s="27"/>
      <c r="U10928" s="27"/>
    </row>
    <row r="10930">
      <c r="S10930" s="27"/>
      <c r="T10930" s="27"/>
      <c r="U10930" s="27"/>
    </row>
    <row r="10931">
      <c r="S10931" s="27"/>
      <c r="T10931" s="27"/>
      <c r="U10931" s="27"/>
    </row>
    <row r="10933">
      <c r="S10933" s="27"/>
      <c r="T10933" s="27"/>
      <c r="U10933" s="27"/>
    </row>
    <row r="10934">
      <c r="S10934" s="27"/>
      <c r="T10934" s="27"/>
      <c r="U10934" s="27"/>
    </row>
    <row r="10936">
      <c r="S10936" s="27"/>
      <c r="T10936" s="27"/>
      <c r="U10936" s="27"/>
    </row>
    <row r="10937">
      <c r="S10937" s="27"/>
      <c r="T10937" s="27"/>
      <c r="U10937" s="27"/>
    </row>
    <row r="10939">
      <c r="S10939" s="27"/>
      <c r="T10939" s="27"/>
      <c r="U10939" s="27"/>
    </row>
    <row r="10940">
      <c r="S10940" s="27"/>
      <c r="T10940" s="27"/>
      <c r="U10940" s="27"/>
    </row>
    <row r="10942">
      <c r="S10942" s="27"/>
      <c r="T10942" s="27"/>
      <c r="U10942" s="27"/>
    </row>
    <row r="10943">
      <c r="S10943" s="27"/>
      <c r="T10943" s="27"/>
      <c r="U10943" s="27"/>
    </row>
    <row r="10945">
      <c r="S10945" s="27"/>
      <c r="T10945" s="27"/>
      <c r="U10945" s="27"/>
    </row>
    <row r="10946">
      <c r="S10946" s="27"/>
      <c r="T10946" s="27"/>
      <c r="U10946" s="27"/>
    </row>
    <row r="10948">
      <c r="S10948" s="27"/>
      <c r="T10948" s="27"/>
      <c r="U10948" s="27"/>
    </row>
    <row r="10949">
      <c r="S10949" s="27"/>
      <c r="T10949" s="27"/>
      <c r="U10949" s="27"/>
    </row>
    <row r="10951">
      <c r="S10951" s="27"/>
      <c r="T10951" s="27"/>
      <c r="U10951" s="27"/>
    </row>
    <row r="10952">
      <c r="S10952" s="27"/>
      <c r="T10952" s="27"/>
      <c r="U10952" s="27"/>
    </row>
    <row r="10954">
      <c r="S10954" s="27"/>
      <c r="T10954" s="27"/>
      <c r="U10954" s="27"/>
    </row>
    <row r="10955">
      <c r="S10955" s="27"/>
      <c r="T10955" s="27"/>
      <c r="U10955" s="27"/>
    </row>
    <row r="10957">
      <c r="S10957" s="27"/>
      <c r="T10957" s="27"/>
      <c r="U10957" s="27"/>
    </row>
    <row r="10958">
      <c r="S10958" s="27"/>
      <c r="T10958" s="27"/>
      <c r="U10958" s="27"/>
    </row>
    <row r="10960">
      <c r="S10960" s="27"/>
      <c r="T10960" s="27"/>
      <c r="U10960" s="27"/>
    </row>
    <row r="10961">
      <c r="S10961" s="27"/>
      <c r="T10961" s="27"/>
      <c r="U10961" s="27"/>
    </row>
    <row r="10963">
      <c r="S10963" s="27"/>
      <c r="T10963" s="27"/>
      <c r="U10963" s="27"/>
    </row>
    <row r="10964">
      <c r="S10964" s="27"/>
      <c r="T10964" s="27"/>
      <c r="U10964" s="27"/>
    </row>
    <row r="10966">
      <c r="S10966" s="27"/>
      <c r="T10966" s="27"/>
      <c r="U10966" s="27"/>
    </row>
    <row r="10968">
      <c r="S10968" s="27"/>
      <c r="T10968" s="27"/>
      <c r="U10968" s="27"/>
    </row>
    <row r="10969">
      <c r="S10969" s="27"/>
      <c r="T10969" s="27"/>
      <c r="U10969" s="27"/>
    </row>
    <row r="10971">
      <c r="S10971" s="27"/>
      <c r="T10971" s="27"/>
      <c r="U10971" s="27"/>
    </row>
    <row r="10972">
      <c r="S10972" s="27"/>
      <c r="T10972" s="27"/>
      <c r="U10972" s="27"/>
    </row>
    <row r="10974">
      <c r="S10974" s="27"/>
      <c r="T10974" s="27"/>
      <c r="U10974" s="27"/>
    </row>
    <row r="10975">
      <c r="S10975" s="27"/>
      <c r="T10975" s="27"/>
      <c r="U10975" s="27"/>
    </row>
    <row r="10977">
      <c r="S10977" s="27"/>
      <c r="T10977" s="27"/>
      <c r="U10977" s="27"/>
    </row>
    <row r="10978">
      <c r="S10978" s="27"/>
      <c r="T10978" s="27"/>
      <c r="U10978" s="27"/>
    </row>
    <row r="10980">
      <c r="S10980" s="27"/>
      <c r="T10980" s="27"/>
      <c r="U10980" s="27"/>
    </row>
    <row r="10981">
      <c r="S10981" s="27"/>
      <c r="T10981" s="27"/>
      <c r="U10981" s="27"/>
    </row>
    <row r="10983">
      <c r="S10983" s="27"/>
      <c r="T10983" s="27"/>
      <c r="U10983" s="27"/>
    </row>
    <row r="10984">
      <c r="S10984" s="27"/>
      <c r="T10984" s="27"/>
      <c r="U10984" s="27"/>
    </row>
    <row r="10986">
      <c r="S10986" s="27"/>
      <c r="T10986" s="27"/>
      <c r="U10986" s="27"/>
    </row>
    <row r="10987">
      <c r="S10987" s="27"/>
      <c r="T10987" s="27"/>
      <c r="U10987" s="27"/>
    </row>
    <row r="10989">
      <c r="S10989" s="27"/>
      <c r="T10989" s="27"/>
      <c r="U10989" s="27"/>
    </row>
    <row r="10991">
      <c r="S10991" s="27"/>
      <c r="T10991" s="27"/>
      <c r="U10991" s="27"/>
    </row>
    <row r="10993">
      <c r="S10993" s="27"/>
      <c r="T10993" s="27"/>
      <c r="U10993" s="27"/>
    </row>
    <row r="10995">
      <c r="S10995" s="27"/>
      <c r="T10995" s="33"/>
      <c r="U10995" s="27"/>
    </row>
    <row r="10997">
      <c r="T10997" s="27"/>
      <c r="U10997" s="27"/>
    </row>
    <row r="10998">
      <c r="S10998" s="27"/>
      <c r="T10998" s="27"/>
      <c r="U10998" s="27"/>
    </row>
    <row r="11000">
      <c r="S11000" s="27"/>
      <c r="T11000" s="27"/>
      <c r="U11000" s="27"/>
    </row>
    <row r="11001">
      <c r="S11001" s="27"/>
      <c r="T11001" s="27"/>
      <c r="U11001" s="27"/>
    </row>
    <row r="11003">
      <c r="S11003" s="27"/>
      <c r="T11003" s="27"/>
      <c r="U11003" s="27"/>
    </row>
    <row r="11004">
      <c r="S11004" s="27"/>
      <c r="T11004" s="27"/>
      <c r="U11004" s="33"/>
    </row>
    <row r="11006">
      <c r="S11006" s="27"/>
      <c r="T11006" s="27"/>
      <c r="U11006" s="27"/>
    </row>
    <row r="11007">
      <c r="S11007" s="27"/>
      <c r="T11007" s="27"/>
      <c r="U11007" s="27"/>
    </row>
    <row r="11009">
      <c r="S11009" s="27"/>
      <c r="T11009" s="27"/>
      <c r="U11009" s="27"/>
    </row>
    <row r="11010">
      <c r="S11010" s="27"/>
      <c r="T11010" s="27"/>
      <c r="U11010" s="27"/>
    </row>
    <row r="11012">
      <c r="S11012" s="27"/>
      <c r="T11012" s="27"/>
      <c r="U11012" s="27"/>
    </row>
    <row r="11013">
      <c r="S11013" s="27"/>
      <c r="T11013" s="27"/>
      <c r="U11013" s="27"/>
    </row>
    <row r="11021">
      <c r="S11021" s="27"/>
      <c r="T11021" s="27"/>
      <c r="U11021" s="27"/>
    </row>
    <row r="11024">
      <c r="S11024" s="27"/>
      <c r="T11024" s="27"/>
      <c r="U11024" s="27"/>
    </row>
    <row r="11025">
      <c r="S11025" s="27"/>
      <c r="T11025" s="27"/>
      <c r="U11025" s="27"/>
    </row>
    <row r="11027">
      <c r="S11027" s="27"/>
      <c r="T11027" s="27"/>
      <c r="U11027" s="27"/>
    </row>
    <row r="11028">
      <c r="S11028" s="27"/>
      <c r="T11028" s="27"/>
      <c r="U11028" s="27"/>
    </row>
    <row r="11030">
      <c r="S11030" s="27"/>
      <c r="T11030" s="27"/>
      <c r="U11030" s="27"/>
    </row>
    <row r="11031">
      <c r="S11031" s="27"/>
      <c r="T11031" s="27"/>
      <c r="U11031" s="27"/>
    </row>
    <row r="11033">
      <c r="S11033" s="27"/>
      <c r="T11033" s="27"/>
    </row>
    <row r="11036">
      <c r="S11036" s="27"/>
      <c r="T11036" s="27"/>
      <c r="U11036" s="27"/>
    </row>
    <row r="11037">
      <c r="S11037" s="27"/>
      <c r="T11037" s="27"/>
      <c r="U11037" s="27"/>
    </row>
    <row r="11039">
      <c r="S11039" s="27"/>
      <c r="T11039" s="27"/>
      <c r="U11039" s="27"/>
    </row>
    <row r="11040">
      <c r="S11040" s="27"/>
      <c r="T11040" s="27"/>
      <c r="U11040" s="27"/>
    </row>
    <row r="11042">
      <c r="S11042" s="27"/>
      <c r="T11042" s="27"/>
      <c r="U11042" s="27"/>
    </row>
    <row r="11043">
      <c r="S11043" s="27"/>
      <c r="T11043" s="27"/>
      <c r="U11043" s="27"/>
    </row>
    <row r="11045">
      <c r="S11045" s="27"/>
      <c r="T11045" s="27"/>
      <c r="U11045" s="27"/>
    </row>
    <row r="11048">
      <c r="S11048" s="27"/>
      <c r="U11048" s="26"/>
    </row>
    <row r="11051">
      <c r="S11051" s="27"/>
      <c r="T11051" s="27"/>
      <c r="U11051" s="27"/>
    </row>
    <row r="11052">
      <c r="S11052" s="27"/>
      <c r="T11052" s="27"/>
      <c r="U11052" s="27"/>
    </row>
    <row r="11054">
      <c r="S11054" s="27"/>
      <c r="T11054" s="27"/>
      <c r="U11054" s="27"/>
    </row>
    <row r="11055">
      <c r="S11055" s="27"/>
      <c r="T11055" s="27"/>
      <c r="U11055" s="27"/>
    </row>
    <row r="11057">
      <c r="S11057" s="26"/>
      <c r="T11057" s="26"/>
      <c r="U11057" s="26"/>
    </row>
    <row r="11060">
      <c r="S11060" s="26"/>
      <c r="T11060" s="27"/>
    </row>
    <row r="11063">
      <c r="S11063" s="27"/>
      <c r="T11063" s="27"/>
      <c r="U11063" s="27"/>
    </row>
    <row r="11066">
      <c r="S11066" s="27"/>
      <c r="T11066" s="27"/>
      <c r="U11066" s="27"/>
    </row>
    <row r="11067">
      <c r="S11067" s="27"/>
      <c r="T11067" s="27"/>
      <c r="U11067" s="27"/>
    </row>
    <row r="11069">
      <c r="S11069" s="27"/>
      <c r="T11069" s="27"/>
      <c r="U11069" s="27"/>
    </row>
    <row r="11070">
      <c r="S11070" s="27"/>
      <c r="T11070" s="27"/>
      <c r="U11070" s="27"/>
    </row>
    <row r="11072">
      <c r="S11072" s="27"/>
      <c r="T11072" s="27"/>
      <c r="U11072" s="27"/>
    </row>
    <row r="11073">
      <c r="S11073" s="27"/>
      <c r="T11073" s="27"/>
      <c r="U11073" s="27"/>
    </row>
    <row r="11075">
      <c r="S11075" s="27"/>
      <c r="T11075" s="27"/>
      <c r="U11075" s="27"/>
    </row>
    <row r="11076">
      <c r="S11076" s="27"/>
      <c r="T11076" s="27"/>
      <c r="U11076" s="27"/>
    </row>
    <row r="11078">
      <c r="S11078" s="27"/>
      <c r="T11078" s="27"/>
      <c r="U11078" s="27"/>
    </row>
    <row r="11079">
      <c r="S11079" s="27"/>
      <c r="T11079" s="27"/>
      <c r="U11079" s="27"/>
    </row>
    <row r="11081">
      <c r="S11081" s="27"/>
      <c r="T11081" s="27"/>
      <c r="U11081" s="27"/>
    </row>
    <row r="11082">
      <c r="S11082" s="27"/>
      <c r="T11082" s="27"/>
      <c r="U11082" s="27"/>
    </row>
    <row r="11084">
      <c r="S11084" s="27"/>
      <c r="T11084" s="27"/>
      <c r="U11084" s="27"/>
    </row>
    <row r="11085">
      <c r="S11085" s="27"/>
      <c r="T11085" s="27"/>
      <c r="U11085" s="27"/>
    </row>
    <row r="11087">
      <c r="S11087" s="27"/>
      <c r="T11087" s="27"/>
      <c r="U11087" s="27"/>
    </row>
    <row r="11088">
      <c r="S11088" s="27"/>
      <c r="T11088" s="27"/>
      <c r="U11088" s="27"/>
    </row>
    <row r="11090">
      <c r="S11090" s="27"/>
      <c r="T11090" s="27"/>
      <c r="U11090" s="27"/>
    </row>
    <row r="11091">
      <c r="S11091" s="27"/>
      <c r="T11091" s="27"/>
      <c r="U11091" s="27"/>
    </row>
    <row r="11093">
      <c r="S11093" s="27"/>
      <c r="T11093" s="27"/>
      <c r="U11093" s="27"/>
    </row>
    <row r="11094">
      <c r="S11094" s="27"/>
      <c r="T11094" s="27"/>
      <c r="U11094" s="27"/>
    </row>
    <row r="11096">
      <c r="S11096" s="27"/>
      <c r="T11096" s="27"/>
      <c r="U11096" s="27"/>
    </row>
    <row r="11097">
      <c r="S11097" s="27"/>
      <c r="T11097" s="27"/>
      <c r="U11097" s="27"/>
    </row>
    <row r="11099">
      <c r="S11099" s="27"/>
      <c r="T11099" s="27"/>
      <c r="U11099" s="27"/>
    </row>
    <row r="11100">
      <c r="S11100" s="27"/>
      <c r="T11100" s="27"/>
      <c r="U11100" s="27"/>
    </row>
    <row r="11102">
      <c r="S11102" s="27"/>
      <c r="T11102" s="27"/>
      <c r="U11102" s="27"/>
    </row>
    <row r="11103">
      <c r="S11103" s="27"/>
      <c r="T11103" s="27"/>
      <c r="U11103" s="27"/>
    </row>
    <row r="11105">
      <c r="S11105" s="27"/>
      <c r="T11105" s="27"/>
      <c r="U11105" s="27"/>
    </row>
    <row r="11106">
      <c r="S11106" s="27"/>
      <c r="T11106" s="27"/>
      <c r="U11106" s="27"/>
    </row>
    <row r="11108">
      <c r="S11108" s="27"/>
      <c r="T11108" s="27"/>
      <c r="U11108" s="27"/>
    </row>
    <row r="11109">
      <c r="S11109" s="27"/>
      <c r="T11109" s="27"/>
      <c r="U11109" s="27"/>
    </row>
    <row r="11111">
      <c r="S11111" s="27"/>
      <c r="T11111" s="27"/>
      <c r="U11111" s="27"/>
    </row>
    <row r="11112">
      <c r="S11112" s="27"/>
      <c r="T11112" s="27"/>
      <c r="U11112" s="27"/>
    </row>
    <row r="11114">
      <c r="S11114" s="27"/>
      <c r="T11114" s="27"/>
      <c r="U11114" s="27"/>
    </row>
    <row r="11115">
      <c r="S11115" s="27"/>
      <c r="T11115" s="27"/>
      <c r="U11115" s="27"/>
    </row>
    <row r="11117">
      <c r="S11117" s="27"/>
      <c r="T11117" s="27"/>
      <c r="U11117" s="27"/>
    </row>
    <row r="11118">
      <c r="S11118" s="27"/>
      <c r="T11118" s="27"/>
      <c r="U11118" s="27"/>
    </row>
    <row r="11120">
      <c r="S11120" s="27"/>
      <c r="T11120" s="27"/>
      <c r="U11120" s="27"/>
    </row>
    <row r="11121">
      <c r="S11121" s="27"/>
      <c r="T11121" s="27"/>
      <c r="U11121" s="27"/>
    </row>
    <row r="11123">
      <c r="S11123" s="27"/>
      <c r="T11123" s="27"/>
      <c r="U11123" s="27"/>
    </row>
    <row r="11124">
      <c r="S11124" s="27"/>
      <c r="T11124" s="27"/>
      <c r="U11124" s="27"/>
    </row>
    <row r="11126">
      <c r="S11126" s="27"/>
      <c r="T11126" s="27"/>
      <c r="U11126" s="27"/>
    </row>
    <row r="11127">
      <c r="S11127" s="27"/>
      <c r="T11127" s="27"/>
      <c r="U11127" s="27"/>
    </row>
    <row r="11129">
      <c r="S11129" s="27"/>
      <c r="T11129" s="27"/>
      <c r="U11129" s="27"/>
    </row>
    <row r="11130">
      <c r="S11130" s="27"/>
      <c r="T11130" s="27"/>
      <c r="U11130" s="27"/>
    </row>
    <row r="11132">
      <c r="S11132" s="27"/>
      <c r="T11132" s="27"/>
      <c r="U11132" s="27"/>
    </row>
    <row r="11133">
      <c r="S11133" s="27"/>
      <c r="T11133" s="27"/>
      <c r="U11133" s="27"/>
    </row>
    <row r="11135">
      <c r="S11135" s="27"/>
      <c r="T11135" s="27"/>
      <c r="U11135" s="27"/>
    </row>
    <row r="11136">
      <c r="S11136" s="27"/>
      <c r="T11136" s="27"/>
      <c r="U11136" s="27"/>
    </row>
    <row r="11138">
      <c r="S11138" s="27"/>
      <c r="T11138" s="27"/>
      <c r="U11138" s="27"/>
    </row>
    <row r="11139">
      <c r="S11139" s="27"/>
      <c r="T11139" s="27"/>
      <c r="U11139" s="27"/>
    </row>
    <row r="11141">
      <c r="S11141" s="27"/>
      <c r="T11141" s="27"/>
      <c r="U11141" s="27"/>
    </row>
    <row r="11142">
      <c r="S11142" s="27"/>
      <c r="T11142" s="27"/>
      <c r="U11142" s="27"/>
    </row>
    <row r="11144">
      <c r="S11144" s="27"/>
      <c r="T11144" s="27"/>
      <c r="U11144" s="27"/>
    </row>
    <row r="11147">
      <c r="S11147" s="33"/>
      <c r="T11147" s="27"/>
    </row>
    <row r="11148">
      <c r="S11148" s="27"/>
      <c r="T11148" s="27"/>
    </row>
    <row r="11150">
      <c r="S11150" s="27"/>
      <c r="T11150" s="27"/>
      <c r="U11150" s="27"/>
    </row>
    <row r="11151">
      <c r="S11151" s="27"/>
      <c r="T11151" s="27"/>
      <c r="U11151" s="27"/>
    </row>
    <row r="11153">
      <c r="T11153" s="27"/>
      <c r="U11153" s="27"/>
    </row>
    <row r="11156">
      <c r="S11156" s="27"/>
      <c r="T11156" s="27"/>
      <c r="U11156" s="27"/>
    </row>
    <row r="11157">
      <c r="S11157" s="27"/>
      <c r="T11157" s="27"/>
      <c r="U11157" s="27"/>
    </row>
    <row r="11159">
      <c r="S11159" s="27"/>
      <c r="T11159" s="27"/>
      <c r="U11159" s="27"/>
    </row>
    <row r="11160">
      <c r="S11160" s="27"/>
      <c r="T11160" s="27"/>
      <c r="U11160" s="27"/>
    </row>
    <row r="11162">
      <c r="S11162" s="27"/>
      <c r="T11162" s="27"/>
      <c r="U11162" s="27"/>
    </row>
    <row r="11163">
      <c r="S11163" s="27"/>
      <c r="U11163" s="27"/>
    </row>
    <row r="11165">
      <c r="U11165" s="26"/>
    </row>
    <row r="11168">
      <c r="S11168" s="27"/>
      <c r="T11168" s="26"/>
      <c r="U11168" s="26"/>
    </row>
    <row r="11171">
      <c r="S11171" s="27"/>
      <c r="T11171" s="27"/>
      <c r="U11171" s="27"/>
    </row>
    <row r="11173">
      <c r="S11173" s="27"/>
      <c r="T11173" s="27"/>
      <c r="U11173" s="27"/>
    </row>
    <row r="11175">
      <c r="S11175" s="26"/>
      <c r="T11175" s="26"/>
      <c r="U11175" s="26"/>
    </row>
    <row r="11178">
      <c r="S11178" s="27"/>
      <c r="T11178" s="27"/>
      <c r="U11178" s="27"/>
    </row>
    <row r="11181">
      <c r="S11181" s="27"/>
      <c r="T11181" s="27"/>
      <c r="U11181" s="27"/>
    </row>
    <row r="11182">
      <c r="S11182" s="27"/>
      <c r="T11182" s="27"/>
      <c r="U11182" s="27"/>
    </row>
    <row r="11184">
      <c r="S11184" s="27"/>
      <c r="T11184" s="27"/>
      <c r="U11184" s="27"/>
    </row>
    <row r="11185">
      <c r="S11185" s="27"/>
      <c r="T11185" s="27"/>
      <c r="U11185" s="27"/>
    </row>
    <row r="11187">
      <c r="S11187" s="27"/>
      <c r="T11187" s="27"/>
      <c r="U11187" s="27"/>
    </row>
    <row r="11188">
      <c r="U11188" s="27"/>
    </row>
    <row r="11190">
      <c r="S11190" s="27"/>
      <c r="T11190" s="27"/>
      <c r="U11190" s="27"/>
    </row>
    <row r="11191">
      <c r="S11191" s="27"/>
      <c r="T11191" s="27"/>
      <c r="U11191" s="27"/>
    </row>
    <row r="11193">
      <c r="S11193" s="27"/>
      <c r="T11193" s="27"/>
      <c r="U11193" s="27"/>
    </row>
    <row r="11194">
      <c r="S11194" s="27"/>
      <c r="T11194" s="27"/>
      <c r="U11194" s="27"/>
    </row>
    <row r="11199">
      <c r="S11199" s="27"/>
      <c r="T11199" s="27"/>
      <c r="U11199" s="27"/>
    </row>
    <row r="11200">
      <c r="S11200" s="27"/>
      <c r="T11200" s="27"/>
      <c r="U11200" s="27"/>
    </row>
    <row r="11202">
      <c r="S11202" s="27"/>
      <c r="T11202" s="27"/>
      <c r="U11202" s="27"/>
    </row>
    <row r="11203">
      <c r="S11203" s="27"/>
      <c r="T11203" s="27"/>
      <c r="U11203" s="27"/>
    </row>
    <row r="11205">
      <c r="S11205" s="27"/>
      <c r="T11205" s="27"/>
      <c r="U11205" s="27"/>
    </row>
    <row r="11206">
      <c r="S11206" s="27"/>
      <c r="T11206" s="27"/>
      <c r="U11206" s="27"/>
    </row>
    <row r="11211">
      <c r="S11211" s="27"/>
      <c r="T11211" s="27"/>
      <c r="U11211" s="27"/>
    </row>
    <row r="11214">
      <c r="S11214" s="27"/>
      <c r="T11214" s="27"/>
    </row>
    <row r="11215">
      <c r="S11215" s="33"/>
      <c r="T11215" s="33"/>
      <c r="U11215" s="33"/>
    </row>
    <row r="11218">
      <c r="S11218" s="26"/>
      <c r="T11218" s="26"/>
      <c r="U11218" s="26"/>
    </row>
    <row r="11220">
      <c r="S11220" s="27"/>
      <c r="T11220" s="27"/>
      <c r="U11220" s="27"/>
    </row>
    <row r="11221">
      <c r="S11221" s="27"/>
      <c r="T11221" s="27"/>
      <c r="U11221" s="27"/>
    </row>
    <row r="11223">
      <c r="S11223" s="27"/>
      <c r="T11223" s="27"/>
      <c r="U11223" s="27"/>
    </row>
    <row r="11224">
      <c r="S11224" s="27"/>
      <c r="T11224" s="27"/>
      <c r="U11224" s="27"/>
    </row>
    <row r="11226">
      <c r="S11226" s="27"/>
      <c r="T11226" s="27"/>
      <c r="U11226" s="27"/>
    </row>
    <row r="11227">
      <c r="S11227" s="27"/>
      <c r="T11227" s="27"/>
      <c r="U11227" s="27"/>
    </row>
    <row r="11230">
      <c r="S11230" s="27"/>
      <c r="T11230" s="27"/>
      <c r="U11230" s="27"/>
    </row>
    <row r="11235">
      <c r="S11235" s="33"/>
      <c r="T11235" s="27"/>
      <c r="U11235" s="27"/>
    </row>
    <row r="11236">
      <c r="S11236" s="27"/>
      <c r="T11236" s="27"/>
      <c r="U11236" s="27"/>
    </row>
    <row r="11238">
      <c r="S11238" s="27"/>
      <c r="T11238" s="27"/>
      <c r="U11238" s="27"/>
    </row>
    <row r="11239">
      <c r="S11239" s="27"/>
      <c r="T11239" s="27"/>
      <c r="U11239" s="27"/>
    </row>
    <row r="11241">
      <c r="S11241" s="27"/>
      <c r="T11241" s="27"/>
      <c r="U11241" s="27"/>
    </row>
    <row r="11244">
      <c r="S11244" s="27"/>
      <c r="T11244" s="26"/>
      <c r="U11244" s="27"/>
    </row>
    <row r="11245">
      <c r="S11245" s="27"/>
      <c r="U11245" s="27"/>
    </row>
    <row r="11250">
      <c r="S11250" s="27"/>
      <c r="T11250" s="27"/>
      <c r="U11250" s="27"/>
    </row>
    <row r="11251">
      <c r="S11251" s="27"/>
      <c r="T11251" s="27"/>
      <c r="U11251" s="27"/>
    </row>
    <row r="11253">
      <c r="S11253" s="27"/>
      <c r="T11253" s="27"/>
      <c r="U11253" s="27"/>
    </row>
    <row r="11256">
      <c r="S11256" s="27"/>
      <c r="T11256" s="27"/>
      <c r="U11256" s="27"/>
    </row>
    <row r="11257">
      <c r="S11257" s="27"/>
      <c r="T11257" s="27"/>
      <c r="U11257" s="27"/>
    </row>
    <row r="11262">
      <c r="S11262" s="27"/>
      <c r="T11262" s="27"/>
      <c r="U11262" s="27"/>
    </row>
    <row r="11265">
      <c r="S11265" s="27"/>
      <c r="T11265" s="27"/>
      <c r="U11265" s="27"/>
    </row>
    <row r="11266">
      <c r="S11266" s="27"/>
      <c r="T11266" s="27"/>
      <c r="U11266" s="27"/>
    </row>
    <row r="11268">
      <c r="S11268" s="27"/>
      <c r="T11268" s="27"/>
      <c r="U11268" s="27"/>
    </row>
    <row r="11269">
      <c r="T11269" s="27"/>
      <c r="U11269" s="27"/>
    </row>
    <row r="11271">
      <c r="S11271" s="27"/>
      <c r="T11271" s="27"/>
      <c r="U11271" s="27"/>
    </row>
    <row r="11272">
      <c r="S11272" s="27"/>
      <c r="T11272" s="27"/>
      <c r="U11272" s="27"/>
    </row>
    <row r="11274">
      <c r="S11274" s="27"/>
    </row>
    <row r="11275">
      <c r="T11275" s="26"/>
      <c r="U11275" s="26"/>
    </row>
    <row r="11277">
      <c r="S11277" s="27"/>
      <c r="T11277" s="27"/>
      <c r="U11277" s="27"/>
    </row>
    <row r="11278">
      <c r="S11278" s="27"/>
      <c r="T11278" s="27"/>
      <c r="U11278" s="27"/>
    </row>
    <row r="11280">
      <c r="S11280" s="27"/>
      <c r="T11280" s="27"/>
      <c r="U11280" s="27"/>
    </row>
    <row r="11281">
      <c r="S11281" s="27"/>
      <c r="T11281" s="27"/>
      <c r="U11281" s="27"/>
    </row>
    <row r="11286">
      <c r="S11286" s="27"/>
      <c r="T11286" s="27"/>
      <c r="U11286" s="27"/>
    </row>
    <row r="11287">
      <c r="S11287" s="27"/>
      <c r="T11287" s="27"/>
      <c r="U11287" s="27"/>
    </row>
    <row r="11289">
      <c r="S11289" s="27"/>
      <c r="T11289" s="27"/>
      <c r="U11289" s="27"/>
    </row>
    <row r="11290">
      <c r="S11290" s="27"/>
      <c r="T11290" s="27"/>
      <c r="U11290" s="27"/>
    </row>
    <row r="11292">
      <c r="S11292" s="27"/>
      <c r="T11292" s="27"/>
      <c r="U11292" s="27"/>
    </row>
    <row r="11293">
      <c r="S11293" s="27"/>
      <c r="T11293" s="27"/>
      <c r="U11293" s="27"/>
    </row>
    <row r="11295">
      <c r="S11295" s="27"/>
      <c r="T11295" s="27"/>
      <c r="U11295" s="27"/>
    </row>
    <row r="11296">
      <c r="S11296" s="27"/>
      <c r="T11296" s="27"/>
      <c r="U11296" s="27"/>
    </row>
    <row r="11298">
      <c r="S11298" s="27"/>
      <c r="T11298" s="27"/>
      <c r="U11298" s="27"/>
    </row>
    <row r="11299">
      <c r="S11299" s="27"/>
      <c r="T11299" s="27"/>
      <c r="U11299" s="27"/>
    </row>
    <row r="11301">
      <c r="S11301" s="27"/>
      <c r="T11301" s="27"/>
      <c r="U11301" s="27"/>
    </row>
    <row r="11302">
      <c r="S11302" s="27"/>
      <c r="T11302" s="27"/>
      <c r="U11302" s="27"/>
    </row>
    <row r="11304">
      <c r="S11304" s="27"/>
      <c r="T11304" s="27"/>
      <c r="U11304" s="27"/>
    </row>
    <row r="11305">
      <c r="S11305" s="27"/>
      <c r="T11305" s="27"/>
      <c r="U11305" s="27"/>
    </row>
    <row r="11307">
      <c r="S11307" s="27"/>
      <c r="T11307" s="27"/>
      <c r="U11307" s="27"/>
    </row>
    <row r="11308">
      <c r="S11308" s="27"/>
      <c r="T11308" s="27"/>
      <c r="U11308" s="27"/>
    </row>
    <row r="11310">
      <c r="S11310" s="27"/>
      <c r="T11310" s="27"/>
      <c r="U11310" s="27"/>
    </row>
    <row r="11311">
      <c r="S11311" s="27"/>
      <c r="T11311" s="27"/>
      <c r="U11311" s="27"/>
    </row>
    <row r="11313">
      <c r="S11313" s="27"/>
      <c r="T11313" s="27"/>
      <c r="U11313" s="27"/>
    </row>
    <row r="11314">
      <c r="S11314" s="27"/>
      <c r="T11314" s="27"/>
      <c r="U11314" s="27"/>
    </row>
    <row r="11316">
      <c r="S11316" s="27"/>
      <c r="T11316" s="27"/>
      <c r="U11316" s="27"/>
    </row>
    <row r="11317">
      <c r="S11317" s="27"/>
      <c r="T11317" s="27"/>
      <c r="U11317" s="27"/>
    </row>
    <row r="11319">
      <c r="S11319" s="27"/>
      <c r="T11319" s="27"/>
      <c r="U11319" s="27"/>
    </row>
    <row r="11320">
      <c r="S11320" s="27"/>
      <c r="T11320" s="27"/>
      <c r="U11320" s="27"/>
    </row>
    <row r="11322">
      <c r="S11322" s="27"/>
      <c r="T11322" s="27"/>
      <c r="U11322" s="27"/>
    </row>
    <row r="11323">
      <c r="S11323" s="27"/>
      <c r="T11323" s="27"/>
      <c r="U11323" s="27"/>
    </row>
    <row r="11325">
      <c r="S11325" s="27"/>
      <c r="T11325" s="27"/>
      <c r="U11325" s="27"/>
    </row>
    <row r="11326">
      <c r="S11326" s="27"/>
      <c r="T11326" s="27"/>
      <c r="U11326" s="27"/>
    </row>
    <row r="11328">
      <c r="S11328" s="27"/>
      <c r="T11328" s="27"/>
      <c r="U11328" s="27"/>
    </row>
    <row r="11329">
      <c r="S11329" s="27"/>
      <c r="T11329" s="27"/>
      <c r="U11329" s="27"/>
    </row>
    <row r="11331">
      <c r="S11331" s="27"/>
      <c r="T11331" s="27"/>
      <c r="U11331" s="27"/>
    </row>
    <row r="11332">
      <c r="S11332" s="27"/>
      <c r="T11332" s="27"/>
      <c r="U11332" s="27"/>
    </row>
    <row r="11334">
      <c r="S11334" s="27"/>
      <c r="T11334" s="27"/>
      <c r="U11334" s="27"/>
    </row>
    <row r="11335">
      <c r="S11335" s="27"/>
      <c r="T11335" s="27"/>
      <c r="U11335" s="27"/>
    </row>
    <row r="11337">
      <c r="S11337" s="27"/>
      <c r="T11337" s="27"/>
      <c r="U11337" s="27"/>
    </row>
    <row r="11338">
      <c r="S11338" s="27"/>
      <c r="T11338" s="27"/>
      <c r="U11338" s="27"/>
    </row>
    <row r="11340">
      <c r="S11340" s="27"/>
      <c r="T11340" s="27"/>
      <c r="U11340" s="27"/>
    </row>
    <row r="11341">
      <c r="S11341" s="27"/>
      <c r="T11341" s="27"/>
      <c r="U11341" s="27"/>
    </row>
    <row r="11343">
      <c r="S11343" s="27"/>
      <c r="T11343" s="27"/>
      <c r="U11343" s="27"/>
    </row>
    <row r="11344">
      <c r="S11344" s="27"/>
      <c r="T11344" s="27"/>
      <c r="U11344" s="27"/>
    </row>
    <row r="11346">
      <c r="S11346" s="27"/>
      <c r="T11346" s="27"/>
      <c r="U11346" s="27"/>
    </row>
    <row r="11347">
      <c r="S11347" s="27"/>
      <c r="T11347" s="27"/>
      <c r="U11347" s="27"/>
    </row>
    <row r="11349">
      <c r="S11349" s="27"/>
      <c r="T11349" s="27"/>
      <c r="U11349" s="27"/>
    </row>
    <row r="11350">
      <c r="S11350" s="27"/>
      <c r="T11350" s="27"/>
      <c r="U11350" s="27"/>
    </row>
    <row r="11352">
      <c r="S11352" s="27"/>
      <c r="T11352" s="27"/>
      <c r="U11352" s="27"/>
    </row>
    <row r="11353">
      <c r="S11353" s="27"/>
      <c r="T11353" s="27"/>
      <c r="U11353" s="27"/>
    </row>
    <row r="11355">
      <c r="S11355" s="27"/>
      <c r="T11355" s="27"/>
      <c r="U11355" s="27"/>
    </row>
    <row r="11356">
      <c r="S11356" s="27"/>
      <c r="T11356" s="27"/>
      <c r="U11356" s="27"/>
    </row>
    <row r="11358">
      <c r="S11358" s="27"/>
      <c r="T11358" s="27"/>
      <c r="U11358" s="27"/>
    </row>
    <row r="11359">
      <c r="S11359" s="27"/>
      <c r="T11359" s="27"/>
      <c r="U11359" s="27"/>
    </row>
    <row r="11361">
      <c r="S11361" s="27"/>
      <c r="T11361" s="27"/>
      <c r="U11361" s="27"/>
    </row>
    <row r="11362">
      <c r="S11362" s="27"/>
      <c r="T11362" s="27"/>
      <c r="U11362" s="27"/>
    </row>
    <row r="11364">
      <c r="S11364" s="27"/>
      <c r="T11364" s="27"/>
      <c r="U11364" s="27"/>
    </row>
    <row r="11365">
      <c r="S11365" s="27"/>
      <c r="T11365" s="27"/>
      <c r="U11365" s="27"/>
    </row>
    <row r="11367">
      <c r="S11367" s="27"/>
      <c r="T11367" s="27"/>
      <c r="U11367" s="27"/>
    </row>
    <row r="11368">
      <c r="S11368" s="27"/>
      <c r="T11368" s="27"/>
      <c r="U11368" s="27"/>
    </row>
    <row r="11370">
      <c r="S11370" s="27"/>
      <c r="T11370" s="27"/>
      <c r="U11370" s="27"/>
    </row>
    <row r="11371">
      <c r="S11371" s="27"/>
      <c r="T11371" s="27"/>
      <c r="U11371" s="27"/>
    </row>
    <row r="11373">
      <c r="S11373" s="27"/>
      <c r="T11373" s="27"/>
      <c r="U11373" s="27"/>
    </row>
    <row r="11375">
      <c r="S11375" s="27"/>
      <c r="T11375" s="27"/>
      <c r="U11375" s="27"/>
    </row>
    <row r="11376">
      <c r="S11376" s="27"/>
      <c r="T11376" s="27"/>
      <c r="U11376" s="27"/>
    </row>
    <row r="11378">
      <c r="S11378" s="27"/>
      <c r="T11378" s="27"/>
      <c r="U11378" s="27"/>
    </row>
    <row r="11379">
      <c r="S11379" s="27"/>
      <c r="T11379" s="27"/>
      <c r="U11379" s="27"/>
    </row>
    <row r="11381">
      <c r="S11381" s="27"/>
      <c r="T11381" s="27"/>
      <c r="U11381" s="27"/>
    </row>
    <row r="11382">
      <c r="S11382" s="27"/>
      <c r="T11382" s="27"/>
      <c r="U11382" s="27"/>
    </row>
    <row r="11384">
      <c r="S11384" s="27"/>
      <c r="T11384" s="27"/>
      <c r="U11384" s="27"/>
    </row>
    <row r="11385">
      <c r="S11385" s="27"/>
      <c r="T11385" s="27"/>
      <c r="U11385" s="27"/>
    </row>
    <row r="11387">
      <c r="S11387" s="27"/>
      <c r="T11387" s="27"/>
      <c r="U11387" s="27"/>
    </row>
    <row r="11388">
      <c r="S11388" s="27"/>
      <c r="T11388" s="27"/>
      <c r="U11388" s="27"/>
    </row>
    <row r="11390">
      <c r="S11390" s="27"/>
      <c r="T11390" s="27"/>
      <c r="U11390" s="27"/>
    </row>
    <row r="11391">
      <c r="S11391" s="27"/>
      <c r="T11391" s="27"/>
      <c r="U11391" s="27"/>
    </row>
    <row r="11393">
      <c r="S11393" s="27"/>
      <c r="T11393" s="27"/>
      <c r="U11393" s="27"/>
    </row>
    <row r="11394">
      <c r="S11394" s="27"/>
      <c r="T11394" s="27"/>
      <c r="U11394" s="27"/>
    </row>
    <row r="11396">
      <c r="S11396" s="27"/>
      <c r="T11396" s="27"/>
      <c r="U11396" s="27"/>
    </row>
    <row r="11398">
      <c r="S11398" s="27"/>
      <c r="T11398" s="33"/>
      <c r="U11398" s="27"/>
    </row>
    <row r="11400">
      <c r="T11400" s="27"/>
      <c r="U11400" s="27"/>
    </row>
    <row r="11402">
      <c r="S11402" s="27"/>
      <c r="T11402" s="27"/>
      <c r="U11402" s="27"/>
    </row>
    <row r="11404">
      <c r="S11404" s="27"/>
      <c r="T11404" s="27"/>
      <c r="U11404" s="27"/>
    </row>
    <row r="11405">
      <c r="S11405" s="27"/>
      <c r="T11405" s="27"/>
      <c r="U11405" s="27"/>
    </row>
    <row r="11407">
      <c r="S11407" s="27"/>
      <c r="T11407" s="27"/>
      <c r="U11407" s="27"/>
    </row>
    <row r="11408">
      <c r="S11408" s="27"/>
      <c r="T11408" s="27"/>
      <c r="U11408" s="27"/>
    </row>
    <row r="11410">
      <c r="S11410" s="27"/>
      <c r="T11410" s="27"/>
      <c r="U11410" s="27"/>
    </row>
    <row r="11411">
      <c r="S11411" s="33"/>
      <c r="T11411" s="33"/>
      <c r="U11411" s="33"/>
    </row>
    <row r="11413">
      <c r="S11413" s="27"/>
      <c r="T11413" s="27"/>
      <c r="U11413" s="27"/>
    </row>
    <row r="11414">
      <c r="S11414" s="27"/>
      <c r="T11414" s="27"/>
      <c r="U11414" s="27"/>
    </row>
    <row r="11416">
      <c r="S11416" s="27"/>
      <c r="T11416" s="27"/>
      <c r="U11416" s="27"/>
    </row>
    <row r="11417">
      <c r="S11417" s="27"/>
      <c r="T11417" s="27"/>
      <c r="U11417" s="27"/>
    </row>
    <row r="11419">
      <c r="S11419" s="27"/>
      <c r="T11419" s="27"/>
      <c r="U11419" s="27"/>
    </row>
    <row r="11420">
      <c r="S11420" s="27"/>
      <c r="T11420" s="27"/>
      <c r="U11420" s="27"/>
    </row>
    <row r="11431">
      <c r="S11431" s="27"/>
      <c r="T11431" s="27"/>
      <c r="U11431" s="27"/>
    </row>
    <row r="11432">
      <c r="S11432" s="27"/>
      <c r="T11432" s="27"/>
      <c r="U11432" s="27"/>
    </row>
    <row r="11434">
      <c r="S11434" s="27"/>
      <c r="T11434" s="27"/>
      <c r="U11434" s="27"/>
    </row>
    <row r="11435">
      <c r="S11435" s="27"/>
      <c r="T11435" s="27"/>
      <c r="U11435" s="27"/>
    </row>
    <row r="11437">
      <c r="S11437" s="27"/>
      <c r="T11437" s="27"/>
      <c r="U11437" s="27"/>
    </row>
    <row r="11438">
      <c r="S11438" s="27"/>
      <c r="T11438" s="27"/>
      <c r="U11438" s="27"/>
    </row>
    <row r="11440">
      <c r="S11440" s="26"/>
      <c r="T11440" s="26"/>
      <c r="U11440" s="26"/>
    </row>
    <row r="11443">
      <c r="S11443" s="27"/>
      <c r="T11443" s="27"/>
      <c r="U11443" s="27"/>
    </row>
    <row r="11444">
      <c r="S11444" s="27"/>
      <c r="T11444" s="27"/>
      <c r="U11444" s="27"/>
    </row>
    <row r="11446">
      <c r="S11446" s="27"/>
      <c r="T11446" s="27"/>
      <c r="U11446" s="27"/>
    </row>
    <row r="11447">
      <c r="S11447" s="27"/>
      <c r="T11447" s="27"/>
      <c r="U11447" s="27"/>
    </row>
    <row r="11449">
      <c r="S11449" s="27"/>
      <c r="T11449" s="26"/>
      <c r="U11449" s="27"/>
    </row>
    <row r="11450">
      <c r="S11450" s="27"/>
      <c r="U11450" s="27"/>
    </row>
    <row r="11452">
      <c r="S11452" s="27"/>
      <c r="T11452" s="27"/>
      <c r="U11452" s="27"/>
    </row>
    <row r="11459">
      <c r="S11459" s="27"/>
      <c r="T11459" s="27"/>
      <c r="U11459" s="27"/>
    </row>
    <row r="11461">
      <c r="S11461" s="27"/>
      <c r="T11461" s="27"/>
      <c r="U11461" s="27"/>
    </row>
    <row r="11462">
      <c r="S11462" s="27"/>
      <c r="T11462" s="27"/>
      <c r="U11462" s="27"/>
    </row>
    <row r="11464">
      <c r="S11464" s="34"/>
      <c r="T11464" s="34"/>
      <c r="U11464" s="34"/>
    </row>
    <row r="11473">
      <c r="S11473" s="27"/>
      <c r="T11473" s="27"/>
      <c r="U11473" s="27"/>
    </row>
    <row r="11474">
      <c r="S11474" s="27"/>
      <c r="T11474" s="27"/>
      <c r="U11474" s="27"/>
    </row>
    <row r="11476">
      <c r="S11476" s="27"/>
      <c r="T11476" s="27"/>
      <c r="U11476" s="27"/>
    </row>
    <row r="11477">
      <c r="S11477" s="27"/>
      <c r="T11477" s="27"/>
      <c r="U11477" s="27"/>
    </row>
    <row r="11479">
      <c r="S11479" s="27"/>
      <c r="T11479" s="27"/>
      <c r="U11479" s="27"/>
    </row>
    <row r="11480">
      <c r="S11480" s="27"/>
      <c r="T11480" s="27"/>
      <c r="U11480" s="27"/>
    </row>
    <row r="11482">
      <c r="S11482" s="27"/>
      <c r="T11482" s="27"/>
      <c r="U11482" s="27"/>
    </row>
    <row r="11483">
      <c r="S11483" s="27"/>
      <c r="T11483" s="27"/>
      <c r="U11483" s="27"/>
    </row>
    <row r="11485">
      <c r="S11485" s="27"/>
      <c r="T11485" s="27"/>
      <c r="U11485" s="27"/>
    </row>
    <row r="11486">
      <c r="S11486" s="27"/>
      <c r="T11486" s="27"/>
      <c r="U11486" s="27"/>
    </row>
    <row r="11488">
      <c r="S11488" s="27"/>
      <c r="T11488" s="27"/>
      <c r="U11488" s="27"/>
    </row>
    <row r="11489">
      <c r="S11489" s="27"/>
      <c r="T11489" s="27"/>
      <c r="U11489" s="27"/>
    </row>
    <row r="11491">
      <c r="S11491" s="27"/>
      <c r="T11491" s="27"/>
      <c r="U11491" s="27"/>
    </row>
    <row r="11492">
      <c r="S11492" s="27"/>
      <c r="T11492" s="27"/>
      <c r="U11492" s="27"/>
    </row>
    <row r="11494">
      <c r="S11494" s="27"/>
      <c r="T11494" s="27"/>
      <c r="U11494" s="27"/>
    </row>
    <row r="11495">
      <c r="S11495" s="27"/>
      <c r="T11495" s="27"/>
      <c r="U11495" s="27"/>
    </row>
    <row r="11497">
      <c r="S11497" s="27"/>
      <c r="T11497" s="27"/>
      <c r="U11497" s="27"/>
    </row>
    <row r="11498">
      <c r="S11498" s="27"/>
      <c r="T11498" s="27"/>
      <c r="U11498" s="27"/>
    </row>
    <row r="11500">
      <c r="S11500" s="27"/>
      <c r="T11500" s="27"/>
      <c r="U11500" s="27"/>
    </row>
    <row r="11501">
      <c r="S11501" s="27"/>
      <c r="T11501" s="27"/>
      <c r="U11501" s="27"/>
    </row>
    <row r="11503">
      <c r="S11503" s="27"/>
      <c r="T11503" s="27"/>
      <c r="U11503" s="27"/>
    </row>
    <row r="11504">
      <c r="S11504" s="27"/>
      <c r="T11504" s="27"/>
      <c r="U11504" s="27"/>
    </row>
    <row r="11506">
      <c r="S11506" s="27"/>
      <c r="T11506" s="27"/>
      <c r="U11506" s="27"/>
    </row>
    <row r="11507">
      <c r="S11507" s="27"/>
      <c r="T11507" s="27"/>
      <c r="U11507" s="27"/>
    </row>
    <row r="11509">
      <c r="S11509" s="27"/>
      <c r="T11509" s="27"/>
      <c r="U11509" s="27"/>
    </row>
    <row r="11510">
      <c r="S11510" s="27"/>
      <c r="T11510" s="27"/>
      <c r="U11510" s="27"/>
    </row>
    <row r="11512">
      <c r="S11512" s="27"/>
      <c r="T11512" s="27"/>
      <c r="U11512" s="27"/>
    </row>
    <row r="11513">
      <c r="S11513" s="27"/>
      <c r="T11513" s="27"/>
      <c r="U11513" s="27"/>
    </row>
    <row r="11515">
      <c r="S11515" s="27"/>
      <c r="T11515" s="27"/>
      <c r="U11515" s="27"/>
    </row>
    <row r="11516">
      <c r="S11516" s="27"/>
      <c r="T11516" s="27"/>
      <c r="U11516" s="27"/>
    </row>
    <row r="11518">
      <c r="S11518" s="27"/>
      <c r="T11518" s="27"/>
      <c r="U11518" s="27"/>
    </row>
    <row r="11519">
      <c r="S11519" s="27"/>
      <c r="T11519" s="27"/>
      <c r="U11519" s="27"/>
    </row>
    <row r="11521">
      <c r="S11521" s="27"/>
      <c r="T11521" s="27"/>
      <c r="U11521" s="27"/>
    </row>
    <row r="11522">
      <c r="S11522" s="27"/>
      <c r="T11522" s="27"/>
      <c r="U11522" s="27"/>
    </row>
    <row r="11524">
      <c r="S11524" s="27"/>
      <c r="T11524" s="27"/>
      <c r="U11524" s="27"/>
    </row>
    <row r="11525">
      <c r="S11525" s="27"/>
      <c r="T11525" s="27"/>
      <c r="U11525" s="27"/>
    </row>
    <row r="11527">
      <c r="S11527" s="27"/>
      <c r="T11527" s="27"/>
      <c r="U11527" s="27"/>
    </row>
    <row r="11528">
      <c r="S11528" s="27"/>
      <c r="T11528" s="27"/>
      <c r="U11528" s="27"/>
    </row>
    <row r="11530">
      <c r="S11530" s="27"/>
      <c r="T11530" s="27"/>
      <c r="U11530" s="27"/>
    </row>
    <row r="11531">
      <c r="S11531" s="27"/>
      <c r="T11531" s="27"/>
      <c r="U11531" s="27"/>
    </row>
    <row r="11533">
      <c r="S11533" s="27"/>
      <c r="T11533" s="27"/>
      <c r="U11533" s="27"/>
    </row>
    <row r="11534">
      <c r="S11534" s="27"/>
      <c r="T11534" s="27"/>
      <c r="U11534" s="27"/>
    </row>
    <row r="11536">
      <c r="S11536" s="27"/>
      <c r="T11536" s="27"/>
      <c r="U11536" s="27"/>
    </row>
    <row r="11537">
      <c r="S11537" s="27"/>
      <c r="T11537" s="27"/>
      <c r="U11537" s="27"/>
    </row>
    <row r="11539">
      <c r="S11539" s="27"/>
      <c r="T11539" s="27"/>
      <c r="U11539" s="27"/>
    </row>
    <row r="11540">
      <c r="S11540" s="27"/>
      <c r="T11540" s="27"/>
      <c r="U11540" s="27"/>
    </row>
    <row r="11542">
      <c r="S11542" s="27"/>
      <c r="T11542" s="27"/>
      <c r="U11542" s="27"/>
    </row>
    <row r="11543">
      <c r="S11543" s="27"/>
      <c r="T11543" s="27"/>
      <c r="U11543" s="27"/>
    </row>
    <row r="11545">
      <c r="S11545" s="27"/>
      <c r="T11545" s="27"/>
      <c r="U11545" s="27"/>
    </row>
    <row r="11546">
      <c r="S11546" s="27"/>
      <c r="T11546" s="27"/>
      <c r="U11546" s="27"/>
    </row>
    <row r="11548">
      <c r="S11548" s="33"/>
      <c r="T11548" s="27"/>
      <c r="U11548" s="27"/>
    </row>
    <row r="11549">
      <c r="S11549" s="27"/>
      <c r="T11549" s="27"/>
      <c r="U11549" s="27"/>
    </row>
    <row r="11552">
      <c r="T11552" s="27"/>
      <c r="U11552" s="27"/>
    </row>
    <row r="11554">
      <c r="S11554" s="33"/>
      <c r="T11554" s="27"/>
      <c r="U11554" s="33"/>
    </row>
    <row r="11555">
      <c r="S11555" s="27"/>
      <c r="T11555" s="27"/>
      <c r="U11555" s="27"/>
    </row>
    <row r="11557">
      <c r="S11557" s="27"/>
      <c r="T11557" s="27"/>
      <c r="U11557" s="27"/>
    </row>
    <row r="11558">
      <c r="S11558" s="27"/>
      <c r="T11558" s="27"/>
      <c r="U11558" s="27"/>
    </row>
    <row r="11561">
      <c r="S11561" s="27"/>
    </row>
    <row r="11563">
      <c r="S11563" s="27"/>
      <c r="T11563" s="27"/>
      <c r="U11563" s="27"/>
    </row>
    <row r="11564">
      <c r="S11564" s="27"/>
      <c r="T11564" s="27"/>
      <c r="U11564" s="27"/>
    </row>
    <row r="11566">
      <c r="S11566" s="27"/>
      <c r="T11566" s="27"/>
      <c r="U11566" s="27"/>
    </row>
    <row r="11567">
      <c r="S11567" s="27"/>
      <c r="T11567" s="27"/>
      <c r="U11567" s="27"/>
    </row>
    <row r="11569">
      <c r="T11569" s="27"/>
      <c r="U11569" s="27"/>
    </row>
    <row r="11570">
      <c r="S11570" s="27"/>
      <c r="T11570" s="27"/>
      <c r="U11570" s="27"/>
    </row>
    <row r="11575">
      <c r="S11575" s="26"/>
      <c r="U11575" s="26"/>
    </row>
    <row r="11578">
      <c r="S11578" s="27"/>
      <c r="T11578" s="27"/>
      <c r="U11578" s="27"/>
    </row>
    <row r="11580">
      <c r="S11580" s="27"/>
      <c r="T11580" s="27"/>
      <c r="U11580" s="27"/>
    </row>
    <row r="11585">
      <c r="S11585" s="27"/>
      <c r="T11585" s="27"/>
      <c r="U11585" s="27"/>
    </row>
    <row r="11588">
      <c r="S11588" s="27"/>
      <c r="T11588" s="27"/>
      <c r="U11588" s="27"/>
    </row>
    <row r="11589">
      <c r="S11589" s="27"/>
      <c r="T11589" s="27"/>
      <c r="U11589" s="27"/>
    </row>
    <row r="11591">
      <c r="S11591" s="27"/>
      <c r="T11591" s="27"/>
      <c r="U11591" s="27"/>
    </row>
    <row r="11592">
      <c r="S11592" s="27"/>
      <c r="T11592" s="27"/>
      <c r="U11592" s="27"/>
    </row>
    <row r="11594">
      <c r="S11594" s="27"/>
      <c r="T11594" s="27"/>
      <c r="U11594" s="27"/>
    </row>
    <row r="11595">
      <c r="U11595" s="27"/>
    </row>
    <row r="11597">
      <c r="S11597" s="27"/>
      <c r="T11597" s="27"/>
      <c r="U11597" s="27"/>
    </row>
    <row r="11598">
      <c r="S11598" s="27"/>
      <c r="T11598" s="26"/>
      <c r="U11598" s="27"/>
    </row>
    <row r="11600">
      <c r="S11600" s="27"/>
      <c r="T11600" s="27"/>
      <c r="U11600" s="27"/>
    </row>
    <row r="11601">
      <c r="S11601" s="27"/>
      <c r="T11601" s="27"/>
      <c r="U11601" s="27"/>
    </row>
    <row r="11606">
      <c r="S11606" s="27"/>
      <c r="T11606" s="27"/>
      <c r="U11606" s="27"/>
    </row>
    <row r="11607">
      <c r="S11607" s="27"/>
      <c r="T11607" s="27"/>
      <c r="U11607" s="27"/>
    </row>
    <row r="11609">
      <c r="S11609" s="27"/>
      <c r="T11609" s="27"/>
      <c r="U11609" s="27"/>
    </row>
    <row r="11610">
      <c r="S11610" s="27"/>
      <c r="T11610" s="27"/>
      <c r="U11610" s="27"/>
    </row>
    <row r="11612">
      <c r="S11612" s="27"/>
      <c r="T11612" s="27"/>
      <c r="U11612" s="27"/>
    </row>
    <row r="11613">
      <c r="S11613" s="27"/>
      <c r="T11613" s="27"/>
      <c r="U11613" s="27"/>
    </row>
    <row r="11615">
      <c r="S11615" s="33"/>
      <c r="T11615" s="27"/>
      <c r="U11615" s="27"/>
    </row>
    <row r="11618">
      <c r="S11618" s="27"/>
      <c r="T11618" s="27"/>
    </row>
    <row r="11619">
      <c r="S11619" s="27"/>
      <c r="T11619" s="27"/>
    </row>
    <row r="11621">
      <c r="S11621" s="27"/>
      <c r="T11621" s="27"/>
      <c r="U11621" s="27"/>
    </row>
    <row r="11624">
      <c r="S11624" s="27"/>
      <c r="T11624" s="27"/>
      <c r="U11624" s="27"/>
    </row>
    <row r="11625">
      <c r="S11625" s="33"/>
      <c r="T11625" s="33"/>
      <c r="U11625" s="33"/>
    </row>
    <row r="11628">
      <c r="S11628" s="26"/>
      <c r="T11628" s="26"/>
      <c r="U11628" s="26"/>
    </row>
    <row r="11630">
      <c r="S11630" s="27"/>
      <c r="T11630" s="27"/>
      <c r="U11630" s="27"/>
    </row>
    <row r="11631">
      <c r="S11631" s="27"/>
      <c r="T11631" s="27"/>
      <c r="U11631" s="27"/>
    </row>
    <row r="11633">
      <c r="S11633" s="27"/>
      <c r="T11633" s="27"/>
      <c r="U11633" s="27"/>
    </row>
    <row r="11634">
      <c r="S11634" s="27"/>
      <c r="T11634" s="27"/>
      <c r="U11634" s="27"/>
    </row>
    <row r="11636">
      <c r="S11636" s="27"/>
      <c r="T11636" s="27"/>
      <c r="U11636" s="27"/>
    </row>
    <row r="11637">
      <c r="S11637" s="27"/>
      <c r="T11637" s="27"/>
      <c r="U11637" s="27"/>
    </row>
    <row r="11640">
      <c r="S11640" s="27"/>
      <c r="T11640" s="27"/>
      <c r="U11640" s="27"/>
    </row>
    <row r="11642">
      <c r="U11642" s="27"/>
    </row>
    <row r="11645">
      <c r="S11645" s="27"/>
      <c r="T11645" s="27"/>
      <c r="U11645" s="27"/>
    </row>
    <row r="11646">
      <c r="S11646" s="27"/>
      <c r="T11646" s="27"/>
      <c r="U11646" s="27"/>
    </row>
    <row r="11648">
      <c r="S11648" s="27"/>
      <c r="T11648" s="27"/>
      <c r="U11648" s="27"/>
    </row>
    <row r="11649">
      <c r="S11649" s="27"/>
      <c r="T11649" s="27"/>
      <c r="U11649" s="27"/>
    </row>
    <row r="11651">
      <c r="S11651" s="27"/>
      <c r="T11651" s="27"/>
      <c r="U11651" s="27"/>
    </row>
    <row r="11654">
      <c r="S11654" s="27"/>
      <c r="T11654" s="27"/>
      <c r="U11654" s="26"/>
    </row>
    <row r="11655">
      <c r="S11655" s="27"/>
      <c r="T11655" s="27"/>
    </row>
    <row r="11660">
      <c r="S11660" s="27"/>
      <c r="T11660" s="27"/>
      <c r="U11660" s="27"/>
    </row>
    <row r="11661">
      <c r="S11661" s="27"/>
      <c r="T11661" s="27"/>
      <c r="U11661" s="27"/>
    </row>
    <row r="11666">
      <c r="S11666" s="27"/>
      <c r="T11666" s="27"/>
      <c r="U11666" s="27"/>
    </row>
    <row r="11667">
      <c r="S11667" s="27"/>
      <c r="T11667" s="27"/>
      <c r="U11667" s="27"/>
    </row>
    <row r="11672">
      <c r="S11672" s="27"/>
      <c r="T11672" s="27"/>
      <c r="U11672" s="27"/>
    </row>
    <row r="11675">
      <c r="S11675" s="27"/>
      <c r="T11675" s="27"/>
      <c r="U11675" s="27"/>
    </row>
    <row r="11676">
      <c r="S11676" s="27"/>
      <c r="T11676" s="27"/>
      <c r="U11676" s="27"/>
    </row>
    <row r="11678">
      <c r="S11678" s="27"/>
      <c r="T11678" s="27"/>
      <c r="U11678" s="27"/>
    </row>
    <row r="11679">
      <c r="S11679" s="27"/>
      <c r="T11679" s="27"/>
      <c r="U11679" s="27"/>
    </row>
    <row r="11681">
      <c r="S11681" s="27"/>
      <c r="T11681" s="27"/>
      <c r="U11681" s="27"/>
    </row>
    <row r="11682">
      <c r="S11682" s="27"/>
      <c r="T11682" s="27"/>
      <c r="U11682" s="27"/>
    </row>
    <row r="11684">
      <c r="S11684" s="27"/>
    </row>
    <row r="11685">
      <c r="S11685" s="26"/>
      <c r="T11685" s="26"/>
      <c r="U11685" s="26"/>
    </row>
    <row r="11687">
      <c r="S11687" s="27"/>
      <c r="T11687" s="27"/>
      <c r="U11687" s="27"/>
    </row>
    <row r="11688">
      <c r="S11688" s="27"/>
      <c r="T11688" s="27"/>
      <c r="U11688" s="27"/>
    </row>
    <row r="11690">
      <c r="S11690" s="27"/>
      <c r="T11690" s="27"/>
      <c r="U11690" s="27"/>
    </row>
    <row r="11691">
      <c r="S11691" s="27"/>
      <c r="T11691" s="27"/>
      <c r="U11691" s="27"/>
    </row>
    <row r="11693">
      <c r="S11693" s="27"/>
      <c r="T11693" s="27"/>
      <c r="U11693" s="27"/>
    </row>
    <row r="11694">
      <c r="S11694" s="27"/>
      <c r="T11694" s="27"/>
      <c r="U11694" s="27"/>
    </row>
    <row r="11696">
      <c r="S11696" s="27"/>
      <c r="T11696" s="27"/>
      <c r="U11696" s="27"/>
    </row>
    <row r="11697">
      <c r="S11697" s="27"/>
      <c r="T11697" s="27"/>
      <c r="U11697" s="27"/>
    </row>
    <row r="11699">
      <c r="S11699" s="27"/>
      <c r="T11699" s="27"/>
      <c r="U11699" s="27"/>
    </row>
    <row r="11700">
      <c r="S11700" s="27"/>
      <c r="T11700" s="27"/>
      <c r="U11700" s="27"/>
    </row>
    <row r="11702">
      <c r="S11702" s="27"/>
      <c r="T11702" s="27"/>
      <c r="U11702" s="27"/>
    </row>
    <row r="11703">
      <c r="S11703" s="27"/>
      <c r="T11703" s="27"/>
      <c r="U11703" s="27"/>
    </row>
    <row r="11705">
      <c r="S11705" s="27"/>
      <c r="T11705" s="27"/>
      <c r="U11705" s="27"/>
    </row>
    <row r="11706">
      <c r="S11706" s="27"/>
      <c r="T11706" s="27"/>
      <c r="U11706" s="27"/>
    </row>
    <row r="11708">
      <c r="S11708" s="27"/>
      <c r="T11708" s="27"/>
      <c r="U11708" s="27"/>
    </row>
    <row r="11709">
      <c r="S11709" s="27"/>
      <c r="T11709" s="27"/>
      <c r="U11709" s="27"/>
    </row>
    <row r="11711">
      <c r="S11711" s="27"/>
      <c r="T11711" s="27"/>
      <c r="U11711" s="27"/>
    </row>
    <row r="11712">
      <c r="S11712" s="27"/>
      <c r="T11712" s="27"/>
      <c r="U11712" s="27"/>
    </row>
    <row r="11714">
      <c r="S11714" s="27"/>
      <c r="T11714" s="27"/>
      <c r="U11714" s="27"/>
    </row>
    <row r="11715">
      <c r="S11715" s="27"/>
      <c r="T11715" s="27"/>
      <c r="U11715" s="27"/>
    </row>
    <row r="11717">
      <c r="S11717" s="27"/>
      <c r="T11717" s="27"/>
      <c r="U11717" s="27"/>
    </row>
    <row r="11718">
      <c r="S11718" s="27"/>
      <c r="T11718" s="27"/>
      <c r="U11718" s="27"/>
    </row>
    <row r="11720">
      <c r="S11720" s="27"/>
      <c r="T11720" s="27"/>
      <c r="U11720" s="27"/>
    </row>
    <row r="11721">
      <c r="S11721" s="27"/>
      <c r="T11721" s="27"/>
      <c r="U11721" s="27"/>
    </row>
    <row r="11723">
      <c r="S11723" s="27"/>
      <c r="T11723" s="27"/>
      <c r="U11723" s="27"/>
    </row>
    <row r="11724">
      <c r="S11724" s="27"/>
      <c r="T11724" s="27"/>
      <c r="U11724" s="27"/>
    </row>
    <row r="11726">
      <c r="S11726" s="27"/>
      <c r="T11726" s="27"/>
      <c r="U11726" s="27"/>
    </row>
    <row r="11727">
      <c r="S11727" s="27"/>
      <c r="T11727" s="27"/>
      <c r="U11727" s="27"/>
    </row>
    <row r="11729">
      <c r="S11729" s="27"/>
      <c r="T11729" s="27"/>
      <c r="U11729" s="27"/>
    </row>
    <row r="11730">
      <c r="S11730" s="27"/>
      <c r="T11730" s="27"/>
      <c r="U11730" s="27"/>
    </row>
    <row r="11732">
      <c r="S11732" s="27"/>
      <c r="T11732" s="27"/>
      <c r="U11732" s="27"/>
    </row>
    <row r="11733">
      <c r="S11733" s="27"/>
      <c r="T11733" s="27"/>
      <c r="U11733" s="27"/>
    </row>
    <row r="11735">
      <c r="S11735" s="27"/>
      <c r="T11735" s="27"/>
      <c r="U11735" s="27"/>
    </row>
    <row r="11736">
      <c r="S11736" s="27"/>
      <c r="T11736" s="27"/>
      <c r="U11736" s="27"/>
    </row>
    <row r="11738">
      <c r="S11738" s="27"/>
      <c r="T11738" s="27"/>
      <c r="U11738" s="27"/>
    </row>
    <row r="11739">
      <c r="S11739" s="27"/>
      <c r="T11739" s="27"/>
      <c r="U11739" s="27"/>
    </row>
    <row r="11741">
      <c r="S11741" s="27"/>
      <c r="T11741" s="27"/>
      <c r="U11741" s="27"/>
    </row>
    <row r="11742">
      <c r="S11742" s="27"/>
      <c r="T11742" s="27"/>
      <c r="U11742" s="27"/>
    </row>
    <row r="11744">
      <c r="S11744" s="27"/>
      <c r="T11744" s="27"/>
      <c r="U11744" s="27"/>
    </row>
    <row r="11745">
      <c r="S11745" s="27"/>
      <c r="T11745" s="27"/>
      <c r="U11745" s="27"/>
    </row>
    <row r="11747">
      <c r="S11747" s="27"/>
      <c r="T11747" s="27"/>
      <c r="U11747" s="27"/>
    </row>
    <row r="11748">
      <c r="S11748" s="27"/>
      <c r="T11748" s="27"/>
      <c r="U11748" s="27"/>
    </row>
    <row r="11750">
      <c r="S11750" s="27"/>
      <c r="T11750" s="27"/>
      <c r="U11750" s="27"/>
    </row>
    <row r="11751">
      <c r="S11751" s="27"/>
      <c r="T11751" s="27"/>
      <c r="U11751" s="27"/>
    </row>
    <row r="11753">
      <c r="S11753" s="27"/>
      <c r="T11753" s="27"/>
      <c r="U11753" s="27"/>
    </row>
    <row r="11754">
      <c r="S11754" s="27"/>
      <c r="T11754" s="27"/>
      <c r="U11754" s="27"/>
    </row>
    <row r="11756">
      <c r="S11756" s="27"/>
      <c r="T11756" s="27"/>
      <c r="U11756" s="27"/>
    </row>
    <row r="11757">
      <c r="S11757" s="27"/>
      <c r="T11757" s="27"/>
      <c r="U11757" s="27"/>
    </row>
    <row r="11759">
      <c r="S11759" s="27"/>
      <c r="T11759" s="27"/>
      <c r="U11759" s="27"/>
    </row>
    <row r="11760">
      <c r="S11760" s="27"/>
      <c r="T11760" s="27"/>
      <c r="U11760" s="27"/>
    </row>
    <row r="11762">
      <c r="S11762" s="27"/>
      <c r="T11762" s="27"/>
      <c r="U11762" s="27"/>
    </row>
    <row r="11763">
      <c r="S11763" s="27"/>
      <c r="T11763" s="27"/>
      <c r="U11763" s="27"/>
    </row>
    <row r="11765">
      <c r="S11765" s="27"/>
      <c r="T11765" s="27"/>
      <c r="U11765" s="27"/>
    </row>
    <row r="11766">
      <c r="S11766" s="27"/>
      <c r="T11766" s="27"/>
      <c r="U11766" s="27"/>
    </row>
    <row r="11768">
      <c r="S11768" s="27"/>
      <c r="T11768" s="27"/>
      <c r="U11768" s="27"/>
    </row>
    <row r="11769">
      <c r="S11769" s="27"/>
      <c r="T11769" s="27"/>
      <c r="U11769" s="27"/>
    </row>
    <row r="11771">
      <c r="S11771" s="27"/>
      <c r="T11771" s="27"/>
      <c r="U11771" s="27"/>
    </row>
    <row r="11772">
      <c r="S11772" s="27"/>
      <c r="T11772" s="27"/>
      <c r="U11772" s="27"/>
    </row>
    <row r="11774">
      <c r="S11774" s="27"/>
      <c r="T11774" s="27"/>
      <c r="U11774" s="27"/>
    </row>
    <row r="11775">
      <c r="S11775" s="27"/>
      <c r="T11775" s="27"/>
      <c r="U11775" s="27"/>
    </row>
    <row r="11777">
      <c r="S11777" s="27"/>
      <c r="T11777" s="27"/>
      <c r="U11777" s="27"/>
    </row>
    <row r="11778">
      <c r="S11778" s="27"/>
      <c r="T11778" s="27"/>
      <c r="U11778" s="27"/>
    </row>
    <row r="11780">
      <c r="S11780" s="27"/>
      <c r="T11780" s="27"/>
      <c r="U11780" s="27"/>
    </row>
    <row r="11781">
      <c r="S11781" s="27"/>
      <c r="T11781" s="27"/>
      <c r="U11781" s="27"/>
    </row>
    <row r="11783">
      <c r="S11783" s="27"/>
      <c r="T11783" s="27"/>
      <c r="U11783" s="27"/>
    </row>
    <row r="11785">
      <c r="S11785" s="27"/>
      <c r="T11785" s="27"/>
      <c r="U11785" s="27"/>
    </row>
    <row r="11786">
      <c r="S11786" s="27"/>
      <c r="T11786" s="27"/>
      <c r="U11786" s="27"/>
    </row>
    <row r="11788">
      <c r="S11788" s="27"/>
      <c r="T11788" s="27"/>
      <c r="U11788" s="27"/>
    </row>
    <row r="11789">
      <c r="S11789" s="27"/>
      <c r="T11789" s="27"/>
      <c r="U11789" s="27"/>
    </row>
    <row r="11791">
      <c r="S11791" s="27"/>
      <c r="T11791" s="27"/>
      <c r="U11791" s="27"/>
    </row>
    <row r="11792">
      <c r="S11792" s="27"/>
      <c r="T11792" s="27"/>
      <c r="U11792" s="27"/>
    </row>
    <row r="11794">
      <c r="S11794" s="27"/>
      <c r="T11794" s="27"/>
      <c r="U11794" s="27"/>
    </row>
    <row r="11795">
      <c r="S11795" s="27"/>
      <c r="T11795" s="27"/>
      <c r="U11795" s="27"/>
    </row>
    <row r="11797">
      <c r="S11797" s="27"/>
      <c r="T11797" s="27"/>
      <c r="U11797" s="27"/>
    </row>
    <row r="11798">
      <c r="S11798" s="27"/>
      <c r="T11798" s="27"/>
      <c r="U11798" s="27"/>
    </row>
    <row r="11800">
      <c r="S11800" s="27"/>
      <c r="T11800" s="27"/>
      <c r="U11800" s="27"/>
    </row>
    <row r="11801">
      <c r="S11801" s="27"/>
      <c r="T11801" s="27"/>
      <c r="U11801" s="27"/>
    </row>
    <row r="11803">
      <c r="S11803" s="27"/>
      <c r="T11803" s="27"/>
      <c r="U11803" s="27"/>
    </row>
    <row r="11804">
      <c r="S11804" s="27"/>
      <c r="T11804" s="27"/>
      <c r="U11804" s="27"/>
    </row>
    <row r="11806">
      <c r="S11806" s="27"/>
      <c r="T11806" s="27"/>
      <c r="U11806" s="27"/>
    </row>
    <row r="11808">
      <c r="S11808" s="27"/>
      <c r="T11808" s="27"/>
      <c r="U11808" s="27"/>
    </row>
    <row r="11810">
      <c r="U11810" s="27"/>
    </row>
    <row r="11812">
      <c r="S11812" s="27"/>
      <c r="T11812" s="27"/>
      <c r="U11812" s="27"/>
    </row>
    <row r="11814">
      <c r="S11814" s="27"/>
      <c r="T11814" s="27"/>
      <c r="U11814" s="27"/>
    </row>
    <row r="11815">
      <c r="S11815" s="27"/>
      <c r="T11815" s="27"/>
      <c r="U11815" s="27"/>
    </row>
    <row r="11817">
      <c r="S11817" s="27"/>
      <c r="T11817" s="27"/>
      <c r="U11817" s="27"/>
    </row>
    <row r="11818">
      <c r="S11818" s="27"/>
      <c r="T11818" s="27"/>
      <c r="U11818" s="27"/>
    </row>
    <row r="11820">
      <c r="S11820" s="27"/>
      <c r="T11820" s="27"/>
      <c r="U11820" s="27"/>
    </row>
    <row r="11821">
      <c r="S11821" s="27"/>
      <c r="T11821" s="27"/>
    </row>
    <row r="11823">
      <c r="S11823" s="27"/>
      <c r="T11823" s="27"/>
      <c r="U11823" s="27"/>
    </row>
    <row r="11824">
      <c r="S11824" s="27"/>
      <c r="T11824" s="27"/>
      <c r="U11824" s="27"/>
    </row>
    <row r="11826">
      <c r="S11826" s="27"/>
      <c r="T11826" s="27"/>
      <c r="U11826" s="27"/>
    </row>
    <row r="11827">
      <c r="S11827" s="27"/>
      <c r="T11827" s="27"/>
      <c r="U11827" s="27"/>
    </row>
    <row r="11829">
      <c r="S11829" s="27"/>
      <c r="T11829" s="27"/>
      <c r="U11829" s="27"/>
    </row>
    <row r="11830">
      <c r="S11830" s="27"/>
      <c r="T11830" s="27"/>
      <c r="U11830" s="27"/>
    </row>
    <row r="11838">
      <c r="S11838" s="27"/>
      <c r="T11838" s="27"/>
      <c r="U11838" s="27"/>
    </row>
    <row r="11841">
      <c r="S11841" s="27"/>
      <c r="T11841" s="27"/>
      <c r="U11841" s="27"/>
    </row>
    <row r="11842">
      <c r="S11842" s="27"/>
      <c r="T11842" s="27"/>
      <c r="U11842" s="27"/>
    </row>
    <row r="11844">
      <c r="S11844" s="27"/>
      <c r="T11844" s="27"/>
      <c r="U11844" s="27"/>
    </row>
    <row r="11845">
      <c r="S11845" s="27"/>
      <c r="T11845" s="27"/>
      <c r="U11845" s="27"/>
    </row>
    <row r="11847">
      <c r="S11847" s="27"/>
      <c r="T11847" s="27"/>
      <c r="U11847" s="27"/>
    </row>
    <row r="11848">
      <c r="S11848" s="27"/>
      <c r="T11848" s="27"/>
      <c r="U11848" s="27"/>
    </row>
    <row r="11850">
      <c r="S11850" s="26"/>
      <c r="T11850" s="26"/>
      <c r="U11850" s="26"/>
    </row>
    <row r="11853">
      <c r="T11853" s="27"/>
      <c r="U11853" s="27"/>
    </row>
    <row r="11854">
      <c r="S11854" s="27"/>
      <c r="T11854" s="27"/>
      <c r="U11854" s="27"/>
    </row>
    <row r="11856">
      <c r="T11856" s="27"/>
      <c r="U11856" s="27"/>
    </row>
    <row r="11857">
      <c r="S11857" s="27"/>
      <c r="T11857" s="27"/>
      <c r="U11857" s="27"/>
    </row>
    <row r="11859">
      <c r="S11859" s="27"/>
      <c r="T11859" s="27"/>
      <c r="U11859" s="27"/>
    </row>
    <row r="11860">
      <c r="T11860" s="27"/>
    </row>
    <row r="11862">
      <c r="S11862" s="27"/>
      <c r="T11862" s="27"/>
      <c r="U11862" s="27"/>
    </row>
    <row r="11865">
      <c r="S11865" s="26"/>
      <c r="T11865" s="26"/>
      <c r="U11865" s="26"/>
    </row>
    <row r="11868">
      <c r="S11868" s="27"/>
      <c r="T11868" s="27"/>
      <c r="U11868" s="27"/>
    </row>
    <row r="11869">
      <c r="S11869" s="27"/>
      <c r="T11869" s="27"/>
      <c r="U11869" s="27"/>
    </row>
    <row r="11871">
      <c r="S11871" s="27"/>
      <c r="T11871" s="27"/>
    </row>
    <row r="11872">
      <c r="S11872" s="27"/>
      <c r="T11872" s="27"/>
    </row>
    <row r="11874">
      <c r="S11874" s="26"/>
      <c r="T11874" s="26"/>
      <c r="U11874" s="26"/>
    </row>
    <row r="11883">
      <c r="S11883" s="27"/>
      <c r="T11883" s="27"/>
      <c r="U11883" s="27"/>
    </row>
    <row r="11884">
      <c r="S11884" s="27"/>
      <c r="T11884" s="27"/>
      <c r="U11884" s="27"/>
    </row>
    <row r="11886">
      <c r="S11886" s="27"/>
      <c r="T11886" s="27"/>
      <c r="U11886" s="27"/>
    </row>
    <row r="11887">
      <c r="S11887" s="27"/>
      <c r="T11887" s="27"/>
      <c r="U11887" s="27"/>
    </row>
    <row r="11889">
      <c r="S11889" s="27"/>
      <c r="T11889" s="27"/>
      <c r="U11889" s="27"/>
    </row>
    <row r="11890">
      <c r="S11890" s="27"/>
      <c r="T11890" s="27"/>
      <c r="U11890" s="27"/>
    </row>
    <row r="11892">
      <c r="S11892" s="27"/>
      <c r="T11892" s="27"/>
      <c r="U11892" s="27"/>
    </row>
    <row r="11893">
      <c r="S11893" s="27"/>
      <c r="T11893" s="27"/>
      <c r="U11893" s="27"/>
    </row>
    <row r="11895">
      <c r="S11895" s="27"/>
      <c r="T11895" s="27"/>
      <c r="U11895" s="27"/>
    </row>
    <row r="11896">
      <c r="S11896" s="27"/>
      <c r="T11896" s="27"/>
      <c r="U11896" s="27"/>
    </row>
    <row r="11898">
      <c r="S11898" s="27"/>
      <c r="T11898" s="27"/>
      <c r="U11898" s="27"/>
    </row>
    <row r="11899">
      <c r="S11899" s="27"/>
      <c r="T11899" s="27"/>
      <c r="U11899" s="27"/>
    </row>
    <row r="11901">
      <c r="S11901" s="27"/>
      <c r="T11901" s="27"/>
      <c r="U11901" s="27"/>
    </row>
    <row r="11902">
      <c r="S11902" s="27"/>
      <c r="T11902" s="27"/>
      <c r="U11902" s="27"/>
    </row>
    <row r="11904">
      <c r="S11904" s="27"/>
      <c r="T11904" s="27"/>
      <c r="U11904" s="27"/>
    </row>
    <row r="11905">
      <c r="S11905" s="27"/>
      <c r="T11905" s="27"/>
      <c r="U11905" s="27"/>
    </row>
    <row r="11907">
      <c r="S11907" s="27"/>
      <c r="T11907" s="27"/>
      <c r="U11907" s="27"/>
    </row>
    <row r="11908">
      <c r="S11908" s="27"/>
      <c r="T11908" s="27"/>
      <c r="U11908" s="27"/>
    </row>
    <row r="11910">
      <c r="S11910" s="27"/>
      <c r="T11910" s="27"/>
      <c r="U11910" s="27"/>
    </row>
    <row r="11911">
      <c r="S11911" s="27"/>
      <c r="T11911" s="27"/>
      <c r="U11911" s="27"/>
    </row>
    <row r="11913">
      <c r="S11913" s="27"/>
      <c r="T11913" s="27"/>
      <c r="U11913" s="27"/>
    </row>
    <row r="11914">
      <c r="S11914" s="27"/>
      <c r="T11914" s="27"/>
      <c r="U11914" s="27"/>
    </row>
    <row r="11916">
      <c r="S11916" s="27"/>
      <c r="T11916" s="27"/>
      <c r="U11916" s="27"/>
    </row>
    <row r="11917">
      <c r="S11917" s="27"/>
      <c r="T11917" s="27"/>
      <c r="U11917" s="27"/>
    </row>
    <row r="11919">
      <c r="S11919" s="27"/>
      <c r="T11919" s="27"/>
      <c r="U11919" s="27"/>
    </row>
    <row r="11920">
      <c r="S11920" s="27"/>
      <c r="T11920" s="27"/>
      <c r="U11920" s="27"/>
    </row>
    <row r="11922">
      <c r="S11922" s="27"/>
      <c r="T11922" s="27"/>
      <c r="U11922" s="27"/>
    </row>
    <row r="11923">
      <c r="S11923" s="27"/>
      <c r="T11923" s="27"/>
      <c r="U11923" s="27"/>
    </row>
    <row r="11925">
      <c r="S11925" s="27"/>
      <c r="T11925" s="27"/>
      <c r="U11925" s="27"/>
    </row>
    <row r="11926">
      <c r="S11926" s="27"/>
      <c r="T11926" s="27"/>
      <c r="U11926" s="27"/>
    </row>
    <row r="11928">
      <c r="S11928" s="27"/>
      <c r="T11928" s="27"/>
      <c r="U11928" s="27"/>
    </row>
    <row r="11929">
      <c r="S11929" s="27"/>
      <c r="T11929" s="27"/>
      <c r="U11929" s="27"/>
    </row>
    <row r="11931">
      <c r="S11931" s="27"/>
      <c r="T11931" s="27"/>
      <c r="U11931" s="27"/>
    </row>
    <row r="11932">
      <c r="S11932" s="27"/>
      <c r="T11932" s="27"/>
      <c r="U11932" s="27"/>
    </row>
    <row r="11934">
      <c r="S11934" s="27"/>
      <c r="T11934" s="27"/>
      <c r="U11934" s="27"/>
    </row>
    <row r="11935">
      <c r="S11935" s="27"/>
      <c r="T11935" s="27"/>
      <c r="U11935" s="27"/>
    </row>
    <row r="11937">
      <c r="S11937" s="27"/>
      <c r="T11937" s="27"/>
      <c r="U11937" s="27"/>
    </row>
    <row r="11938">
      <c r="S11938" s="27"/>
      <c r="T11938" s="27"/>
      <c r="U11938" s="27"/>
    </row>
    <row r="11940">
      <c r="S11940" s="27"/>
      <c r="T11940" s="27"/>
      <c r="U11940" s="27"/>
    </row>
    <row r="11941">
      <c r="S11941" s="27"/>
      <c r="T11941" s="27"/>
      <c r="U11941" s="27"/>
    </row>
    <row r="11943">
      <c r="S11943" s="26"/>
      <c r="T11943" s="27"/>
      <c r="U11943" s="27"/>
    </row>
    <row r="11944">
      <c r="S11944" s="26"/>
      <c r="T11944" s="27"/>
      <c r="U11944" s="27"/>
    </row>
    <row r="11946">
      <c r="S11946" s="27"/>
      <c r="T11946" s="27"/>
      <c r="U11946" s="27"/>
    </row>
    <row r="11947">
      <c r="S11947" s="27"/>
      <c r="T11947" s="27"/>
      <c r="U11947" s="27"/>
    </row>
    <row r="11949">
      <c r="S11949" s="27"/>
      <c r="T11949" s="27"/>
      <c r="U11949" s="27"/>
    </row>
    <row r="11950">
      <c r="S11950" s="27"/>
      <c r="T11950" s="27"/>
      <c r="U11950" s="27"/>
    </row>
    <row r="11952">
      <c r="S11952" s="27"/>
      <c r="T11952" s="27"/>
      <c r="U11952" s="27"/>
    </row>
    <row r="11953">
      <c r="S11953" s="27"/>
      <c r="T11953" s="27"/>
      <c r="U11953" s="27"/>
    </row>
    <row r="11955">
      <c r="S11955" s="27"/>
      <c r="T11955" s="27"/>
      <c r="U11955" s="27"/>
    </row>
    <row r="11956">
      <c r="S11956" s="27"/>
      <c r="T11956" s="27"/>
      <c r="U11956" s="27"/>
    </row>
    <row r="11958">
      <c r="S11958" s="27"/>
      <c r="T11958" s="27"/>
      <c r="U11958" s="27"/>
    </row>
    <row r="11959">
      <c r="S11959" s="27"/>
      <c r="T11959" s="27"/>
      <c r="U11959" s="27"/>
    </row>
    <row r="11961">
      <c r="S11961" s="27"/>
      <c r="T11961" s="27"/>
      <c r="U11961" s="27"/>
    </row>
    <row r="11964">
      <c r="S11964" s="33"/>
      <c r="T11964" s="33"/>
      <c r="U11964" s="33"/>
    </row>
    <row r="11965">
      <c r="S11965" s="27"/>
      <c r="T11965" s="27"/>
      <c r="U11965" s="27"/>
    </row>
    <row r="11967">
      <c r="S11967" s="27"/>
      <c r="T11967" s="27"/>
      <c r="U11967" s="27"/>
    </row>
    <row r="11968">
      <c r="S11968" s="27"/>
      <c r="T11968" s="27"/>
      <c r="U11968" s="27"/>
    </row>
    <row r="11970">
      <c r="S11970" s="27"/>
      <c r="T11970" s="27"/>
      <c r="U11970" s="27"/>
    </row>
    <row r="11971">
      <c r="S11971" s="26"/>
    </row>
    <row r="11973">
      <c r="S11973" s="27"/>
      <c r="T11973" s="27"/>
      <c r="U11973" s="27"/>
    </row>
    <row r="11974">
      <c r="S11974" s="27"/>
      <c r="T11974" s="27"/>
      <c r="U11974" s="27"/>
    </row>
    <row r="11976">
      <c r="S11976" s="27"/>
      <c r="T11976" s="27"/>
      <c r="U11976" s="27"/>
    </row>
    <row r="11977">
      <c r="S11977" s="27"/>
      <c r="T11977" s="27"/>
      <c r="U11977" s="27"/>
    </row>
    <row r="11979">
      <c r="S11979" s="27"/>
      <c r="T11979" s="27"/>
      <c r="U11979" s="27"/>
    </row>
    <row r="11980">
      <c r="S11980" s="27"/>
      <c r="T11980" s="27"/>
      <c r="U11980" s="27"/>
    </row>
    <row r="11985">
      <c r="U11985" s="26"/>
    </row>
    <row r="11990">
      <c r="S11990" s="27"/>
      <c r="T11990" s="27"/>
      <c r="U11990" s="27"/>
    </row>
    <row r="11995">
      <c r="S11995" s="27"/>
      <c r="T11995" s="27"/>
      <c r="U11995" s="27"/>
    </row>
    <row r="11998">
      <c r="S11998" s="27"/>
      <c r="T11998" s="27"/>
      <c r="U11998" s="27"/>
    </row>
    <row r="11999">
      <c r="S11999" s="27"/>
      <c r="T11999" s="27"/>
      <c r="U11999" s="27"/>
    </row>
    <row r="12001">
      <c r="S12001" s="27"/>
      <c r="T12001" s="27"/>
      <c r="U12001" s="27"/>
    </row>
    <row r="12002">
      <c r="S12002" s="27"/>
      <c r="T12002" s="27"/>
      <c r="U12002" s="27"/>
    </row>
    <row r="12004">
      <c r="S12004" s="27"/>
      <c r="T12004" s="27"/>
      <c r="U12004" s="27"/>
    </row>
    <row r="12005">
      <c r="U12005" s="27"/>
    </row>
    <row r="12007">
      <c r="S12007" s="27"/>
      <c r="T12007" s="27"/>
      <c r="U12007" s="27"/>
    </row>
    <row r="12008">
      <c r="S12008" s="27"/>
      <c r="T12008" s="27"/>
      <c r="U12008" s="27"/>
    </row>
    <row r="12011">
      <c r="S12011" s="27"/>
      <c r="T12011" s="27"/>
      <c r="U12011" s="27"/>
    </row>
    <row r="12016">
      <c r="S12016" s="27"/>
      <c r="T12016" s="27"/>
      <c r="U12016" s="27"/>
    </row>
    <row r="12017">
      <c r="S12017" s="27"/>
      <c r="T12017" s="27"/>
      <c r="U12017" s="27"/>
    </row>
    <row r="12019">
      <c r="S12019" s="27"/>
      <c r="T12019" s="27"/>
      <c r="U12019" s="27"/>
    </row>
    <row r="12020">
      <c r="S12020" s="27"/>
      <c r="T12020" s="27"/>
      <c r="U12020" s="27"/>
    </row>
    <row r="12022">
      <c r="S12022" s="27"/>
      <c r="T12022" s="27"/>
      <c r="U12022" s="27"/>
    </row>
    <row r="12023">
      <c r="S12023" s="27"/>
      <c r="T12023" s="27"/>
      <c r="U12023" s="27"/>
    </row>
    <row r="12025">
      <c r="S12025" s="27"/>
      <c r="T12025" s="33"/>
      <c r="U12025" s="27"/>
    </row>
    <row r="12031">
      <c r="S12031" s="27"/>
      <c r="T12031" s="27"/>
      <c r="U12031" s="27"/>
    </row>
    <row r="12034">
      <c r="S12034" s="27"/>
      <c r="T12034" s="27"/>
      <c r="U12034" s="27"/>
    </row>
    <row r="12035">
      <c r="S12035" s="33"/>
      <c r="T12035" s="33"/>
      <c r="U12035" s="27"/>
    </row>
    <row r="12037">
      <c r="T12037" s="27"/>
      <c r="U12037" s="27"/>
    </row>
    <row r="12038">
      <c r="S12038" s="26"/>
    </row>
    <row r="12040">
      <c r="S12040" s="27"/>
      <c r="T12040" s="27"/>
      <c r="U12040" s="27"/>
    </row>
    <row r="12041">
      <c r="S12041" s="27"/>
      <c r="T12041" s="27"/>
      <c r="U12041" s="27"/>
    </row>
    <row r="12043">
      <c r="S12043" s="27"/>
      <c r="T12043" s="27"/>
      <c r="U12043" s="27"/>
    </row>
    <row r="12044">
      <c r="S12044" s="27"/>
      <c r="T12044" s="27"/>
      <c r="U12044" s="27"/>
    </row>
    <row r="12046">
      <c r="S12046" s="27"/>
      <c r="T12046" s="27"/>
      <c r="U12046" s="27"/>
    </row>
    <row r="12047">
      <c r="S12047" s="27"/>
      <c r="T12047" s="27"/>
      <c r="U12047" s="27"/>
    </row>
    <row r="12049">
      <c r="S12049" s="27"/>
      <c r="T12049" s="27"/>
      <c r="U12049" s="27"/>
    </row>
    <row r="12050">
      <c r="T12050" s="33"/>
      <c r="U12050" s="27"/>
    </row>
    <row r="12055">
      <c r="S12055" s="27"/>
      <c r="T12055" s="27"/>
      <c r="U12055" s="27"/>
    </row>
    <row r="12056">
      <c r="S12056" s="27"/>
      <c r="T12056" s="27"/>
      <c r="U12056" s="27"/>
    </row>
    <row r="12058">
      <c r="S12058" s="27"/>
      <c r="T12058" s="27"/>
      <c r="U12058" s="27"/>
    </row>
    <row r="12059">
      <c r="T12059" s="27"/>
      <c r="U12059" s="27"/>
    </row>
    <row r="12061">
      <c r="S12061" s="27"/>
      <c r="U12061" s="27"/>
    </row>
    <row r="12064">
      <c r="T12064" s="26"/>
      <c r="U12064" s="27"/>
    </row>
    <row r="12065">
      <c r="S12065" s="27"/>
      <c r="U12065" s="27"/>
    </row>
    <row r="12070">
      <c r="S12070" s="27"/>
      <c r="T12070" s="27"/>
      <c r="U12070" s="27"/>
    </row>
    <row r="12071">
      <c r="S12071" s="27"/>
      <c r="T12071" s="27"/>
      <c r="U12071" s="27"/>
    </row>
    <row r="12073">
      <c r="S12073" s="27"/>
      <c r="T12073" s="27"/>
      <c r="U12073" s="27"/>
    </row>
    <row r="12076">
      <c r="S12076" s="27"/>
      <c r="T12076" s="27"/>
      <c r="U12076" s="27"/>
    </row>
    <row r="12077">
      <c r="S12077" s="27"/>
      <c r="T12077" s="27"/>
      <c r="U12077" s="27"/>
    </row>
    <row r="12079">
      <c r="S12079" s="26"/>
      <c r="T12079" s="26"/>
      <c r="U12079" s="26"/>
    </row>
    <row r="12082">
      <c r="S12082" s="27"/>
      <c r="T12082" s="27"/>
      <c r="U12082" s="27"/>
    </row>
    <row r="12085">
      <c r="S12085" s="27"/>
      <c r="T12085" s="27"/>
      <c r="U12085" s="27"/>
    </row>
    <row r="12086">
      <c r="S12086" s="27"/>
      <c r="T12086" s="27"/>
      <c r="U12086" s="27"/>
    </row>
    <row r="12088">
      <c r="S12088" s="27"/>
      <c r="T12088" s="27"/>
      <c r="U12088" s="27"/>
    </row>
    <row r="12089">
      <c r="S12089" s="27"/>
      <c r="T12089" s="27"/>
      <c r="U12089" s="27"/>
    </row>
    <row r="12091">
      <c r="S12091" s="27"/>
      <c r="T12091" s="27"/>
      <c r="U12091" s="27"/>
    </row>
    <row r="12092">
      <c r="S12092" s="27"/>
      <c r="T12092" s="27"/>
      <c r="U12092" s="27"/>
    </row>
    <row r="12094">
      <c r="S12094" s="27"/>
      <c r="U12094" s="27"/>
    </row>
    <row r="12095">
      <c r="T12095" s="26"/>
    </row>
    <row r="12097">
      <c r="S12097" s="27"/>
      <c r="T12097" s="27"/>
      <c r="U12097" s="27"/>
    </row>
    <row r="12098">
      <c r="S12098" s="27"/>
      <c r="T12098" s="27"/>
      <c r="U12098" s="27"/>
    </row>
    <row r="12100">
      <c r="S12100" s="27"/>
      <c r="T12100" s="27"/>
      <c r="U12100" s="27"/>
    </row>
    <row r="12101">
      <c r="S12101" s="27"/>
      <c r="T12101" s="27"/>
      <c r="U12101" s="27"/>
    </row>
    <row r="12103">
      <c r="S12103" s="27"/>
      <c r="T12103" s="27"/>
      <c r="U12103" s="27"/>
    </row>
    <row r="12106">
      <c r="S12106" s="27"/>
      <c r="T12106" s="27"/>
      <c r="U12106" s="27"/>
    </row>
    <row r="12107">
      <c r="S12107" s="27"/>
      <c r="T12107" s="27"/>
      <c r="U12107" s="27"/>
    </row>
    <row r="12109">
      <c r="S12109" s="27"/>
      <c r="T12109" s="27"/>
      <c r="U12109" s="27"/>
    </row>
    <row r="12110">
      <c r="S12110" s="27"/>
      <c r="T12110" s="27"/>
      <c r="U12110" s="27"/>
    </row>
    <row r="12112">
      <c r="S12112" s="27"/>
      <c r="T12112" s="27"/>
      <c r="U12112" s="27"/>
    </row>
    <row r="12113">
      <c r="S12113" s="27"/>
      <c r="T12113" s="27"/>
      <c r="U12113" s="27"/>
    </row>
    <row r="12115">
      <c r="S12115" s="27"/>
      <c r="T12115" s="27"/>
      <c r="U12115" s="27"/>
    </row>
    <row r="12116">
      <c r="S12116" s="27"/>
      <c r="T12116" s="27"/>
      <c r="U12116" s="27"/>
    </row>
    <row r="12118">
      <c r="S12118" s="27"/>
      <c r="T12118" s="27"/>
      <c r="U12118" s="27"/>
    </row>
    <row r="12119">
      <c r="S12119" s="27"/>
      <c r="T12119" s="27"/>
      <c r="U12119" s="27"/>
    </row>
    <row r="12121">
      <c r="S12121" s="27"/>
      <c r="T12121" s="27"/>
      <c r="U12121" s="27"/>
    </row>
    <row r="12122">
      <c r="S12122" s="27"/>
      <c r="T12122" s="27"/>
      <c r="U12122" s="27"/>
    </row>
    <row r="12124">
      <c r="S12124" s="27"/>
      <c r="T12124" s="27"/>
      <c r="U12124" s="27"/>
    </row>
    <row r="12125">
      <c r="S12125" s="27"/>
      <c r="T12125" s="27"/>
      <c r="U12125" s="27"/>
    </row>
    <row r="12127">
      <c r="S12127" s="27"/>
      <c r="T12127" s="27"/>
      <c r="U12127" s="27"/>
    </row>
    <row r="12128">
      <c r="S12128" s="27"/>
      <c r="T12128" s="27"/>
      <c r="U12128" s="27"/>
    </row>
    <row r="12130">
      <c r="S12130" s="27"/>
      <c r="T12130" s="27"/>
      <c r="U12130" s="27"/>
    </row>
    <row r="12131">
      <c r="S12131" s="27"/>
      <c r="T12131" s="27"/>
      <c r="U12131" s="27"/>
    </row>
    <row r="12133">
      <c r="S12133" s="27"/>
      <c r="T12133" s="27"/>
      <c r="U12133" s="27"/>
    </row>
    <row r="12134">
      <c r="S12134" s="27"/>
      <c r="T12134" s="27"/>
      <c r="U12134" s="27"/>
    </row>
    <row r="12136">
      <c r="S12136" s="27"/>
      <c r="T12136" s="27"/>
      <c r="U12136" s="27"/>
    </row>
    <row r="12137">
      <c r="S12137" s="27"/>
      <c r="T12137" s="27"/>
      <c r="U12137" s="27"/>
    </row>
    <row r="12139">
      <c r="S12139" s="27"/>
      <c r="T12139" s="27"/>
      <c r="U12139" s="27"/>
    </row>
    <row r="12140">
      <c r="S12140" s="27"/>
      <c r="T12140" s="27"/>
      <c r="U12140" s="27"/>
    </row>
    <row r="12142">
      <c r="S12142" s="27"/>
      <c r="T12142" s="27"/>
      <c r="U12142" s="27"/>
    </row>
    <row r="12143">
      <c r="S12143" s="27"/>
      <c r="T12143" s="27"/>
      <c r="U12143" s="27"/>
    </row>
    <row r="12145">
      <c r="S12145" s="27"/>
      <c r="T12145" s="27"/>
      <c r="U12145" s="27"/>
    </row>
    <row r="12146">
      <c r="S12146" s="27"/>
      <c r="T12146" s="27"/>
      <c r="U12146" s="27"/>
    </row>
    <row r="12148">
      <c r="S12148" s="27"/>
      <c r="T12148" s="27"/>
      <c r="U12148" s="27"/>
    </row>
    <row r="12149">
      <c r="S12149" s="27"/>
      <c r="T12149" s="27"/>
      <c r="U12149" s="27"/>
    </row>
    <row r="12151">
      <c r="S12151" s="27"/>
      <c r="T12151" s="27"/>
      <c r="U12151" s="27"/>
    </row>
    <row r="12152">
      <c r="S12152" s="27"/>
      <c r="T12152" s="27"/>
      <c r="U12152" s="27"/>
    </row>
    <row r="12154">
      <c r="S12154" s="27"/>
      <c r="T12154" s="27"/>
      <c r="U12154" s="27"/>
    </row>
    <row r="12155">
      <c r="S12155" s="27"/>
      <c r="T12155" s="27"/>
      <c r="U12155" s="27"/>
    </row>
    <row r="12157">
      <c r="S12157" s="27"/>
      <c r="T12157" s="27"/>
      <c r="U12157" s="27"/>
    </row>
    <row r="12158">
      <c r="S12158" s="27"/>
      <c r="T12158" s="27"/>
      <c r="U12158" s="27"/>
    </row>
    <row r="12160">
      <c r="S12160" s="27"/>
      <c r="T12160" s="27"/>
      <c r="U12160" s="27"/>
    </row>
    <row r="12161">
      <c r="S12161" s="27"/>
      <c r="T12161" s="27"/>
      <c r="U12161" s="27"/>
    </row>
    <row r="12163">
      <c r="S12163" s="27"/>
      <c r="T12163" s="27"/>
      <c r="U12163" s="27"/>
    </row>
    <row r="12164">
      <c r="S12164" s="27"/>
      <c r="T12164" s="27"/>
      <c r="U12164" s="27"/>
    </row>
    <row r="12166">
      <c r="S12166" s="27"/>
      <c r="T12166" s="27"/>
      <c r="U12166" s="27"/>
    </row>
    <row r="12167">
      <c r="S12167" s="27"/>
      <c r="T12167" s="27"/>
      <c r="U12167" s="27"/>
    </row>
    <row r="12169">
      <c r="S12169" s="27"/>
      <c r="T12169" s="27"/>
      <c r="U12169" s="27"/>
    </row>
    <row r="12170">
      <c r="S12170" s="27"/>
      <c r="T12170" s="27"/>
      <c r="U12170" s="27"/>
    </row>
    <row r="12172">
      <c r="S12172" s="27"/>
      <c r="T12172" s="27"/>
      <c r="U12172" s="27"/>
    </row>
    <row r="12173">
      <c r="S12173" s="27"/>
      <c r="T12173" s="27"/>
      <c r="U12173" s="27"/>
    </row>
    <row r="12175">
      <c r="S12175" s="27"/>
      <c r="T12175" s="27"/>
      <c r="U12175" s="27"/>
    </row>
    <row r="12176">
      <c r="S12176" s="27"/>
      <c r="T12176" s="27"/>
      <c r="U12176" s="27"/>
    </row>
    <row r="12178">
      <c r="S12178" s="27"/>
      <c r="T12178" s="27"/>
      <c r="U12178" s="27"/>
    </row>
    <row r="12179">
      <c r="S12179" s="27"/>
      <c r="T12179" s="27"/>
      <c r="U12179" s="27"/>
    </row>
    <row r="12181">
      <c r="S12181" s="27"/>
      <c r="T12181" s="27"/>
      <c r="U12181" s="27"/>
    </row>
    <row r="12182">
      <c r="S12182" s="27"/>
      <c r="T12182" s="27"/>
      <c r="U12182" s="27"/>
    </row>
    <row r="12184">
      <c r="S12184" s="27"/>
      <c r="T12184" s="27"/>
      <c r="U12184" s="27"/>
    </row>
    <row r="12185">
      <c r="S12185" s="27"/>
      <c r="T12185" s="27"/>
      <c r="U12185" s="27"/>
    </row>
    <row r="12187">
      <c r="S12187" s="27"/>
      <c r="T12187" s="27"/>
      <c r="U12187" s="27"/>
    </row>
    <row r="12188">
      <c r="S12188" s="27"/>
      <c r="T12188" s="27"/>
      <c r="U12188" s="27"/>
    </row>
    <row r="12190">
      <c r="S12190" s="27"/>
      <c r="T12190" s="27"/>
      <c r="U12190" s="27"/>
    </row>
    <row r="12191">
      <c r="S12191" s="27"/>
      <c r="T12191" s="27"/>
      <c r="U12191" s="27"/>
    </row>
    <row r="12193">
      <c r="S12193" s="27"/>
      <c r="T12193" s="27"/>
      <c r="U12193" s="27"/>
    </row>
    <row r="12195">
      <c r="S12195" s="27"/>
      <c r="T12195" s="27"/>
      <c r="U12195" s="27"/>
    </row>
    <row r="12196">
      <c r="S12196" s="27"/>
      <c r="T12196" s="27"/>
      <c r="U12196" s="27"/>
    </row>
    <row r="12198">
      <c r="S12198" s="27"/>
      <c r="T12198" s="27"/>
      <c r="U12198" s="27"/>
    </row>
    <row r="12199">
      <c r="S12199" s="27"/>
      <c r="T12199" s="27"/>
      <c r="U12199" s="27"/>
    </row>
    <row r="12201">
      <c r="S12201" s="27"/>
      <c r="T12201" s="27"/>
      <c r="U12201" s="27"/>
    </row>
    <row r="12202">
      <c r="S12202" s="27"/>
      <c r="T12202" s="27"/>
      <c r="U12202" s="27"/>
    </row>
    <row r="12204">
      <c r="S12204" s="27"/>
      <c r="T12204" s="27"/>
      <c r="U12204" s="27"/>
    </row>
    <row r="12205">
      <c r="S12205" s="27"/>
      <c r="T12205" s="27"/>
      <c r="U12205" s="27"/>
    </row>
    <row r="12207">
      <c r="S12207" s="27"/>
      <c r="T12207" s="27"/>
      <c r="U12207" s="27"/>
    </row>
    <row r="12208">
      <c r="S12208" s="27"/>
      <c r="T12208" s="27"/>
      <c r="U12208" s="27"/>
    </row>
    <row r="12210">
      <c r="S12210" s="27"/>
      <c r="T12210" s="27"/>
      <c r="U12210" s="27"/>
    </row>
    <row r="12211">
      <c r="S12211" s="27"/>
      <c r="T12211" s="27"/>
      <c r="U12211" s="27"/>
    </row>
    <row r="12213">
      <c r="S12213" s="27"/>
      <c r="T12213" s="27"/>
      <c r="U12213" s="27"/>
    </row>
    <row r="12214">
      <c r="S12214" s="27"/>
      <c r="T12214" s="27"/>
      <c r="U12214" s="27"/>
    </row>
    <row r="12216">
      <c r="S12216" s="27"/>
      <c r="T12216" s="27"/>
      <c r="U12216" s="27"/>
    </row>
    <row r="12218">
      <c r="S12218" s="27"/>
      <c r="T12218" s="27"/>
      <c r="U12218" s="27"/>
    </row>
    <row r="12220">
      <c r="S12220" s="27"/>
      <c r="T12220" s="27"/>
      <c r="U12220" s="27"/>
    </row>
    <row r="12222">
      <c r="S12222" s="27"/>
      <c r="T12222" s="27"/>
      <c r="U12222" s="27"/>
    </row>
    <row r="12225">
      <c r="S12225" s="27"/>
      <c r="T12225" s="27"/>
      <c r="U12225" s="27"/>
    </row>
    <row r="12227">
      <c r="S12227" s="27"/>
      <c r="T12227" s="27"/>
      <c r="U12227" s="27"/>
    </row>
    <row r="12228">
      <c r="S12228" s="27"/>
      <c r="T12228" s="27"/>
      <c r="U12228" s="27"/>
    </row>
    <row r="12230">
      <c r="S12230" s="27"/>
      <c r="T12230" s="27"/>
      <c r="U12230" s="27"/>
    </row>
    <row r="12231">
      <c r="S12231" s="27"/>
      <c r="T12231" s="27"/>
      <c r="U12231" s="27"/>
    </row>
    <row r="12233">
      <c r="S12233" s="27"/>
      <c r="T12233" s="27"/>
      <c r="U12233" s="27"/>
    </row>
    <row r="12234">
      <c r="S12234" s="27"/>
      <c r="T12234" s="27"/>
      <c r="U12234" s="27"/>
    </row>
    <row r="12236">
      <c r="S12236" s="27"/>
      <c r="T12236" s="27"/>
      <c r="U12236" s="27"/>
    </row>
    <row r="12237">
      <c r="S12237" s="27"/>
      <c r="T12237" s="27"/>
      <c r="U12237" s="27"/>
    </row>
    <row r="12239">
      <c r="S12239" s="27"/>
      <c r="T12239" s="27"/>
      <c r="U12239" s="27"/>
    </row>
    <row r="12240">
      <c r="S12240" s="27"/>
      <c r="T12240" s="27"/>
      <c r="U12240" s="27"/>
    </row>
    <row r="12245">
      <c r="S12245" s="27"/>
    </row>
    <row r="12248">
      <c r="S12248" s="27"/>
      <c r="T12248" s="27"/>
      <c r="U12248" s="27"/>
    </row>
    <row r="12251">
      <c r="S12251" s="27"/>
      <c r="T12251" s="27"/>
      <c r="U12251" s="27"/>
    </row>
    <row r="12252">
      <c r="S12252" s="27"/>
      <c r="T12252" s="27"/>
      <c r="U12252" s="27"/>
    </row>
    <row r="12254">
      <c r="S12254" s="27"/>
      <c r="T12254" s="27"/>
      <c r="U12254" s="27"/>
    </row>
    <row r="12255">
      <c r="S12255" s="27"/>
      <c r="T12255" s="27"/>
      <c r="U12255" s="27"/>
    </row>
    <row r="12257">
      <c r="S12257" s="27"/>
      <c r="T12257" s="27"/>
      <c r="U12257" s="27"/>
    </row>
    <row r="12258">
      <c r="S12258" s="27"/>
      <c r="T12258" s="27"/>
      <c r="U12258" s="27"/>
    </row>
    <row r="12260">
      <c r="S12260" s="26"/>
      <c r="T12260" s="26"/>
      <c r="U12260" s="27"/>
    </row>
    <row r="12263">
      <c r="S12263" s="27"/>
      <c r="T12263" s="27"/>
      <c r="U12263" s="27"/>
    </row>
    <row r="12264">
      <c r="S12264" s="27"/>
      <c r="T12264" s="27"/>
      <c r="U12264" s="27"/>
    </row>
    <row r="12266">
      <c r="S12266" s="27"/>
      <c r="T12266" s="27"/>
      <c r="U12266" s="27"/>
    </row>
    <row r="12267">
      <c r="S12267" s="27"/>
      <c r="T12267" s="27"/>
      <c r="U12267" s="27"/>
    </row>
    <row r="12269">
      <c r="S12269" s="27"/>
      <c r="T12269" s="26"/>
    </row>
    <row r="12270">
      <c r="S12270" s="27"/>
      <c r="U12270" s="27"/>
    </row>
    <row r="12272">
      <c r="T12272" s="27"/>
      <c r="U12272" s="27"/>
    </row>
    <row r="12275">
      <c r="S12275" s="26"/>
      <c r="T12275" s="26"/>
      <c r="U12275" s="26"/>
    </row>
    <row r="12278">
      <c r="S12278" s="27"/>
      <c r="T12278" s="27"/>
      <c r="U12278" s="27"/>
    </row>
    <row r="12279">
      <c r="S12279" s="27"/>
      <c r="T12279" s="27"/>
      <c r="U12279" s="27"/>
    </row>
    <row r="12281">
      <c r="S12281" s="27"/>
      <c r="T12281" s="27"/>
      <c r="U12281" s="27"/>
    </row>
    <row r="12282">
      <c r="S12282" s="27"/>
      <c r="T12282" s="27"/>
      <c r="U12282" s="27"/>
    </row>
    <row r="12284">
      <c r="S12284" s="26"/>
      <c r="T12284" s="26"/>
      <c r="U12284" s="26"/>
    </row>
    <row r="12287">
      <c r="S12287" s="26"/>
      <c r="T12287" s="26"/>
      <c r="U12287" s="26"/>
    </row>
    <row r="12290">
      <c r="S12290" s="27"/>
      <c r="T12290" s="27"/>
      <c r="U12290" s="27"/>
    </row>
    <row r="12293">
      <c r="S12293" s="27"/>
      <c r="T12293" s="27"/>
      <c r="U12293" s="27"/>
    </row>
    <row r="12294">
      <c r="S12294" s="27"/>
      <c r="T12294" s="27"/>
      <c r="U12294" s="27"/>
    </row>
    <row r="12296">
      <c r="S12296" s="27"/>
      <c r="T12296" s="27"/>
      <c r="U12296" s="27"/>
    </row>
    <row r="12297">
      <c r="S12297" s="27"/>
      <c r="T12297" s="27"/>
      <c r="U12297" s="27"/>
    </row>
    <row r="12299">
      <c r="S12299" s="27"/>
      <c r="T12299" s="27"/>
      <c r="U12299" s="27"/>
    </row>
    <row r="12300">
      <c r="S12300" s="27"/>
      <c r="T12300" s="27"/>
      <c r="U12300" s="27"/>
    </row>
    <row r="12302">
      <c r="S12302" s="27"/>
      <c r="T12302" s="27"/>
      <c r="U12302" s="27"/>
    </row>
    <row r="12303">
      <c r="S12303" s="27"/>
      <c r="T12303" s="27"/>
      <c r="U12303" s="27"/>
    </row>
    <row r="12305">
      <c r="S12305" s="27"/>
      <c r="T12305" s="27"/>
      <c r="U12305" s="27"/>
    </row>
    <row r="12306">
      <c r="S12306" s="27"/>
      <c r="T12306" s="27"/>
      <c r="U12306" s="27"/>
    </row>
    <row r="12308">
      <c r="S12308" s="27"/>
      <c r="T12308" s="27"/>
      <c r="U12308" s="27"/>
    </row>
    <row r="12309">
      <c r="S12309" s="27"/>
      <c r="T12309" s="27"/>
      <c r="U12309" s="27"/>
    </row>
    <row r="12311">
      <c r="S12311" s="27"/>
      <c r="T12311" s="27"/>
      <c r="U12311" s="27"/>
    </row>
    <row r="12312">
      <c r="S12312" s="27"/>
      <c r="T12312" s="27"/>
      <c r="U12312" s="27"/>
    </row>
    <row r="12314">
      <c r="S12314" s="27"/>
      <c r="T12314" s="27"/>
      <c r="U12314" s="27"/>
    </row>
    <row r="12315">
      <c r="S12315" s="27"/>
      <c r="T12315" s="27"/>
      <c r="U12315" s="27"/>
    </row>
    <row r="12317">
      <c r="S12317" s="27"/>
      <c r="T12317" s="27"/>
      <c r="U12317" s="27"/>
    </row>
    <row r="12318">
      <c r="S12318" s="27"/>
      <c r="T12318" s="27"/>
      <c r="U12318" s="27"/>
    </row>
    <row r="12320">
      <c r="S12320" s="27"/>
      <c r="T12320" s="27"/>
      <c r="U12320" s="27"/>
    </row>
    <row r="12321">
      <c r="S12321" s="27"/>
      <c r="T12321" s="27"/>
      <c r="U12321" s="27"/>
    </row>
    <row r="12323">
      <c r="S12323" s="27"/>
      <c r="T12323" s="27"/>
      <c r="U12323" s="27"/>
    </row>
    <row r="12324">
      <c r="S12324" s="27"/>
      <c r="T12324" s="27"/>
      <c r="U12324" s="27"/>
    </row>
    <row r="12326">
      <c r="S12326" s="27"/>
      <c r="T12326" s="27"/>
      <c r="U12326" s="27"/>
    </row>
    <row r="12327">
      <c r="S12327" s="27"/>
      <c r="T12327" s="27"/>
      <c r="U12327" s="27"/>
    </row>
    <row r="12329">
      <c r="S12329" s="27"/>
      <c r="T12329" s="27"/>
      <c r="U12329" s="27"/>
    </row>
    <row r="12330">
      <c r="S12330" s="27"/>
      <c r="T12330" s="27"/>
      <c r="U12330" s="27"/>
    </row>
    <row r="12332">
      <c r="S12332" s="27"/>
      <c r="T12332" s="27"/>
      <c r="U12332" s="27"/>
    </row>
    <row r="12333">
      <c r="S12333" s="27"/>
      <c r="T12333" s="27"/>
      <c r="U12333" s="27"/>
    </row>
    <row r="12335">
      <c r="S12335" s="27"/>
      <c r="T12335" s="27"/>
      <c r="U12335" s="27"/>
    </row>
    <row r="12336">
      <c r="S12336" s="27"/>
      <c r="T12336" s="27"/>
      <c r="U12336" s="27"/>
    </row>
    <row r="12338">
      <c r="S12338" s="27"/>
      <c r="T12338" s="27"/>
      <c r="U12338" s="27"/>
    </row>
    <row r="12339">
      <c r="S12339" s="27"/>
      <c r="T12339" s="27"/>
      <c r="U12339" s="27"/>
    </row>
    <row r="12341">
      <c r="S12341" s="27"/>
      <c r="T12341" s="27"/>
      <c r="U12341" s="27"/>
    </row>
    <row r="12342">
      <c r="S12342" s="27"/>
      <c r="T12342" s="27"/>
      <c r="U12342" s="27"/>
    </row>
    <row r="12344">
      <c r="S12344" s="27"/>
      <c r="T12344" s="27"/>
      <c r="U12344" s="27"/>
    </row>
    <row r="12345">
      <c r="S12345" s="27"/>
      <c r="T12345" s="27"/>
      <c r="U12345" s="27"/>
    </row>
    <row r="12347">
      <c r="S12347" s="27"/>
      <c r="T12347" s="27"/>
      <c r="U12347" s="27"/>
    </row>
    <row r="12348">
      <c r="S12348" s="27"/>
      <c r="T12348" s="27"/>
      <c r="U12348" s="27"/>
    </row>
    <row r="12350">
      <c r="S12350" s="27"/>
      <c r="T12350" s="27"/>
      <c r="U12350" s="27"/>
    </row>
    <row r="12351">
      <c r="S12351" s="27"/>
      <c r="T12351" s="27"/>
      <c r="U12351" s="27"/>
    </row>
    <row r="12353">
      <c r="T12353" s="27"/>
      <c r="U12353" s="27"/>
    </row>
    <row r="12354">
      <c r="T12354" s="27"/>
      <c r="U12354" s="27"/>
    </row>
    <row r="12356">
      <c r="S12356" s="27"/>
      <c r="T12356" s="27"/>
      <c r="U12356" s="27"/>
    </row>
    <row r="12357">
      <c r="S12357" s="27"/>
      <c r="T12357" s="27"/>
      <c r="U12357" s="27"/>
    </row>
    <row r="12359">
      <c r="S12359" s="27"/>
      <c r="T12359" s="27"/>
      <c r="U12359" s="27"/>
    </row>
    <row r="12360">
      <c r="S12360" s="27"/>
      <c r="T12360" s="27"/>
      <c r="U12360" s="27"/>
    </row>
    <row r="12362">
      <c r="S12362" s="27"/>
      <c r="T12362" s="27"/>
      <c r="U12362" s="27"/>
    </row>
    <row r="12363">
      <c r="S12363" s="27"/>
      <c r="T12363" s="27"/>
      <c r="U12363" s="27"/>
    </row>
    <row r="12368">
      <c r="S12368" s="27"/>
      <c r="T12368" s="27"/>
      <c r="U12368" s="27"/>
    </row>
    <row r="12369">
      <c r="S12369" s="27"/>
      <c r="T12369" s="27"/>
      <c r="U12369" s="27"/>
    </row>
    <row r="12371">
      <c r="S12371" s="27"/>
      <c r="T12371" s="27"/>
      <c r="U12371" s="27"/>
    </row>
    <row r="12374">
      <c r="S12374" s="33"/>
    </row>
    <row r="12375">
      <c r="S12375" s="27"/>
    </row>
    <row r="12377">
      <c r="S12377" s="27"/>
      <c r="T12377" s="27"/>
      <c r="U12377" s="27"/>
    </row>
    <row r="12378">
      <c r="S12378" s="27"/>
      <c r="T12378" s="27"/>
      <c r="U12378" s="27"/>
    </row>
    <row r="12380">
      <c r="S12380" s="26"/>
      <c r="T12380" s="26"/>
      <c r="U12380" s="26"/>
    </row>
    <row r="12381">
      <c r="S12381" s="26"/>
      <c r="T12381" s="26"/>
      <c r="U12381" s="26"/>
    </row>
    <row r="12383">
      <c r="S12383" s="27"/>
      <c r="T12383" s="27"/>
      <c r="U12383" s="27"/>
    </row>
    <row r="12384">
      <c r="S12384" s="27"/>
      <c r="T12384" s="27"/>
      <c r="U12384" s="27"/>
    </row>
    <row r="12386">
      <c r="S12386" s="27"/>
      <c r="T12386" s="27"/>
      <c r="U12386" s="27"/>
    </row>
    <row r="12387">
      <c r="S12387" s="27"/>
      <c r="T12387" s="27"/>
      <c r="U12387" s="27"/>
    </row>
    <row r="12389">
      <c r="S12389" s="27"/>
      <c r="T12389" s="27"/>
      <c r="U12389" s="27"/>
    </row>
    <row r="12390">
      <c r="S12390" s="27"/>
      <c r="T12390" s="27"/>
      <c r="U12390" s="27"/>
    </row>
    <row r="12392">
      <c r="T12392" s="27"/>
      <c r="U12392" s="27"/>
    </row>
    <row r="12395">
      <c r="S12395" s="26"/>
      <c r="T12395" s="26"/>
      <c r="U12395" s="26"/>
    </row>
    <row r="12398">
      <c r="S12398" s="27"/>
      <c r="T12398" s="27"/>
      <c r="U12398" s="27"/>
    </row>
    <row r="12400">
      <c r="S12400" s="35"/>
      <c r="T12400" s="35"/>
      <c r="U12400" s="27"/>
    </row>
    <row r="12402">
      <c r="S12402" s="26"/>
      <c r="T12402" s="26"/>
      <c r="U12402" s="26"/>
    </row>
    <row r="12405">
      <c r="S12405" s="27"/>
      <c r="T12405" s="27"/>
      <c r="U12405" s="27"/>
    </row>
    <row r="12408">
      <c r="S12408" s="27"/>
      <c r="T12408" s="27"/>
      <c r="U12408" s="27"/>
    </row>
    <row r="12409">
      <c r="S12409" s="27"/>
      <c r="T12409" s="27"/>
      <c r="U12409" s="27"/>
    </row>
    <row r="12411">
      <c r="S12411" s="27"/>
      <c r="T12411" s="27"/>
      <c r="U12411" s="27"/>
    </row>
    <row r="12412">
      <c r="S12412" s="27"/>
      <c r="T12412" s="27"/>
      <c r="U12412" s="27"/>
    </row>
    <row r="12414">
      <c r="S12414" s="27"/>
      <c r="T12414" s="27"/>
      <c r="U12414" s="27"/>
    </row>
    <row r="12417">
      <c r="S12417" s="27"/>
      <c r="U12417" s="27"/>
    </row>
    <row r="12418">
      <c r="S12418" s="26"/>
      <c r="T12418" s="27"/>
      <c r="U12418" s="27"/>
    </row>
    <row r="12420">
      <c r="S12420" s="27"/>
      <c r="T12420" s="27"/>
      <c r="U12420" s="27"/>
    </row>
    <row r="12421">
      <c r="S12421" s="27"/>
      <c r="T12421" s="27"/>
      <c r="U12421" s="27"/>
    </row>
    <row r="12426">
      <c r="S12426" s="27"/>
      <c r="T12426" s="27"/>
      <c r="U12426" s="27"/>
    </row>
    <row r="12427">
      <c r="S12427" s="27"/>
      <c r="T12427" s="27"/>
      <c r="U12427" s="27"/>
    </row>
    <row r="12429">
      <c r="S12429" s="27"/>
      <c r="T12429" s="27"/>
      <c r="U12429" s="27"/>
    </row>
    <row r="12430">
      <c r="S12430" s="27"/>
      <c r="T12430" s="27"/>
      <c r="U12430" s="27"/>
    </row>
    <row r="12432">
      <c r="S12432" s="27"/>
      <c r="T12432" s="27"/>
      <c r="U12432" s="27"/>
    </row>
    <row r="12433">
      <c r="S12433" s="27"/>
      <c r="T12433" s="27"/>
      <c r="U12433" s="27"/>
    </row>
    <row r="12435">
      <c r="S12435" s="33"/>
      <c r="T12435" s="33"/>
      <c r="U12435" s="33"/>
    </row>
    <row r="12441">
      <c r="S12441" s="27"/>
      <c r="T12441" s="27"/>
      <c r="U12441" s="27"/>
    </row>
    <row r="12444">
      <c r="S12444" s="27"/>
      <c r="T12444" s="27"/>
      <c r="U12444" s="27"/>
    </row>
    <row r="12445">
      <c r="S12445" s="33"/>
      <c r="T12445" s="33"/>
      <c r="U12445" s="33"/>
    </row>
    <row r="12447">
      <c r="S12447" s="27"/>
      <c r="T12447" s="27"/>
      <c r="U12447" s="27"/>
    </row>
    <row r="12448">
      <c r="S12448" s="26"/>
      <c r="T12448" s="26"/>
      <c r="U12448" s="26"/>
    </row>
    <row r="12450">
      <c r="S12450" s="27"/>
      <c r="T12450" s="27"/>
      <c r="U12450" s="27"/>
    </row>
    <row r="12451">
      <c r="S12451" s="27"/>
      <c r="T12451" s="27"/>
      <c r="U12451" s="27"/>
    </row>
    <row r="12453">
      <c r="S12453" s="27"/>
      <c r="T12453" s="27"/>
      <c r="U12453" s="27"/>
    </row>
    <row r="12454">
      <c r="S12454" s="27"/>
      <c r="T12454" s="27"/>
      <c r="U12454" s="27"/>
    </row>
    <row r="12456">
      <c r="S12456" s="27"/>
      <c r="T12456" s="27"/>
      <c r="U12456" s="27"/>
    </row>
    <row r="12457">
      <c r="S12457" s="27"/>
      <c r="T12457" s="27"/>
      <c r="U12457" s="27"/>
    </row>
    <row r="12459">
      <c r="S12459" s="27"/>
      <c r="T12459" s="27"/>
      <c r="U12459" s="27"/>
    </row>
    <row r="12460">
      <c r="S12460" s="27"/>
      <c r="T12460" s="27"/>
      <c r="U12460" s="27"/>
    </row>
    <row r="12465">
      <c r="S12465" s="27"/>
      <c r="T12465" s="27"/>
      <c r="U12465" s="27"/>
    </row>
    <row r="12466">
      <c r="S12466" s="27"/>
      <c r="T12466" s="27"/>
      <c r="U12466" s="27"/>
    </row>
    <row r="12468">
      <c r="S12468" s="27"/>
      <c r="T12468" s="27"/>
      <c r="U12468" s="27"/>
    </row>
    <row r="12469">
      <c r="S12469" s="27"/>
      <c r="T12469" s="27"/>
      <c r="U12469" s="27"/>
    </row>
    <row r="12471">
      <c r="S12471" s="27"/>
      <c r="T12471" s="27"/>
      <c r="U12471" s="27"/>
    </row>
    <row r="12472">
      <c r="S12472" s="26"/>
    </row>
    <row r="12474">
      <c r="S12474" s="27"/>
      <c r="T12474" s="27"/>
    </row>
    <row r="12475">
      <c r="S12475" s="27"/>
      <c r="T12475" s="27"/>
      <c r="U12475" s="27"/>
    </row>
    <row r="12477">
      <c r="S12477" s="27"/>
      <c r="T12477" s="27"/>
      <c r="U12477" s="27"/>
    </row>
    <row r="12478">
      <c r="S12478" s="27"/>
      <c r="T12478" s="27"/>
      <c r="U12478" s="27"/>
    </row>
    <row r="12480">
      <c r="S12480" s="27"/>
      <c r="T12480" s="27"/>
      <c r="U12480" s="27"/>
    </row>
    <row r="12481">
      <c r="S12481" s="27"/>
      <c r="T12481" s="27"/>
      <c r="U12481" s="27"/>
    </row>
    <row r="12483">
      <c r="S12483" s="27"/>
      <c r="T12483" s="27"/>
      <c r="U12483" s="27"/>
    </row>
    <row r="12486">
      <c r="S12486" s="27"/>
      <c r="T12486" s="27"/>
      <c r="U12486" s="27"/>
    </row>
    <row r="12487">
      <c r="S12487" s="27"/>
      <c r="T12487" s="27"/>
      <c r="U12487" s="27"/>
    </row>
    <row r="12492">
      <c r="S12492" s="27"/>
      <c r="T12492" s="27"/>
      <c r="U12492" s="27"/>
    </row>
    <row r="12495">
      <c r="S12495" s="27"/>
      <c r="T12495" s="27"/>
      <c r="U12495" s="27"/>
    </row>
    <row r="12496">
      <c r="S12496" s="27"/>
      <c r="T12496" s="27"/>
      <c r="U12496" s="27"/>
    </row>
    <row r="12498">
      <c r="S12498" s="27"/>
      <c r="T12498" s="27"/>
      <c r="U12498" s="27"/>
    </row>
    <row r="12499">
      <c r="S12499" s="27"/>
      <c r="T12499" s="27"/>
      <c r="U12499" s="27"/>
    </row>
    <row r="12501">
      <c r="S12501" s="27"/>
      <c r="T12501" s="27"/>
      <c r="U12501" s="27"/>
    </row>
    <row r="12502">
      <c r="S12502" s="27"/>
      <c r="T12502" s="27"/>
      <c r="U12502" s="27"/>
    </row>
    <row r="12504">
      <c r="S12504" s="26"/>
    </row>
    <row r="12505">
      <c r="T12505" s="26"/>
      <c r="U12505" s="26"/>
    </row>
    <row r="12507">
      <c r="S12507" s="27"/>
      <c r="T12507" s="27"/>
      <c r="U12507" s="27"/>
    </row>
    <row r="12508">
      <c r="S12508" s="27"/>
      <c r="T12508" s="27"/>
      <c r="U12508" s="27"/>
    </row>
    <row r="12510">
      <c r="S12510" s="27"/>
      <c r="T12510" s="27"/>
      <c r="U12510" s="27"/>
    </row>
    <row r="12511">
      <c r="S12511" s="27"/>
      <c r="T12511" s="27"/>
      <c r="U12511" s="27"/>
    </row>
    <row r="12513">
      <c r="S12513" s="27"/>
      <c r="T12513" s="27"/>
      <c r="U12513" s="27"/>
    </row>
    <row r="12516">
      <c r="S12516" s="27"/>
      <c r="T12516" s="27"/>
      <c r="U12516" s="27"/>
    </row>
    <row r="12517">
      <c r="S12517" s="27"/>
      <c r="T12517" s="27"/>
      <c r="U12517" s="27"/>
    </row>
    <row r="12519">
      <c r="S12519" s="27"/>
      <c r="T12519" s="27"/>
      <c r="U12519" s="27"/>
    </row>
    <row r="12520">
      <c r="S12520" s="27"/>
      <c r="T12520" s="27"/>
      <c r="U12520" s="27"/>
    </row>
    <row r="12522">
      <c r="S12522" s="27"/>
      <c r="T12522" s="27"/>
      <c r="U12522" s="27"/>
    </row>
    <row r="12523">
      <c r="S12523" s="27"/>
      <c r="T12523" s="27"/>
      <c r="U12523" s="27"/>
    </row>
    <row r="12525">
      <c r="S12525" s="27"/>
      <c r="T12525" s="27"/>
      <c r="U12525" s="27"/>
    </row>
    <row r="12526">
      <c r="S12526" s="27"/>
      <c r="T12526" s="27"/>
      <c r="U12526" s="27"/>
    </row>
    <row r="12528">
      <c r="S12528" s="27"/>
      <c r="T12528" s="27"/>
      <c r="U12528" s="27"/>
    </row>
    <row r="12529">
      <c r="S12529" s="27"/>
      <c r="T12529" s="27"/>
      <c r="U12529" s="27"/>
    </row>
    <row r="12531">
      <c r="S12531" s="27"/>
      <c r="T12531" s="27"/>
      <c r="U12531" s="27"/>
    </row>
    <row r="12532">
      <c r="S12532" s="27"/>
      <c r="T12532" s="27"/>
      <c r="U12532" s="27"/>
    </row>
    <row r="12534">
      <c r="S12534" s="27"/>
      <c r="T12534" s="27"/>
      <c r="U12534" s="27"/>
    </row>
    <row r="12535">
      <c r="S12535" s="27"/>
      <c r="T12535" s="27"/>
      <c r="U12535" s="27"/>
    </row>
    <row r="12537">
      <c r="S12537" s="27"/>
      <c r="T12537" s="27"/>
      <c r="U12537" s="27"/>
    </row>
    <row r="12538">
      <c r="S12538" s="27"/>
      <c r="T12538" s="27"/>
      <c r="U12538" s="27"/>
    </row>
    <row r="12540">
      <c r="S12540" s="27"/>
      <c r="T12540" s="27"/>
      <c r="U12540" s="27"/>
    </row>
    <row r="12541">
      <c r="S12541" s="27"/>
      <c r="T12541" s="27"/>
      <c r="U12541" s="27"/>
    </row>
    <row r="12543">
      <c r="S12543" s="27"/>
      <c r="T12543" s="27"/>
      <c r="U12543" s="27"/>
    </row>
    <row r="12544">
      <c r="S12544" s="27"/>
      <c r="T12544" s="27"/>
      <c r="U12544" s="27"/>
    </row>
    <row r="12546">
      <c r="S12546" s="27"/>
      <c r="T12546" s="27"/>
      <c r="U12546" s="27"/>
    </row>
    <row r="12547">
      <c r="S12547" s="27"/>
      <c r="T12547" s="27"/>
      <c r="U12547" s="27"/>
    </row>
    <row r="12549">
      <c r="S12549" s="27"/>
      <c r="T12549" s="27"/>
      <c r="U12549" s="27"/>
    </row>
    <row r="12550">
      <c r="S12550" s="27"/>
      <c r="T12550" s="27"/>
      <c r="U12550" s="27"/>
    </row>
    <row r="12552">
      <c r="S12552" s="27"/>
      <c r="T12552" s="27"/>
      <c r="U12552" s="27"/>
    </row>
    <row r="12553">
      <c r="S12553" s="27"/>
      <c r="T12553" s="27"/>
      <c r="U12553" s="27"/>
    </row>
    <row r="12555">
      <c r="S12555" s="27"/>
      <c r="T12555" s="27"/>
      <c r="U12555" s="27"/>
    </row>
    <row r="12556">
      <c r="S12556" s="27"/>
      <c r="T12556" s="27"/>
      <c r="U12556" s="27"/>
    </row>
    <row r="12558">
      <c r="S12558" s="27"/>
      <c r="T12558" s="27"/>
      <c r="U12558" s="27"/>
    </row>
    <row r="12559">
      <c r="S12559" s="27"/>
      <c r="T12559" s="27"/>
      <c r="U12559" s="27"/>
    </row>
    <row r="12561">
      <c r="S12561" s="27"/>
      <c r="T12561" s="27"/>
      <c r="U12561" s="27"/>
    </row>
    <row r="12562">
      <c r="S12562" s="27"/>
      <c r="T12562" s="27"/>
      <c r="U12562" s="27"/>
    </row>
    <row r="12564">
      <c r="S12564" s="27"/>
      <c r="T12564" s="27"/>
      <c r="U12564" s="27"/>
    </row>
    <row r="12565">
      <c r="S12565" s="27"/>
      <c r="T12565" s="27"/>
      <c r="U12565" s="27"/>
    </row>
    <row r="12567">
      <c r="S12567" s="27"/>
      <c r="T12567" s="27"/>
      <c r="U12567" s="27"/>
    </row>
    <row r="12568">
      <c r="S12568" s="27"/>
      <c r="T12568" s="27"/>
      <c r="U12568" s="27"/>
    </row>
    <row r="12570">
      <c r="S12570" s="27"/>
      <c r="T12570" s="27"/>
      <c r="U12570" s="27"/>
    </row>
    <row r="12571">
      <c r="S12571" s="27"/>
      <c r="T12571" s="27"/>
      <c r="U12571" s="27"/>
    </row>
    <row r="12573">
      <c r="S12573" s="27"/>
      <c r="T12573" s="27"/>
      <c r="U12573" s="27"/>
    </row>
    <row r="12574">
      <c r="S12574" s="27"/>
      <c r="T12574" s="27"/>
      <c r="U12574" s="27"/>
    </row>
    <row r="12576">
      <c r="S12576" s="27"/>
      <c r="T12576" s="27"/>
      <c r="U12576" s="27"/>
    </row>
    <row r="12577">
      <c r="S12577" s="27"/>
      <c r="T12577" s="27"/>
      <c r="U12577" s="27"/>
    </row>
    <row r="12579">
      <c r="S12579" s="27"/>
      <c r="T12579" s="27"/>
      <c r="U12579" s="27"/>
    </row>
    <row r="12580">
      <c r="S12580" s="27"/>
      <c r="T12580" s="27"/>
      <c r="U12580" s="27"/>
    </row>
    <row r="12582">
      <c r="S12582" s="27"/>
      <c r="T12582" s="27"/>
      <c r="U12582" s="27"/>
    </row>
    <row r="12583">
      <c r="S12583" s="27"/>
      <c r="T12583" s="27"/>
      <c r="U12583" s="27"/>
    </row>
    <row r="12585">
      <c r="S12585" s="27"/>
      <c r="T12585" s="27"/>
      <c r="U12585" s="27"/>
    </row>
    <row r="12586">
      <c r="S12586" s="27"/>
      <c r="T12586" s="27"/>
      <c r="U12586" s="27"/>
    </row>
    <row r="12588">
      <c r="S12588" s="27"/>
      <c r="T12588" s="27"/>
      <c r="U12588" s="27"/>
    </row>
    <row r="12589">
      <c r="S12589" s="27"/>
      <c r="T12589" s="27"/>
      <c r="U12589" s="27"/>
    </row>
    <row r="12591">
      <c r="S12591" s="27"/>
      <c r="T12591" s="27"/>
      <c r="U12591" s="27"/>
    </row>
    <row r="12592">
      <c r="S12592" s="27"/>
      <c r="T12592" s="27"/>
      <c r="U12592" s="27"/>
    </row>
    <row r="12594">
      <c r="S12594" s="27"/>
      <c r="T12594" s="27"/>
      <c r="U12594" s="27"/>
    </row>
    <row r="12595">
      <c r="S12595" s="27"/>
      <c r="T12595" s="27"/>
      <c r="U12595" s="27"/>
    </row>
    <row r="12597">
      <c r="S12597" s="27"/>
      <c r="T12597" s="27"/>
      <c r="U12597" s="27"/>
    </row>
    <row r="12598">
      <c r="S12598" s="27"/>
      <c r="T12598" s="27"/>
      <c r="U12598" s="27"/>
    </row>
    <row r="12600">
      <c r="S12600" s="27"/>
      <c r="T12600" s="27"/>
      <c r="U12600" s="27"/>
    </row>
    <row r="12601">
      <c r="S12601" s="27"/>
      <c r="T12601" s="27"/>
      <c r="U12601" s="27"/>
    </row>
    <row r="12603">
      <c r="S12603" s="27"/>
      <c r="T12603" s="27"/>
      <c r="U12603" s="27"/>
    </row>
    <row r="12605">
      <c r="S12605" s="27"/>
      <c r="T12605" s="27"/>
      <c r="U12605" s="27"/>
    </row>
    <row r="12606">
      <c r="S12606" s="27"/>
      <c r="T12606" s="27"/>
      <c r="U12606" s="27"/>
    </row>
    <row r="12608">
      <c r="S12608" s="27"/>
      <c r="T12608" s="27"/>
      <c r="U12608" s="27"/>
    </row>
    <row r="12609">
      <c r="S12609" s="27"/>
      <c r="T12609" s="27"/>
      <c r="U12609" s="27"/>
    </row>
    <row r="12611">
      <c r="S12611" s="27"/>
      <c r="T12611" s="27"/>
      <c r="U12611" s="27"/>
    </row>
    <row r="12612">
      <c r="S12612" s="27"/>
      <c r="T12612" s="27"/>
      <c r="U12612" s="27"/>
    </row>
    <row r="12614">
      <c r="S12614" s="27"/>
      <c r="T12614" s="27"/>
      <c r="U12614" s="27"/>
    </row>
    <row r="12615">
      <c r="S12615" s="27"/>
      <c r="T12615" s="27"/>
      <c r="U12615" s="27"/>
    </row>
    <row r="12617">
      <c r="S12617" s="27"/>
      <c r="T12617" s="27"/>
      <c r="U12617" s="27"/>
    </row>
    <row r="12618">
      <c r="S12618" s="27"/>
      <c r="T12618" s="27"/>
      <c r="U12618" s="27"/>
    </row>
    <row r="12621">
      <c r="S12621" s="27"/>
      <c r="T12621" s="27"/>
      <c r="U12621" s="27"/>
    </row>
    <row r="12623">
      <c r="S12623" s="27"/>
      <c r="T12623" s="27"/>
      <c r="U12623" s="27"/>
    </row>
    <row r="12624">
      <c r="S12624" s="27"/>
      <c r="T12624" s="27"/>
      <c r="U12624" s="27"/>
    </row>
    <row r="12626">
      <c r="S12626" s="27"/>
      <c r="T12626" s="27"/>
      <c r="U12626" s="27"/>
    </row>
    <row r="12628">
      <c r="T12628" s="27"/>
      <c r="U12628" s="27"/>
    </row>
    <row r="12630">
      <c r="S12630" s="27"/>
      <c r="T12630" s="27"/>
      <c r="U12630" s="27"/>
    </row>
    <row r="12632">
      <c r="S12632" s="27"/>
      <c r="T12632" s="27"/>
      <c r="U12632" s="27"/>
    </row>
    <row r="12634">
      <c r="S12634" s="27"/>
      <c r="T12634" s="27"/>
      <c r="U12634" s="27"/>
    </row>
    <row r="12635">
      <c r="S12635" s="27"/>
      <c r="T12635" s="27"/>
      <c r="U12635" s="27"/>
    </row>
    <row r="12637">
      <c r="S12637" s="27"/>
      <c r="T12637" s="27"/>
      <c r="U12637" s="27"/>
    </row>
    <row r="12638">
      <c r="S12638" s="27"/>
      <c r="T12638" s="27"/>
      <c r="U12638" s="27"/>
    </row>
    <row r="12640">
      <c r="S12640" s="27"/>
      <c r="T12640" s="27"/>
      <c r="U12640" s="27"/>
    </row>
    <row r="12641">
      <c r="U12641" s="27"/>
    </row>
    <row r="12643">
      <c r="S12643" s="27"/>
      <c r="T12643" s="27"/>
      <c r="U12643" s="27"/>
    </row>
    <row r="12644">
      <c r="S12644" s="27"/>
      <c r="T12644" s="27"/>
      <c r="U12644" s="27"/>
    </row>
    <row r="12646">
      <c r="S12646" s="27"/>
      <c r="T12646" s="27"/>
      <c r="U12646" s="27"/>
    </row>
    <row r="12647">
      <c r="S12647" s="27"/>
      <c r="T12647" s="27"/>
      <c r="U12647" s="27"/>
    </row>
    <row r="12649">
      <c r="S12649" s="27"/>
      <c r="T12649" s="27"/>
      <c r="U12649" s="27"/>
    </row>
    <row r="12650">
      <c r="S12650" s="27"/>
      <c r="T12650" s="27"/>
      <c r="U12650" s="27"/>
    </row>
    <row r="12652">
      <c r="S12652" s="27"/>
      <c r="T12652" s="27"/>
      <c r="U12652" s="27"/>
    </row>
    <row r="12653">
      <c r="S12653" s="27"/>
      <c r="T12653" s="27"/>
      <c r="U12653" s="27"/>
    </row>
    <row r="12655">
      <c r="S12655" s="27"/>
      <c r="T12655" s="27"/>
      <c r="U12655" s="27"/>
    </row>
    <row r="12658">
      <c r="S12658" s="27"/>
      <c r="T12658" s="27"/>
      <c r="U12658" s="27"/>
    </row>
    <row r="12661">
      <c r="S12661" s="27"/>
      <c r="T12661" s="27"/>
      <c r="U12661" s="27"/>
    </row>
    <row r="12662">
      <c r="S12662" s="27"/>
      <c r="T12662" s="27"/>
      <c r="U12662" s="27"/>
    </row>
    <row r="12664">
      <c r="S12664" s="27"/>
      <c r="T12664" s="27"/>
      <c r="U12664" s="27"/>
    </row>
    <row r="12665">
      <c r="S12665" s="27"/>
      <c r="T12665" s="27"/>
      <c r="U12665" s="27"/>
    </row>
    <row r="12667">
      <c r="S12667" s="27"/>
      <c r="T12667" s="27"/>
      <c r="U12667" s="27"/>
    </row>
    <row r="12668">
      <c r="S12668" s="27"/>
      <c r="T12668" s="27"/>
      <c r="U12668" s="27"/>
    </row>
    <row r="12670">
      <c r="S12670" s="26"/>
      <c r="T12670" s="26"/>
    </row>
    <row r="12673">
      <c r="S12673" s="27"/>
      <c r="T12673" s="27"/>
      <c r="U12673" s="27"/>
    </row>
    <row r="12674">
      <c r="S12674" s="27"/>
      <c r="T12674" s="27"/>
      <c r="U12674" s="27"/>
    </row>
    <row r="12676">
      <c r="S12676" s="27"/>
      <c r="T12676" s="27"/>
      <c r="U12676" s="27"/>
    </row>
    <row r="12677">
      <c r="S12677" s="27"/>
      <c r="T12677" s="27"/>
      <c r="U12677" s="27"/>
    </row>
    <row r="12680">
      <c r="S12680" s="27"/>
      <c r="T12680" s="27"/>
      <c r="U12680" s="27"/>
    </row>
    <row r="12685">
      <c r="S12685" s="26"/>
      <c r="T12685" s="26"/>
      <c r="U12685" s="26"/>
    </row>
    <row r="12686">
      <c r="S12686" s="26"/>
      <c r="T12686" s="26"/>
      <c r="U12686" s="26"/>
    </row>
    <row r="12688">
      <c r="S12688" s="27"/>
      <c r="T12688" s="27"/>
      <c r="U12688" s="27"/>
    </row>
    <row r="12689">
      <c r="S12689" s="27"/>
      <c r="T12689" s="27"/>
      <c r="U12689" s="27"/>
    </row>
    <row r="12691">
      <c r="S12691" s="27"/>
      <c r="T12691" s="27"/>
      <c r="U12691" s="27"/>
    </row>
    <row r="12692">
      <c r="S12692" s="27"/>
      <c r="T12692" s="27"/>
      <c r="U12692" s="27"/>
    </row>
    <row r="12697">
      <c r="S12697" s="27"/>
      <c r="T12697" s="26"/>
      <c r="U12697" s="26"/>
    </row>
    <row r="12700">
      <c r="S12700" s="27"/>
      <c r="T12700" s="27"/>
      <c r="U12700" s="27"/>
    </row>
    <row r="12703">
      <c r="S12703" s="27"/>
      <c r="T12703" s="27"/>
      <c r="U12703" s="27"/>
    </row>
    <row r="12704">
      <c r="S12704" s="27"/>
      <c r="T12704" s="27"/>
      <c r="U12704" s="27"/>
    </row>
    <row r="12706">
      <c r="S12706" s="27"/>
      <c r="T12706" s="27"/>
      <c r="U12706" s="27"/>
    </row>
    <row r="12707">
      <c r="S12707" s="27"/>
      <c r="T12707" s="27"/>
      <c r="U12707" s="27"/>
    </row>
    <row r="12709">
      <c r="S12709" s="27"/>
      <c r="T12709" s="27"/>
      <c r="U12709" s="27"/>
    </row>
    <row r="12710">
      <c r="S12710" s="27"/>
      <c r="T12710" s="27"/>
      <c r="U12710" s="27"/>
    </row>
    <row r="12712">
      <c r="S12712" s="27"/>
      <c r="T12712" s="27"/>
      <c r="U12712" s="27"/>
    </row>
    <row r="12713">
      <c r="S12713" s="27"/>
      <c r="T12713" s="27"/>
      <c r="U12713" s="27"/>
    </row>
    <row r="12715">
      <c r="S12715" s="27"/>
      <c r="T12715" s="27"/>
      <c r="U12715" s="27"/>
    </row>
    <row r="12716">
      <c r="S12716" s="27"/>
      <c r="T12716" s="27"/>
      <c r="U12716" s="27"/>
    </row>
    <row r="12718">
      <c r="S12718" s="27"/>
      <c r="T12718" s="27"/>
      <c r="U12718" s="27"/>
    </row>
    <row r="12719">
      <c r="S12719" s="27"/>
      <c r="T12719" s="27"/>
      <c r="U12719" s="27"/>
    </row>
    <row r="12721">
      <c r="S12721" s="27"/>
      <c r="T12721" s="27"/>
      <c r="U12721" s="27"/>
    </row>
    <row r="12722">
      <c r="S12722" s="27"/>
      <c r="T12722" s="27"/>
      <c r="U12722" s="27"/>
    </row>
    <row r="12724">
      <c r="S12724" s="27"/>
      <c r="T12724" s="27"/>
      <c r="U12724" s="27"/>
    </row>
    <row r="12725">
      <c r="S12725" s="27"/>
      <c r="T12725" s="27"/>
      <c r="U12725" s="27"/>
    </row>
    <row r="12727">
      <c r="S12727" s="27"/>
      <c r="T12727" s="27"/>
      <c r="U12727" s="27"/>
    </row>
    <row r="12728">
      <c r="S12728" s="27"/>
      <c r="T12728" s="27"/>
      <c r="U12728" s="27"/>
    </row>
    <row r="12730">
      <c r="S12730" s="27"/>
      <c r="T12730" s="27"/>
      <c r="U12730" s="27"/>
    </row>
    <row r="12731">
      <c r="S12731" s="27"/>
      <c r="T12731" s="27"/>
      <c r="U12731" s="27"/>
    </row>
    <row r="12733">
      <c r="S12733" s="27"/>
      <c r="T12733" s="27"/>
      <c r="U12733" s="27"/>
    </row>
    <row r="12734">
      <c r="S12734" s="27"/>
      <c r="T12734" s="27"/>
      <c r="U12734" s="27"/>
    </row>
    <row r="12736">
      <c r="S12736" s="27"/>
      <c r="T12736" s="27"/>
      <c r="U12736" s="27"/>
    </row>
    <row r="12737">
      <c r="S12737" s="27"/>
      <c r="T12737" s="27"/>
      <c r="U12737" s="27"/>
    </row>
    <row r="12739">
      <c r="S12739" s="27"/>
      <c r="T12739" s="27"/>
      <c r="U12739" s="27"/>
    </row>
    <row r="12740">
      <c r="S12740" s="27"/>
      <c r="T12740" s="27"/>
      <c r="U12740" s="27"/>
    </row>
    <row r="12742">
      <c r="S12742" s="27"/>
      <c r="T12742" s="27"/>
      <c r="U12742" s="27"/>
    </row>
    <row r="12743">
      <c r="S12743" s="27"/>
      <c r="T12743" s="27"/>
      <c r="U12743" s="27"/>
    </row>
    <row r="12745">
      <c r="S12745" s="27"/>
      <c r="T12745" s="27"/>
      <c r="U12745" s="27"/>
    </row>
    <row r="12746">
      <c r="S12746" s="27"/>
      <c r="T12746" s="27"/>
      <c r="U12746" s="27"/>
    </row>
    <row r="12748">
      <c r="S12748" s="27"/>
      <c r="T12748" s="27"/>
      <c r="U12748" s="27"/>
    </row>
    <row r="12749">
      <c r="S12749" s="27"/>
      <c r="T12749" s="27"/>
      <c r="U12749" s="27"/>
    </row>
    <row r="12751">
      <c r="S12751" s="27"/>
      <c r="T12751" s="27"/>
      <c r="U12751" s="27"/>
    </row>
    <row r="12752">
      <c r="S12752" s="27"/>
      <c r="T12752" s="27"/>
      <c r="U12752" s="27"/>
    </row>
    <row r="12754">
      <c r="S12754" s="27"/>
      <c r="T12754" s="27"/>
      <c r="U12754" s="27"/>
    </row>
    <row r="12755">
      <c r="S12755" s="27"/>
      <c r="T12755" s="27"/>
      <c r="U12755" s="27"/>
    </row>
    <row r="12757">
      <c r="S12757" s="27"/>
      <c r="T12757" s="27"/>
      <c r="U12757" s="27"/>
    </row>
    <row r="12758">
      <c r="S12758" s="27"/>
      <c r="T12758" s="27"/>
      <c r="U12758" s="27"/>
    </row>
    <row r="12760">
      <c r="S12760" s="27"/>
      <c r="T12760" s="27"/>
      <c r="U12760" s="27"/>
    </row>
    <row r="12761">
      <c r="S12761" s="27"/>
      <c r="T12761" s="27"/>
      <c r="U12761" s="27"/>
    </row>
    <row r="12763">
      <c r="S12763" s="27"/>
      <c r="T12763" s="27"/>
      <c r="U12763" s="27"/>
    </row>
    <row r="12764">
      <c r="S12764" s="27"/>
      <c r="T12764" s="27"/>
      <c r="U12764" s="27"/>
    </row>
    <row r="12766">
      <c r="S12766" s="33"/>
      <c r="T12766" s="33"/>
      <c r="U12766" s="27"/>
    </row>
    <row r="12767">
      <c r="S12767" s="33"/>
      <c r="T12767" s="33"/>
      <c r="U12767" s="27"/>
    </row>
    <row r="12769">
      <c r="S12769" s="27"/>
      <c r="T12769" s="27"/>
      <c r="U12769" s="27"/>
    </row>
    <row r="12770">
      <c r="S12770" s="27"/>
      <c r="T12770" s="27"/>
      <c r="U12770" s="27"/>
    </row>
    <row r="12772">
      <c r="S12772" s="27"/>
      <c r="T12772" s="27"/>
      <c r="U12772" s="27"/>
    </row>
    <row r="12773">
      <c r="S12773" s="27"/>
      <c r="T12773" s="27"/>
      <c r="U12773" s="27"/>
    </row>
    <row r="12778">
      <c r="U12778" s="27"/>
    </row>
    <row r="12779">
      <c r="S12779" s="27"/>
      <c r="T12779" s="27"/>
      <c r="U12779" s="27"/>
    </row>
    <row r="12781">
      <c r="S12781" s="27"/>
      <c r="T12781" s="27"/>
      <c r="U12781" s="27"/>
    </row>
    <row r="12784">
      <c r="S12784" s="33"/>
      <c r="T12784" s="27"/>
      <c r="U12784" s="33"/>
    </row>
    <row r="12785">
      <c r="S12785" s="27"/>
      <c r="T12785" s="27"/>
      <c r="U12785" s="27"/>
    </row>
    <row r="12787">
      <c r="S12787" s="27"/>
      <c r="T12787" s="27"/>
      <c r="U12787" s="27"/>
    </row>
    <row r="12788">
      <c r="S12788" s="27"/>
      <c r="T12788" s="27"/>
      <c r="U12788" s="27"/>
    </row>
    <row r="12790">
      <c r="S12790" s="27"/>
      <c r="T12790" s="27"/>
      <c r="U12790" s="27"/>
    </row>
    <row r="12793">
      <c r="S12793" s="27"/>
      <c r="T12793" s="27"/>
      <c r="U12793" s="27"/>
    </row>
    <row r="12794">
      <c r="S12794" s="27"/>
      <c r="T12794" s="27"/>
      <c r="U12794" s="27"/>
    </row>
    <row r="12796">
      <c r="S12796" s="27"/>
      <c r="T12796" s="27"/>
      <c r="U12796" s="27"/>
    </row>
    <row r="12797">
      <c r="S12797" s="27"/>
      <c r="T12797" s="27"/>
      <c r="U12797" s="27"/>
    </row>
    <row r="12799">
      <c r="S12799" s="27"/>
      <c r="T12799" s="27"/>
      <c r="U12799" s="27"/>
    </row>
    <row r="12800">
      <c r="S12800" s="27"/>
      <c r="T12800" s="27"/>
      <c r="U12800" s="27"/>
    </row>
    <row r="12805">
      <c r="S12805" s="26"/>
      <c r="T12805" s="26"/>
    </row>
    <row r="12808">
      <c r="T12808" s="27"/>
      <c r="U12808" s="27"/>
    </row>
    <row r="12810">
      <c r="S12810" s="27"/>
      <c r="T12810" s="27"/>
      <c r="U12810" s="27"/>
    </row>
    <row r="12812">
      <c r="S12812" s="26"/>
      <c r="T12812" s="26"/>
      <c r="U12812" s="26"/>
    </row>
    <row r="12815">
      <c r="S12815" s="27"/>
      <c r="T12815" s="27"/>
      <c r="U12815" s="27"/>
    </row>
    <row r="12818">
      <c r="S12818" s="27"/>
      <c r="T12818" s="27"/>
      <c r="U12818" s="27"/>
    </row>
    <row r="12819">
      <c r="S12819" s="26"/>
      <c r="T12819" s="26"/>
      <c r="U12819" s="26"/>
    </row>
    <row r="12821">
      <c r="S12821" s="26"/>
      <c r="T12821" s="26"/>
      <c r="U12821" s="26"/>
    </row>
    <row r="12822">
      <c r="S12822" s="26"/>
      <c r="T12822" s="26"/>
      <c r="U12822" s="26"/>
    </row>
    <row r="12824">
      <c r="S12824" s="27"/>
      <c r="U12824" s="33"/>
    </row>
    <row r="12825">
      <c r="S12825" s="27"/>
      <c r="T12825" s="27"/>
      <c r="U12825" s="27"/>
    </row>
    <row r="12827">
      <c r="S12827" s="27"/>
      <c r="T12827" s="27"/>
      <c r="U12827" s="27"/>
    </row>
    <row r="12828">
      <c r="S12828" s="27"/>
      <c r="T12828" s="27"/>
      <c r="U12828" s="27"/>
    </row>
    <row r="12830">
      <c r="S12830" s="27"/>
      <c r="T12830" s="27"/>
      <c r="U12830" s="27"/>
    </row>
    <row r="12831">
      <c r="S12831" s="27"/>
      <c r="T12831" s="27"/>
      <c r="U12831" s="27"/>
    </row>
    <row r="12833">
      <c r="S12833" s="26"/>
      <c r="T12833" s="26"/>
      <c r="U12833" s="26"/>
    </row>
    <row r="12836">
      <c r="S12836" s="27"/>
      <c r="T12836" s="27"/>
      <c r="U12836" s="27"/>
    </row>
    <row r="12837">
      <c r="S12837" s="27"/>
      <c r="T12837" s="27"/>
      <c r="U12837" s="27"/>
    </row>
    <row r="12839">
      <c r="S12839" s="27"/>
      <c r="T12839" s="27"/>
      <c r="U12839" s="33"/>
    </row>
    <row r="12840">
      <c r="S12840" s="27"/>
      <c r="T12840" s="27"/>
    </row>
    <row r="12842">
      <c r="S12842" s="27"/>
      <c r="T12842" s="27"/>
      <c r="U12842" s="27"/>
    </row>
    <row r="12843">
      <c r="S12843" s="27"/>
      <c r="T12843" s="27"/>
      <c r="U12843" s="27"/>
    </row>
    <row r="12845">
      <c r="S12845" s="27"/>
      <c r="T12845" s="33"/>
      <c r="U12845" s="33"/>
    </row>
    <row r="12848">
      <c r="S12848" s="27"/>
      <c r="T12848" s="27"/>
      <c r="U12848" s="27"/>
    </row>
    <row r="12849">
      <c r="S12849" s="27"/>
      <c r="T12849" s="27"/>
      <c r="U12849" s="27"/>
    </row>
    <row r="12851">
      <c r="S12851" s="27"/>
      <c r="T12851" s="27"/>
      <c r="U12851" s="27"/>
    </row>
    <row r="12854">
      <c r="S12854" s="27"/>
      <c r="T12854" s="27"/>
      <c r="U12854" s="27"/>
    </row>
    <row r="12855">
      <c r="S12855" s="33"/>
      <c r="T12855" s="33"/>
      <c r="U12855" s="33"/>
    </row>
    <row r="12857">
      <c r="S12857" s="27"/>
      <c r="T12857" s="27"/>
      <c r="U12857" s="27"/>
    </row>
    <row r="12860">
      <c r="S12860" s="27"/>
      <c r="T12860" s="27"/>
      <c r="U12860" s="27"/>
    </row>
    <row r="12861">
      <c r="S12861" s="27"/>
      <c r="T12861" s="27"/>
      <c r="U12861" s="27"/>
    </row>
    <row r="12863">
      <c r="S12863" s="27"/>
      <c r="T12863" s="27"/>
      <c r="U12863" s="27"/>
    </row>
    <row r="12864">
      <c r="S12864" s="27"/>
      <c r="T12864" s="27"/>
      <c r="U12864" s="27"/>
    </row>
    <row r="12866">
      <c r="S12866" s="27"/>
      <c r="T12866" s="27"/>
      <c r="U12866" s="27"/>
    </row>
    <row r="12867">
      <c r="S12867" s="27"/>
      <c r="T12867" s="27"/>
      <c r="U12867" s="27"/>
    </row>
    <row r="12869">
      <c r="S12869" s="27"/>
      <c r="T12869" s="27"/>
      <c r="U12869" s="27"/>
    </row>
    <row r="12870">
      <c r="S12870" s="27"/>
      <c r="T12870" s="27"/>
      <c r="U12870" s="27"/>
    </row>
    <row r="12872">
      <c r="T12872" s="26"/>
      <c r="U12872" s="26"/>
    </row>
    <row r="12875">
      <c r="S12875" s="27"/>
      <c r="T12875" s="27"/>
      <c r="U12875" s="27"/>
    </row>
    <row r="12876">
      <c r="S12876" s="27"/>
      <c r="T12876" s="27"/>
      <c r="U12876" s="27"/>
    </row>
    <row r="12878">
      <c r="S12878" s="27"/>
      <c r="T12878" s="27"/>
      <c r="U12878" s="27"/>
    </row>
    <row r="12879">
      <c r="S12879" s="27"/>
      <c r="T12879" s="27"/>
      <c r="U12879" s="27"/>
    </row>
    <row r="12881">
      <c r="S12881" s="27"/>
      <c r="T12881" s="27"/>
      <c r="U12881" s="27"/>
    </row>
    <row r="12882">
      <c r="U12882" s="26"/>
    </row>
    <row r="12884">
      <c r="T12884" s="27"/>
      <c r="U12884" s="27"/>
    </row>
    <row r="12885">
      <c r="S12885" s="27"/>
      <c r="T12885" s="27"/>
      <c r="U12885" s="27"/>
    </row>
    <row r="12887">
      <c r="S12887" s="27"/>
      <c r="T12887" s="27"/>
      <c r="U12887" s="27"/>
    </row>
    <row r="12888">
      <c r="S12888" s="27"/>
      <c r="T12888" s="27"/>
      <c r="U12888" s="27"/>
    </row>
    <row r="12890">
      <c r="S12890" s="27"/>
      <c r="T12890" s="27"/>
      <c r="U12890" s="27"/>
    </row>
    <row r="12891">
      <c r="S12891" s="27"/>
      <c r="T12891" s="27"/>
      <c r="U12891" s="27"/>
    </row>
    <row r="12894">
      <c r="S12894" s="27"/>
      <c r="T12894" s="27"/>
      <c r="U12894" s="27"/>
    </row>
    <row r="12895">
      <c r="S12895" s="27"/>
      <c r="T12895" s="27"/>
      <c r="U12895" s="27"/>
    </row>
    <row r="12900">
      <c r="S12900" s="27"/>
      <c r="T12900" s="27"/>
      <c r="U12900" s="27"/>
    </row>
    <row r="12903">
      <c r="S12903" s="27"/>
      <c r="T12903" s="27"/>
      <c r="U12903" s="27"/>
    </row>
    <row r="12904">
      <c r="S12904" s="27"/>
      <c r="T12904" s="27"/>
      <c r="U12904" s="27"/>
    </row>
    <row r="12906">
      <c r="S12906" s="27"/>
      <c r="T12906" s="27"/>
      <c r="U12906" s="27"/>
    </row>
    <row r="12907">
      <c r="S12907" s="27"/>
      <c r="T12907" s="27"/>
      <c r="U12907" s="27"/>
    </row>
    <row r="12909">
      <c r="S12909" s="27"/>
      <c r="T12909" s="27"/>
      <c r="U12909" s="27"/>
    </row>
    <row r="12910">
      <c r="S12910" s="27"/>
      <c r="T12910" s="27"/>
      <c r="U12910" s="27"/>
    </row>
    <row r="12912">
      <c r="S12912" s="26"/>
      <c r="T12912" s="26"/>
    </row>
    <row r="12913">
      <c r="S12913" s="26"/>
      <c r="T12913" s="26"/>
      <c r="U12913" s="26"/>
    </row>
    <row r="12915">
      <c r="S12915" s="27"/>
      <c r="T12915" s="27"/>
      <c r="U12915" s="27"/>
    </row>
    <row r="12916">
      <c r="S12916" s="27"/>
      <c r="T12916" s="27"/>
      <c r="U12916" s="27"/>
    </row>
    <row r="12918">
      <c r="S12918" s="27"/>
      <c r="T12918" s="27"/>
      <c r="U12918" s="27"/>
    </row>
    <row r="12919">
      <c r="S12919" s="27"/>
      <c r="T12919" s="27"/>
      <c r="U12919" s="27"/>
    </row>
    <row r="12921">
      <c r="S12921" s="27"/>
      <c r="T12921" s="27"/>
      <c r="U12921" s="27"/>
    </row>
    <row r="12924">
      <c r="S12924" s="27"/>
      <c r="T12924" s="27"/>
      <c r="U12924" s="27"/>
    </row>
    <row r="12925">
      <c r="S12925" s="27"/>
      <c r="T12925" s="27"/>
      <c r="U12925" s="27"/>
    </row>
    <row r="12927">
      <c r="S12927" s="27"/>
      <c r="T12927" s="27"/>
      <c r="U12927" s="27"/>
    </row>
    <row r="12928">
      <c r="S12928" s="27"/>
      <c r="T12928" s="27"/>
      <c r="U12928" s="27"/>
    </row>
    <row r="12930">
      <c r="S12930" s="27"/>
      <c r="T12930" s="27"/>
      <c r="U12930" s="27"/>
    </row>
    <row r="12931">
      <c r="S12931" s="27"/>
      <c r="T12931" s="27"/>
      <c r="U12931" s="27"/>
    </row>
    <row r="12933">
      <c r="S12933" s="27"/>
      <c r="T12933" s="27"/>
      <c r="U12933" s="27"/>
    </row>
    <row r="12934">
      <c r="S12934" s="27"/>
      <c r="T12934" s="27"/>
      <c r="U12934" s="27"/>
    </row>
    <row r="12936">
      <c r="S12936" s="27"/>
      <c r="T12936" s="27"/>
      <c r="U12936" s="27"/>
    </row>
    <row r="12937">
      <c r="S12937" s="27"/>
      <c r="T12937" s="27"/>
      <c r="U12937" s="27"/>
    </row>
    <row r="12939">
      <c r="S12939" s="27"/>
      <c r="T12939" s="27"/>
      <c r="U12939" s="27"/>
    </row>
    <row r="12940">
      <c r="S12940" s="27"/>
      <c r="T12940" s="27"/>
      <c r="U12940" s="27"/>
    </row>
    <row r="12942">
      <c r="S12942" s="27"/>
      <c r="T12942" s="27"/>
      <c r="U12942" s="27"/>
    </row>
    <row r="12943">
      <c r="S12943" s="27"/>
      <c r="T12943" s="27"/>
      <c r="U12943" s="27"/>
    </row>
    <row r="12945">
      <c r="S12945" s="27"/>
      <c r="T12945" s="27"/>
      <c r="U12945" s="27"/>
    </row>
    <row r="12946">
      <c r="S12946" s="27"/>
      <c r="T12946" s="27"/>
      <c r="U12946" s="27"/>
    </row>
    <row r="12948">
      <c r="S12948" s="27"/>
      <c r="T12948" s="27"/>
      <c r="U12948" s="27"/>
    </row>
    <row r="12949">
      <c r="S12949" s="27"/>
      <c r="T12949" s="27"/>
      <c r="U12949" s="27"/>
    </row>
    <row r="12951">
      <c r="S12951" s="27"/>
      <c r="T12951" s="27"/>
      <c r="U12951" s="27"/>
    </row>
    <row r="12952">
      <c r="S12952" s="27"/>
      <c r="T12952" s="27"/>
      <c r="U12952" s="27"/>
    </row>
    <row r="12954">
      <c r="S12954" s="27"/>
      <c r="T12954" s="27"/>
      <c r="U12954" s="27"/>
    </row>
    <row r="12955">
      <c r="S12955" s="27"/>
      <c r="T12955" s="27"/>
      <c r="U12955" s="27"/>
    </row>
    <row r="12957">
      <c r="S12957" s="27"/>
      <c r="T12957" s="27"/>
      <c r="U12957" s="27"/>
    </row>
    <row r="12958">
      <c r="S12958" s="27"/>
      <c r="T12958" s="27"/>
      <c r="U12958" s="27"/>
    </row>
    <row r="12960">
      <c r="S12960" s="27"/>
      <c r="T12960" s="27"/>
      <c r="U12960" s="27"/>
    </row>
    <row r="12961">
      <c r="S12961" s="27"/>
      <c r="T12961" s="27"/>
      <c r="U12961" s="27"/>
    </row>
    <row r="12963">
      <c r="S12963" s="27"/>
      <c r="T12963" s="27"/>
      <c r="U12963" s="27"/>
    </row>
    <row r="12964">
      <c r="S12964" s="27"/>
      <c r="T12964" s="27"/>
      <c r="U12964" s="27"/>
    </row>
    <row r="12966">
      <c r="S12966" s="27"/>
      <c r="T12966" s="27"/>
      <c r="U12966" s="27"/>
    </row>
    <row r="12967">
      <c r="S12967" s="27"/>
      <c r="T12967" s="27"/>
      <c r="U12967" s="27"/>
    </row>
    <row r="12969">
      <c r="S12969" s="27"/>
      <c r="T12969" s="27"/>
      <c r="U12969" s="27"/>
    </row>
    <row r="12970">
      <c r="S12970" s="27"/>
      <c r="T12970" s="27"/>
      <c r="U12970" s="27"/>
    </row>
    <row r="12972">
      <c r="S12972" s="27"/>
      <c r="T12972" s="27"/>
      <c r="U12972" s="27"/>
    </row>
    <row r="12973">
      <c r="S12973" s="27"/>
      <c r="T12973" s="27"/>
      <c r="U12973" s="27"/>
    </row>
    <row r="12975">
      <c r="S12975" s="27"/>
      <c r="T12975" s="27"/>
      <c r="U12975" s="27"/>
    </row>
    <row r="12976">
      <c r="S12976" s="27"/>
      <c r="T12976" s="27"/>
      <c r="U12976" s="27"/>
    </row>
    <row r="12978">
      <c r="S12978" s="27"/>
      <c r="T12978" s="27"/>
      <c r="U12978" s="27"/>
    </row>
    <row r="12979">
      <c r="S12979" s="27"/>
      <c r="T12979" s="27"/>
      <c r="U12979" s="27"/>
    </row>
    <row r="12981">
      <c r="S12981" s="27"/>
      <c r="T12981" s="27"/>
      <c r="U12981" s="27"/>
    </row>
    <row r="12982">
      <c r="S12982" s="27"/>
      <c r="T12982" s="27"/>
      <c r="U12982" s="27"/>
    </row>
    <row r="12984">
      <c r="S12984" s="27"/>
      <c r="T12984" s="27"/>
      <c r="U12984" s="27"/>
    </row>
    <row r="12985">
      <c r="S12985" s="27"/>
      <c r="T12985" s="27"/>
      <c r="U12985" s="27"/>
    </row>
    <row r="12987">
      <c r="S12987" s="27"/>
      <c r="T12987" s="27"/>
      <c r="U12987" s="27"/>
    </row>
    <row r="12988">
      <c r="S12988" s="27"/>
      <c r="T12988" s="27"/>
      <c r="U12988" s="27"/>
    </row>
    <row r="12990">
      <c r="S12990" s="27"/>
      <c r="T12990" s="27"/>
      <c r="U12990" s="27"/>
    </row>
    <row r="12991">
      <c r="S12991" s="27"/>
      <c r="T12991" s="27"/>
      <c r="U12991" s="27"/>
    </row>
    <row r="12993">
      <c r="S12993" s="27"/>
      <c r="T12993" s="27"/>
      <c r="U12993" s="27"/>
    </row>
    <row r="12994">
      <c r="S12994" s="27"/>
      <c r="T12994" s="27"/>
      <c r="U12994" s="27"/>
    </row>
    <row r="12996">
      <c r="S12996" s="27"/>
      <c r="T12996" s="27"/>
      <c r="U12996" s="27"/>
    </row>
    <row r="12997">
      <c r="S12997" s="27"/>
      <c r="T12997" s="27"/>
      <c r="U12997" s="27"/>
    </row>
    <row r="12999">
      <c r="S12999" s="27"/>
      <c r="T12999" s="27"/>
      <c r="U12999" s="27"/>
    </row>
    <row r="13000">
      <c r="S13000" s="27"/>
      <c r="T13000" s="27"/>
      <c r="U13000" s="27"/>
    </row>
    <row r="13002">
      <c r="S13002" s="27"/>
      <c r="T13002" s="27"/>
      <c r="U13002" s="27"/>
    </row>
    <row r="13003">
      <c r="S13003" s="27"/>
      <c r="T13003" s="27"/>
      <c r="U13003" s="27"/>
    </row>
    <row r="13005">
      <c r="S13005" s="27"/>
      <c r="T13005" s="27"/>
      <c r="U13005" s="27"/>
    </row>
    <row r="13006">
      <c r="S13006" s="27"/>
      <c r="T13006" s="27"/>
      <c r="U13006" s="27"/>
    </row>
    <row r="13008">
      <c r="S13008" s="27"/>
      <c r="T13008" s="27"/>
      <c r="U13008" s="27"/>
    </row>
    <row r="13009">
      <c r="S13009" s="27"/>
      <c r="T13009" s="27"/>
      <c r="U13009" s="27"/>
    </row>
    <row r="13011">
      <c r="S13011" s="27"/>
      <c r="T13011" s="27"/>
      <c r="U13011" s="27"/>
    </row>
    <row r="13013">
      <c r="S13013" s="27"/>
      <c r="T13013" s="27"/>
      <c r="U13013" s="27"/>
    </row>
    <row r="13014">
      <c r="S13014" s="27"/>
      <c r="T13014" s="27"/>
      <c r="U13014" s="27"/>
    </row>
    <row r="13016">
      <c r="S13016" s="27"/>
      <c r="T13016" s="27"/>
      <c r="U13016" s="27"/>
    </row>
    <row r="13017">
      <c r="S13017" s="27"/>
      <c r="T13017" s="27"/>
      <c r="U13017" s="27"/>
    </row>
    <row r="13019">
      <c r="S13019" s="27"/>
      <c r="T13019" s="27"/>
      <c r="U13019" s="27"/>
    </row>
    <row r="13020">
      <c r="S13020" s="27"/>
      <c r="T13020" s="27"/>
      <c r="U13020" s="27"/>
    </row>
    <row r="13022">
      <c r="S13022" s="27"/>
      <c r="T13022" s="27"/>
      <c r="U13022" s="27"/>
    </row>
    <row r="13023">
      <c r="S13023" s="27"/>
      <c r="T13023" s="27"/>
      <c r="U13023" s="27"/>
    </row>
    <row r="13025">
      <c r="S13025" s="27"/>
      <c r="T13025" s="27"/>
      <c r="U13025" s="27"/>
    </row>
    <row r="13026">
      <c r="S13026" s="27"/>
      <c r="T13026" s="27"/>
      <c r="U13026" s="27"/>
    </row>
    <row r="13028">
      <c r="S13028" s="27"/>
      <c r="T13028" s="27"/>
      <c r="U13028" s="27"/>
    </row>
    <row r="13029">
      <c r="S13029" s="27"/>
      <c r="T13029" s="27"/>
      <c r="U13029" s="27"/>
    </row>
    <row r="13031">
      <c r="S13031" s="27"/>
      <c r="T13031" s="27"/>
      <c r="U13031" s="27"/>
    </row>
    <row r="13032">
      <c r="S13032" s="27"/>
      <c r="T13032" s="27"/>
      <c r="U13032" s="27"/>
    </row>
    <row r="13034">
      <c r="S13034" s="27"/>
      <c r="T13034" s="27"/>
      <c r="U13034" s="27"/>
    </row>
    <row r="13036">
      <c r="S13036" s="27"/>
      <c r="T13036" s="27"/>
      <c r="U13036" s="27"/>
    </row>
    <row r="13038">
      <c r="S13038" s="27"/>
      <c r="T13038" s="27"/>
      <c r="U13038" s="27"/>
    </row>
    <row r="13040">
      <c r="S13040" s="27"/>
      <c r="T13040" s="27"/>
      <c r="U13040" s="27"/>
    </row>
    <row r="13042">
      <c r="S13042" s="27"/>
      <c r="T13042" s="27"/>
      <c r="U13042" s="27"/>
    </row>
    <row r="13043">
      <c r="S13043" s="27"/>
      <c r="T13043" s="27"/>
      <c r="U13043" s="27"/>
    </row>
    <row r="13045">
      <c r="S13045" s="27"/>
      <c r="T13045" s="27"/>
      <c r="U13045" s="27"/>
    </row>
    <row r="13046">
      <c r="S13046" s="27"/>
      <c r="T13046" s="27"/>
      <c r="U13046" s="27"/>
    </row>
    <row r="13048">
      <c r="S13048" s="27"/>
      <c r="T13048" s="27"/>
      <c r="U13048" s="27"/>
    </row>
    <row r="13049">
      <c r="S13049" s="33"/>
      <c r="T13049" s="33"/>
      <c r="U13049" s="33"/>
    </row>
    <row r="13051">
      <c r="S13051" s="27"/>
      <c r="T13051" s="27"/>
      <c r="U13051" s="27"/>
    </row>
    <row r="13052">
      <c r="S13052" s="27"/>
      <c r="T13052" s="27"/>
      <c r="U13052" s="27"/>
    </row>
    <row r="13055">
      <c r="S13055" s="27"/>
      <c r="T13055" s="27"/>
      <c r="U13055" s="27"/>
    </row>
    <row r="13057">
      <c r="S13057" s="27"/>
      <c r="T13057" s="27"/>
      <c r="U13057" s="27"/>
    </row>
    <row r="13058">
      <c r="S13058" s="27"/>
      <c r="T13058" s="27"/>
      <c r="U13058" s="27"/>
    </row>
    <row r="13060">
      <c r="S13060" s="27"/>
      <c r="T13060" s="27"/>
      <c r="U13060" s="27"/>
    </row>
    <row r="13061">
      <c r="S13061" s="27"/>
      <c r="T13061" s="27"/>
      <c r="U13061" s="27"/>
    </row>
    <row r="13063">
      <c r="S13063" s="27"/>
      <c r="T13063" s="27"/>
      <c r="U13063" s="27"/>
    </row>
    <row r="13066">
      <c r="S13066" s="27"/>
      <c r="T13066" s="26"/>
      <c r="U13066" s="26"/>
    </row>
    <row r="13069">
      <c r="S13069" s="27"/>
      <c r="T13069" s="27"/>
      <c r="U13069" s="27"/>
    </row>
    <row r="13070">
      <c r="S13070" s="27"/>
      <c r="T13070" s="27"/>
      <c r="U13070" s="27"/>
    </row>
    <row r="13072">
      <c r="S13072" s="27"/>
      <c r="T13072" s="27"/>
      <c r="U13072" s="27"/>
    </row>
    <row r="13073">
      <c r="S13073" s="27"/>
      <c r="T13073" s="27"/>
      <c r="U13073" s="27"/>
    </row>
    <row r="13075">
      <c r="S13075" s="27"/>
      <c r="T13075" s="27"/>
      <c r="U13075" s="27"/>
    </row>
    <row r="13076">
      <c r="S13076" s="27"/>
      <c r="T13076" s="27"/>
      <c r="U13076" s="27"/>
    </row>
    <row r="13078">
      <c r="S13078" s="26"/>
      <c r="T13078" s="26"/>
      <c r="U13078" s="27"/>
    </row>
    <row r="13081">
      <c r="S13081" s="27"/>
      <c r="T13081" s="27"/>
      <c r="U13081" s="27"/>
    </row>
    <row r="13082">
      <c r="S13082" s="27"/>
      <c r="T13082" s="27"/>
      <c r="U13082" s="27"/>
    </row>
    <row r="13084">
      <c r="S13084" s="27"/>
      <c r="T13084" s="27"/>
      <c r="U13084" s="27"/>
    </row>
    <row r="13085">
      <c r="S13085" s="27"/>
      <c r="T13085" s="27"/>
      <c r="U13085" s="27"/>
    </row>
    <row r="13087">
      <c r="S13087" s="27"/>
      <c r="U13087" s="27"/>
    </row>
    <row r="13088">
      <c r="S13088" s="27"/>
      <c r="T13088" s="27"/>
      <c r="U13088" s="27"/>
    </row>
    <row r="13090">
      <c r="S13090" s="27"/>
    </row>
    <row r="13093">
      <c r="S13093" s="26"/>
      <c r="T13093" s="26"/>
      <c r="U13093" s="26"/>
    </row>
    <row r="13096">
      <c r="S13096" s="27"/>
      <c r="T13096" s="27"/>
      <c r="U13096" s="27"/>
    </row>
    <row r="13097">
      <c r="S13097" s="27"/>
      <c r="T13097" s="27"/>
      <c r="U13097" s="27"/>
    </row>
    <row r="13099">
      <c r="S13099" s="27"/>
      <c r="T13099" s="27"/>
      <c r="U13099" s="27"/>
    </row>
    <row r="13100">
      <c r="S13100" s="27"/>
      <c r="T13100" s="27"/>
      <c r="U13100" s="27"/>
    </row>
    <row r="13102">
      <c r="S13102" s="27"/>
      <c r="T13102" s="27"/>
      <c r="U13102" s="27"/>
    </row>
    <row r="13108">
      <c r="S13108" s="27"/>
      <c r="T13108" s="27"/>
      <c r="U13108" s="27"/>
    </row>
    <row r="13111">
      <c r="S13111" s="27"/>
      <c r="T13111" s="27"/>
      <c r="U13111" s="27"/>
    </row>
    <row r="13112">
      <c r="S13112" s="27"/>
      <c r="T13112" s="27"/>
      <c r="U13112" s="27"/>
    </row>
    <row r="13114">
      <c r="S13114" s="27"/>
      <c r="T13114" s="27"/>
      <c r="U13114" s="27"/>
    </row>
    <row r="13115">
      <c r="S13115" s="27"/>
      <c r="T13115" s="27"/>
      <c r="U13115" s="27"/>
    </row>
    <row r="13117">
      <c r="S13117" s="27"/>
      <c r="T13117" s="27"/>
      <c r="U13117" s="27"/>
    </row>
    <row r="13118">
      <c r="S13118" s="27"/>
      <c r="T13118" s="27"/>
      <c r="U13118" s="27"/>
    </row>
    <row r="13120">
      <c r="S13120" s="27"/>
      <c r="T13120" s="27"/>
      <c r="U13120" s="27"/>
    </row>
    <row r="13121">
      <c r="S13121" s="27"/>
      <c r="T13121" s="27"/>
      <c r="U13121" s="27"/>
    </row>
    <row r="13123">
      <c r="S13123" s="27"/>
      <c r="T13123" s="27"/>
      <c r="U13123" s="27"/>
    </row>
    <row r="13124">
      <c r="S13124" s="27"/>
      <c r="T13124" s="27"/>
      <c r="U13124" s="27"/>
    </row>
    <row r="13126">
      <c r="S13126" s="27"/>
      <c r="T13126" s="27"/>
      <c r="U13126" s="27"/>
    </row>
    <row r="13127">
      <c r="S13127" s="27"/>
      <c r="T13127" s="27"/>
      <c r="U13127" s="27"/>
    </row>
    <row r="13129">
      <c r="S13129" s="27"/>
      <c r="T13129" s="27"/>
      <c r="U13129" s="27"/>
    </row>
    <row r="13130">
      <c r="S13130" s="27"/>
      <c r="T13130" s="27"/>
      <c r="U13130" s="27"/>
    </row>
    <row r="13132">
      <c r="S13132" s="27"/>
      <c r="T13132" s="27"/>
      <c r="U13132" s="27"/>
    </row>
    <row r="13133">
      <c r="S13133" s="27"/>
      <c r="T13133" s="27"/>
      <c r="U13133" s="27"/>
    </row>
    <row r="13135">
      <c r="S13135" s="27"/>
      <c r="T13135" s="27"/>
      <c r="U13135" s="27"/>
    </row>
    <row r="13136">
      <c r="S13136" s="27"/>
      <c r="T13136" s="27"/>
      <c r="U13136" s="27"/>
    </row>
    <row r="13138">
      <c r="S13138" s="27"/>
      <c r="T13138" s="27"/>
      <c r="U13138" s="27"/>
    </row>
    <row r="13139">
      <c r="S13139" s="27"/>
      <c r="T13139" s="27"/>
      <c r="U13139" s="27"/>
    </row>
    <row r="13141">
      <c r="S13141" s="27"/>
      <c r="T13141" s="27"/>
      <c r="U13141" s="26"/>
    </row>
    <row r="13142">
      <c r="S13142" s="27"/>
      <c r="T13142" s="27"/>
      <c r="U13142" s="26"/>
    </row>
    <row r="13144">
      <c r="S13144" s="27"/>
      <c r="T13144" s="27"/>
      <c r="U13144" s="27"/>
    </row>
    <row r="13145">
      <c r="S13145" s="27"/>
      <c r="T13145" s="27"/>
      <c r="U13145" s="27"/>
    </row>
    <row r="13147">
      <c r="S13147" s="27"/>
      <c r="T13147" s="27"/>
      <c r="U13147" s="27"/>
    </row>
    <row r="13148">
      <c r="S13148" s="27"/>
      <c r="T13148" s="27"/>
      <c r="U13148" s="27"/>
    </row>
    <row r="13150">
      <c r="S13150" s="27"/>
      <c r="T13150" s="27"/>
      <c r="U13150" s="27"/>
    </row>
    <row r="13151">
      <c r="S13151" s="27"/>
      <c r="T13151" s="27"/>
      <c r="U13151" s="27"/>
    </row>
    <row r="13153">
      <c r="S13153" s="27"/>
      <c r="T13153" s="27"/>
      <c r="U13153" s="27"/>
    </row>
    <row r="13154">
      <c r="S13154" s="27"/>
      <c r="T13154" s="27"/>
      <c r="U13154" s="27"/>
    </row>
    <row r="13156">
      <c r="S13156" s="27"/>
      <c r="T13156" s="27"/>
      <c r="U13156" s="27"/>
    </row>
    <row r="13157">
      <c r="S13157" s="27"/>
      <c r="T13157" s="27"/>
      <c r="U13157" s="27"/>
    </row>
    <row r="13159">
      <c r="S13159" s="27"/>
      <c r="T13159" s="27"/>
      <c r="U13159" s="27"/>
    </row>
    <row r="13160">
      <c r="S13160" s="27"/>
      <c r="T13160" s="27"/>
      <c r="U13160" s="27"/>
    </row>
    <row r="13162">
      <c r="S13162" s="27"/>
      <c r="T13162" s="27"/>
      <c r="U13162" s="27"/>
    </row>
    <row r="13163">
      <c r="S13163" s="27"/>
      <c r="T13163" s="27"/>
      <c r="U13163" s="27"/>
    </row>
    <row r="13165">
      <c r="S13165" s="27"/>
      <c r="T13165" s="27"/>
      <c r="U13165" s="27"/>
    </row>
    <row r="13166">
      <c r="S13166" s="27"/>
      <c r="T13166" s="27"/>
      <c r="U13166" s="27"/>
    </row>
    <row r="13168">
      <c r="S13168" s="27"/>
      <c r="T13168" s="27"/>
      <c r="U13168" s="27"/>
    </row>
    <row r="13169">
      <c r="S13169" s="27"/>
      <c r="T13169" s="27"/>
      <c r="U13169" s="27"/>
    </row>
    <row r="13171">
      <c r="S13171" s="27"/>
      <c r="T13171" s="27"/>
      <c r="U13171" s="27"/>
    </row>
    <row r="13172">
      <c r="S13172" s="27"/>
      <c r="T13172" s="27"/>
      <c r="U13172" s="27"/>
    </row>
    <row r="13174">
      <c r="S13174" s="27"/>
      <c r="T13174" s="27"/>
      <c r="U13174" s="27"/>
    </row>
    <row r="13175">
      <c r="S13175" s="27"/>
      <c r="T13175" s="27"/>
      <c r="U13175" s="27"/>
    </row>
    <row r="13177">
      <c r="S13177" s="27"/>
      <c r="T13177" s="27"/>
      <c r="U13177" s="27"/>
    </row>
    <row r="13178">
      <c r="S13178" s="27"/>
      <c r="T13178" s="27"/>
      <c r="U13178" s="27"/>
    </row>
    <row r="13180">
      <c r="S13180" s="27"/>
      <c r="T13180" s="27"/>
      <c r="U13180" s="27"/>
    </row>
    <row r="13181">
      <c r="S13181" s="27"/>
      <c r="T13181" s="27"/>
      <c r="U13181" s="27"/>
    </row>
    <row r="13186">
      <c r="S13186" s="27"/>
      <c r="T13186" s="27"/>
      <c r="U13186" s="27"/>
    </row>
    <row r="13187">
      <c r="S13187" s="27"/>
      <c r="T13187" s="27"/>
      <c r="U13187" s="27"/>
    </row>
    <row r="13189">
      <c r="S13189" s="27"/>
      <c r="T13189" s="27"/>
      <c r="U13189" s="27"/>
    </row>
    <row r="13192">
      <c r="S13192" s="33"/>
      <c r="T13192" s="33"/>
      <c r="U13192" s="27"/>
    </row>
    <row r="13193">
      <c r="S13193" s="27"/>
      <c r="T13193" s="27"/>
      <c r="U13193" s="27"/>
    </row>
    <row r="13195">
      <c r="S13195" s="27"/>
      <c r="T13195" s="27"/>
      <c r="U13195" s="27"/>
    </row>
    <row r="13196">
      <c r="S13196" s="27"/>
      <c r="T13196" s="27"/>
      <c r="U13196" s="27"/>
    </row>
    <row r="13198">
      <c r="S13198" s="27"/>
      <c r="T13198" s="27"/>
      <c r="U13198" s="27"/>
    </row>
    <row r="13199">
      <c r="S13199" s="26"/>
      <c r="T13199" s="26"/>
      <c r="U13199" s="26"/>
    </row>
    <row r="13201">
      <c r="S13201" s="27"/>
      <c r="T13201" s="27"/>
      <c r="U13201" s="27"/>
    </row>
    <row r="13202">
      <c r="S13202" s="27"/>
      <c r="T13202" s="27"/>
      <c r="U13202" s="27"/>
    </row>
    <row r="13204">
      <c r="S13204" s="27"/>
      <c r="T13204" s="27"/>
      <c r="U13204" s="27"/>
    </row>
    <row r="13205">
      <c r="S13205" s="27"/>
      <c r="T13205" s="27"/>
      <c r="U13205" s="27"/>
    </row>
    <row r="13207">
      <c r="S13207" s="27"/>
      <c r="T13207" s="27"/>
      <c r="U13207" s="27"/>
    </row>
    <row r="13208">
      <c r="S13208" s="27"/>
      <c r="T13208" s="27"/>
      <c r="U13208" s="27"/>
    </row>
    <row r="13210">
      <c r="S13210" s="26"/>
      <c r="T13210" s="26"/>
      <c r="U13210" s="26"/>
    </row>
    <row r="13213">
      <c r="S13213" s="26"/>
      <c r="T13213" s="26"/>
      <c r="U13213" s="26"/>
    </row>
    <row r="13216">
      <c r="T13216" s="27"/>
      <c r="U13216" s="27"/>
    </row>
    <row r="13218">
      <c r="S13218" s="27"/>
      <c r="T13218" s="27"/>
      <c r="U13218" s="27"/>
    </row>
    <row r="13220">
      <c r="S13220" s="26"/>
      <c r="T13220" s="26"/>
      <c r="U13220" s="26"/>
    </row>
    <row r="13226">
      <c r="S13226" s="27"/>
      <c r="T13226" s="27"/>
      <c r="U13226" s="27"/>
    </row>
    <row r="13227">
      <c r="S13227" s="27"/>
      <c r="T13227" s="27"/>
      <c r="U13227" s="27"/>
    </row>
    <row r="13229">
      <c r="S13229" s="27"/>
      <c r="T13229" s="27"/>
      <c r="U13229" s="27"/>
    </row>
    <row r="13230">
      <c r="S13230" s="27"/>
      <c r="T13230" s="27"/>
      <c r="U13230" s="27"/>
    </row>
    <row r="13232">
      <c r="S13232" s="27"/>
      <c r="T13232" s="27"/>
      <c r="U13232" s="27"/>
    </row>
    <row r="13233">
      <c r="U13233" s="27"/>
    </row>
    <row r="13235">
      <c r="S13235" s="27"/>
      <c r="T13235" s="27"/>
      <c r="U13235" s="27"/>
    </row>
    <row r="13238">
      <c r="S13238" s="27"/>
      <c r="T13238" s="27"/>
      <c r="U13238" s="27"/>
    </row>
    <row r="13239">
      <c r="S13239" s="27"/>
      <c r="T13239" s="27"/>
      <c r="U13239" s="27"/>
    </row>
    <row r="13244">
      <c r="S13244" s="27"/>
      <c r="T13244" s="27"/>
      <c r="U13244" s="27"/>
    </row>
    <row r="13245">
      <c r="S13245" s="27"/>
      <c r="T13245" s="27"/>
      <c r="U13245" s="27"/>
    </row>
    <row r="13247">
      <c r="S13247" s="27"/>
      <c r="T13247" s="27"/>
      <c r="U13247" s="27"/>
    </row>
    <row r="13248">
      <c r="S13248" s="27"/>
      <c r="T13248" s="27"/>
      <c r="U13248" s="27"/>
    </row>
    <row r="13250">
      <c r="S13250" s="27"/>
      <c r="T13250" s="27"/>
      <c r="U13250" s="27"/>
    </row>
    <row r="13251">
      <c r="S13251" s="27"/>
      <c r="T13251" s="27"/>
      <c r="U13251" s="27"/>
    </row>
    <row r="13253">
      <c r="S13253" s="33"/>
      <c r="T13253" s="27"/>
      <c r="U13253" s="33"/>
    </row>
    <row r="13256">
      <c r="T13256" s="27"/>
      <c r="U13256" s="27"/>
    </row>
    <row r="13257">
      <c r="T13257" s="27"/>
      <c r="U13257" s="27"/>
    </row>
    <row r="13259">
      <c r="S13259" s="27"/>
      <c r="T13259" s="27"/>
      <c r="U13259" s="27"/>
    </row>
    <row r="13262">
      <c r="S13262" s="27"/>
      <c r="T13262" s="27"/>
      <c r="U13262" s="27"/>
    </row>
    <row r="13263">
      <c r="S13263" s="33"/>
      <c r="T13263" s="33"/>
      <c r="U13263" s="33"/>
    </row>
    <row r="13266">
      <c r="S13266" s="26"/>
    </row>
    <row r="13268">
      <c r="S13268" s="27"/>
      <c r="T13268" s="27"/>
      <c r="U13268" s="27"/>
    </row>
    <row r="13269">
      <c r="S13269" s="27"/>
      <c r="T13269" s="27"/>
      <c r="U13269" s="27"/>
    </row>
    <row r="13271">
      <c r="S13271" s="27"/>
      <c r="T13271" s="27"/>
      <c r="U13271" s="27"/>
    </row>
    <row r="13272">
      <c r="S13272" s="27"/>
      <c r="T13272" s="27"/>
      <c r="U13272" s="27"/>
    </row>
    <row r="13274">
      <c r="S13274" s="27"/>
      <c r="T13274" s="27"/>
      <c r="U13274" s="27"/>
    </row>
    <row r="13275">
      <c r="S13275" s="27"/>
      <c r="T13275" s="27"/>
      <c r="U13275" s="27"/>
    </row>
    <row r="13277">
      <c r="S13277" s="27"/>
      <c r="T13277" s="27"/>
      <c r="U13277" s="27"/>
    </row>
    <row r="13278">
      <c r="S13278" s="27"/>
      <c r="T13278" s="27"/>
      <c r="U13278" s="27"/>
    </row>
    <row r="13280">
      <c r="S13280" s="26"/>
      <c r="T13280" s="26"/>
    </row>
    <row r="13283">
      <c r="S13283" s="27"/>
      <c r="T13283" s="27"/>
      <c r="U13283" s="27"/>
    </row>
    <row r="13284">
      <c r="S13284" s="27"/>
      <c r="T13284" s="27"/>
      <c r="U13284" s="27"/>
    </row>
    <row r="13286">
      <c r="S13286" s="27"/>
      <c r="T13286" s="27"/>
      <c r="U13286" s="27"/>
    </row>
    <row r="13287">
      <c r="S13287" s="27"/>
      <c r="T13287" s="27"/>
      <c r="U13287" s="27"/>
    </row>
    <row r="13289">
      <c r="S13289" s="27"/>
      <c r="T13289" s="27"/>
      <c r="U13289" s="27"/>
    </row>
    <row r="13290">
      <c r="S13290" s="26"/>
    </row>
    <row r="13292">
      <c r="T13292" s="27"/>
      <c r="U13292" s="27"/>
    </row>
    <row r="13293">
      <c r="S13293" s="27"/>
      <c r="T13293" s="27"/>
      <c r="U13293" s="27"/>
    </row>
    <row r="13295">
      <c r="S13295" s="27"/>
      <c r="T13295" s="27"/>
      <c r="U13295" s="27"/>
    </row>
    <row r="13296">
      <c r="S13296" s="27"/>
      <c r="T13296" s="27"/>
      <c r="U13296" s="27"/>
    </row>
    <row r="13298">
      <c r="S13298" s="27"/>
      <c r="T13298" s="27"/>
      <c r="U13298" s="27"/>
    </row>
    <row r="13299">
      <c r="S13299" s="27"/>
      <c r="T13299" s="27"/>
      <c r="U13299" s="27"/>
    </row>
    <row r="13301">
      <c r="S13301" s="27"/>
      <c r="T13301" s="27"/>
      <c r="U13301" s="27"/>
    </row>
    <row r="13302">
      <c r="S13302" s="26"/>
    </row>
    <row r="13304">
      <c r="S13304" s="26"/>
      <c r="T13304" s="26"/>
      <c r="U13304" s="26"/>
    </row>
    <row r="13305">
      <c r="S13305" s="26"/>
      <c r="T13305" s="26"/>
      <c r="U13305" s="26"/>
    </row>
    <row r="13310">
      <c r="S13310" s="27"/>
      <c r="T13310" s="27"/>
      <c r="U13310" s="27"/>
    </row>
    <row r="13313">
      <c r="S13313" s="27"/>
      <c r="T13313" s="27"/>
      <c r="U13313" s="27"/>
    </row>
    <row r="13314">
      <c r="S13314" s="27"/>
      <c r="T13314" s="27"/>
      <c r="U13314" s="27"/>
    </row>
    <row r="13316">
      <c r="S13316" s="27"/>
      <c r="T13316" s="27"/>
      <c r="U13316" s="27"/>
    </row>
    <row r="13317">
      <c r="S13317" s="27"/>
      <c r="T13317" s="27"/>
      <c r="U13317" s="27"/>
    </row>
    <row r="13319">
      <c r="S13319" s="27"/>
      <c r="T13319" s="27"/>
      <c r="U13319" s="27"/>
    </row>
    <row r="13320">
      <c r="S13320" s="27"/>
      <c r="T13320" s="27"/>
      <c r="U13320" s="27"/>
    </row>
    <row r="13322">
      <c r="S13322" s="26"/>
    </row>
    <row r="13323">
      <c r="T13323" s="26"/>
      <c r="U13323" s="26"/>
    </row>
    <row r="13325">
      <c r="S13325" s="27"/>
      <c r="T13325" s="27"/>
      <c r="U13325" s="27"/>
    </row>
    <row r="13326">
      <c r="S13326" s="27"/>
      <c r="T13326" s="27"/>
      <c r="U13326" s="27"/>
    </row>
    <row r="13328">
      <c r="S13328" s="27"/>
      <c r="T13328" s="27"/>
      <c r="U13328" s="27"/>
    </row>
    <row r="13329">
      <c r="S13329" s="27"/>
      <c r="T13329" s="27"/>
      <c r="U13329" s="27"/>
    </row>
    <row r="13331">
      <c r="S13331" s="27"/>
      <c r="T13331" s="27"/>
      <c r="U13331" s="27"/>
    </row>
    <row r="13332">
      <c r="S13332" s="27"/>
      <c r="T13332" s="27"/>
      <c r="U13332" s="27"/>
    </row>
    <row r="13334">
      <c r="S13334" s="27"/>
      <c r="T13334" s="27"/>
      <c r="U13334" s="27"/>
    </row>
    <row r="13335">
      <c r="S13335" s="27"/>
      <c r="T13335" s="27"/>
      <c r="U13335" s="27"/>
    </row>
    <row r="13337">
      <c r="S13337" s="27"/>
      <c r="T13337" s="27"/>
      <c r="U13337" s="27"/>
    </row>
    <row r="13338">
      <c r="S13338" s="27"/>
      <c r="T13338" s="27"/>
      <c r="U13338" s="27"/>
    </row>
    <row r="13340">
      <c r="S13340" s="27"/>
      <c r="T13340" s="27"/>
      <c r="U13340" s="27"/>
    </row>
    <row r="13341">
      <c r="S13341" s="27"/>
      <c r="T13341" s="27"/>
      <c r="U13341" s="27"/>
    </row>
    <row r="13343">
      <c r="S13343" s="27"/>
      <c r="T13343" s="27"/>
      <c r="U13343" s="27"/>
    </row>
    <row r="13344">
      <c r="S13344" s="27"/>
      <c r="T13344" s="27"/>
      <c r="U13344" s="27"/>
    </row>
    <row r="13346">
      <c r="S13346" s="27"/>
      <c r="T13346" s="27"/>
      <c r="U13346" s="27"/>
    </row>
    <row r="13347">
      <c r="S13347" s="27"/>
      <c r="T13347" s="27"/>
      <c r="U13347" s="27"/>
    </row>
    <row r="13349">
      <c r="S13349" s="27"/>
      <c r="T13349" s="27"/>
      <c r="U13349" s="27"/>
    </row>
    <row r="13350">
      <c r="S13350" s="27"/>
      <c r="T13350" s="27"/>
      <c r="U13350" s="27"/>
    </row>
    <row r="13352">
      <c r="S13352" s="27"/>
      <c r="T13352" s="27"/>
      <c r="U13352" s="27"/>
    </row>
    <row r="13353">
      <c r="S13353" s="27"/>
      <c r="T13353" s="27"/>
      <c r="U13353" s="27"/>
    </row>
    <row r="13355">
      <c r="S13355" s="27"/>
      <c r="T13355" s="27"/>
      <c r="U13355" s="27"/>
    </row>
    <row r="13356">
      <c r="S13356" s="27"/>
      <c r="T13356" s="27"/>
      <c r="U13356" s="27"/>
    </row>
    <row r="13358">
      <c r="S13358" s="27"/>
      <c r="T13358" s="27"/>
      <c r="U13358" s="27"/>
    </row>
    <row r="13359">
      <c r="S13359" s="27"/>
      <c r="T13359" s="27"/>
      <c r="U13359" s="27"/>
    </row>
    <row r="13361">
      <c r="S13361" s="27"/>
      <c r="T13361" s="27"/>
      <c r="U13361" s="27"/>
    </row>
    <row r="13362">
      <c r="S13362" s="27"/>
      <c r="T13362" s="27"/>
      <c r="U13362" s="27"/>
    </row>
    <row r="13364">
      <c r="S13364" s="27"/>
      <c r="T13364" s="27"/>
      <c r="U13364" s="27"/>
    </row>
    <row r="13365">
      <c r="S13365" s="27"/>
      <c r="T13365" s="27"/>
      <c r="U13365" s="27"/>
    </row>
    <row r="13367">
      <c r="S13367" s="27"/>
      <c r="T13367" s="27"/>
      <c r="U13367" s="27"/>
    </row>
    <row r="13368">
      <c r="S13368" s="27"/>
      <c r="T13368" s="27"/>
      <c r="U13368" s="27"/>
    </row>
    <row r="13370">
      <c r="S13370" s="27"/>
      <c r="T13370" s="27"/>
      <c r="U13370" s="27"/>
    </row>
    <row r="13371">
      <c r="S13371" s="27"/>
      <c r="T13371" s="27"/>
      <c r="U13371" s="27"/>
    </row>
    <row r="13373">
      <c r="S13373" s="27"/>
      <c r="T13373" s="27"/>
      <c r="U13373" s="27"/>
    </row>
    <row r="13374">
      <c r="S13374" s="27"/>
      <c r="T13374" s="27"/>
      <c r="U13374" s="27"/>
    </row>
    <row r="13376">
      <c r="S13376" s="27"/>
      <c r="T13376" s="27"/>
      <c r="U13376" s="27"/>
    </row>
    <row r="13377">
      <c r="S13377" s="27"/>
      <c r="T13377" s="27"/>
      <c r="U13377" s="27"/>
    </row>
    <row r="13379">
      <c r="S13379" s="27"/>
      <c r="T13379" s="27"/>
      <c r="U13379" s="27"/>
    </row>
    <row r="13380">
      <c r="S13380" s="27"/>
      <c r="T13380" s="27"/>
      <c r="U13380" s="27"/>
    </row>
    <row r="13382">
      <c r="S13382" s="27"/>
      <c r="T13382" s="27"/>
      <c r="U13382" s="27"/>
    </row>
    <row r="13383">
      <c r="S13383" s="27"/>
      <c r="T13383" s="27"/>
      <c r="U13383" s="27"/>
    </row>
    <row r="13385">
      <c r="S13385" s="27"/>
      <c r="T13385" s="27"/>
      <c r="U13385" s="27"/>
    </row>
    <row r="13386">
      <c r="S13386" s="27"/>
      <c r="T13386" s="27"/>
      <c r="U13386" s="27"/>
    </row>
    <row r="13388">
      <c r="S13388" s="27"/>
      <c r="T13388" s="27"/>
      <c r="U13388" s="27"/>
    </row>
    <row r="13389">
      <c r="S13389" s="27"/>
      <c r="T13389" s="27"/>
      <c r="U13389" s="27"/>
    </row>
    <row r="13391">
      <c r="S13391" s="27"/>
      <c r="T13391" s="27"/>
      <c r="U13391" s="27"/>
    </row>
    <row r="13392">
      <c r="S13392" s="27"/>
      <c r="T13392" s="27"/>
      <c r="U13392" s="27"/>
    </row>
    <row r="13394">
      <c r="S13394" s="27"/>
      <c r="T13394" s="27"/>
      <c r="U13394" s="27"/>
    </row>
    <row r="13395">
      <c r="S13395" s="27"/>
      <c r="T13395" s="27"/>
      <c r="U13395" s="27"/>
    </row>
    <row r="13397">
      <c r="S13397" s="27"/>
      <c r="T13397" s="27"/>
      <c r="U13397" s="27"/>
    </row>
    <row r="13398">
      <c r="S13398" s="27"/>
      <c r="T13398" s="27"/>
      <c r="U13398" s="27"/>
    </row>
    <row r="13400">
      <c r="S13400" s="27"/>
      <c r="T13400" s="27"/>
      <c r="U13400" s="27"/>
    </row>
    <row r="13401">
      <c r="S13401" s="27"/>
      <c r="T13401" s="27"/>
      <c r="U13401" s="27"/>
    </row>
    <row r="13403">
      <c r="S13403" s="27"/>
      <c r="T13403" s="27"/>
      <c r="U13403" s="27"/>
    </row>
    <row r="13404">
      <c r="S13404" s="27"/>
      <c r="T13404" s="27"/>
      <c r="U13404" s="27"/>
    </row>
    <row r="13406">
      <c r="S13406" s="27"/>
      <c r="T13406" s="27"/>
      <c r="U13406" s="27"/>
    </row>
    <row r="13407">
      <c r="S13407" s="27"/>
      <c r="T13407" s="27"/>
      <c r="U13407" s="27"/>
    </row>
    <row r="13409">
      <c r="S13409" s="27"/>
      <c r="T13409" s="27"/>
      <c r="U13409" s="27"/>
    </row>
    <row r="13410">
      <c r="S13410" s="27"/>
      <c r="T13410" s="27"/>
      <c r="U13410" s="27"/>
    </row>
    <row r="13412">
      <c r="S13412" s="27"/>
      <c r="T13412" s="27"/>
      <c r="U13412" s="27"/>
    </row>
    <row r="13413">
      <c r="S13413" s="27"/>
      <c r="T13413" s="27"/>
      <c r="U13413" s="27"/>
    </row>
    <row r="13415">
      <c r="S13415" s="27"/>
      <c r="T13415" s="27"/>
      <c r="U13415" s="27"/>
    </row>
    <row r="13416">
      <c r="S13416" s="27"/>
      <c r="T13416" s="27"/>
      <c r="U13416" s="27"/>
    </row>
    <row r="13418">
      <c r="S13418" s="27"/>
      <c r="T13418" s="27"/>
      <c r="U13418" s="27"/>
    </row>
    <row r="13419">
      <c r="S13419" s="27"/>
      <c r="T13419" s="27"/>
      <c r="U13419" s="27"/>
    </row>
    <row r="13421">
      <c r="S13421" s="27"/>
      <c r="T13421" s="27"/>
      <c r="U13421" s="27"/>
    </row>
    <row r="13423">
      <c r="S13423" s="27"/>
      <c r="T13423" s="27"/>
      <c r="U13423" s="27"/>
    </row>
    <row r="13424">
      <c r="S13424" s="27"/>
      <c r="T13424" s="27"/>
      <c r="U13424" s="27"/>
    </row>
    <row r="13426">
      <c r="S13426" s="27"/>
      <c r="T13426" s="27"/>
      <c r="U13426" s="27"/>
    </row>
    <row r="13427">
      <c r="S13427" s="27"/>
      <c r="T13427" s="27"/>
      <c r="U13427" s="27"/>
    </row>
    <row r="13429">
      <c r="S13429" s="27"/>
      <c r="T13429" s="27"/>
      <c r="U13429" s="27"/>
    </row>
    <row r="13430">
      <c r="S13430" s="27"/>
      <c r="T13430" s="27"/>
      <c r="U13430" s="27"/>
    </row>
    <row r="13432">
      <c r="S13432" s="27"/>
      <c r="T13432" s="27"/>
      <c r="U13432" s="27"/>
    </row>
    <row r="13433">
      <c r="S13433" s="27"/>
      <c r="T13433" s="27"/>
      <c r="U13433" s="27"/>
    </row>
    <row r="13435">
      <c r="S13435" s="27"/>
      <c r="T13435" s="27"/>
      <c r="U13435" s="27"/>
    </row>
    <row r="13436">
      <c r="S13436" s="27"/>
      <c r="T13436" s="27"/>
      <c r="U13436" s="27"/>
    </row>
    <row r="13438">
      <c r="S13438" s="27"/>
      <c r="T13438" s="27"/>
      <c r="U13438" s="27"/>
    </row>
    <row r="13439">
      <c r="S13439" s="27"/>
      <c r="T13439" s="27"/>
      <c r="U13439" s="27"/>
    </row>
    <row r="13441">
      <c r="S13441" s="27"/>
      <c r="T13441" s="27"/>
      <c r="U13441" s="27"/>
    </row>
    <row r="13442">
      <c r="S13442" s="27"/>
      <c r="T13442" s="27"/>
      <c r="U13442" s="27"/>
    </row>
    <row r="13444">
      <c r="S13444" s="27"/>
      <c r="T13444" s="27"/>
      <c r="U13444" s="27"/>
    </row>
    <row r="13446">
      <c r="S13446" s="27"/>
      <c r="T13446" s="27"/>
      <c r="U13446" s="27"/>
    </row>
    <row r="13448">
      <c r="S13448" s="27"/>
      <c r="T13448" s="27"/>
      <c r="U13448" s="27"/>
    </row>
    <row r="13450">
      <c r="S13450" s="27"/>
      <c r="T13450" s="27"/>
      <c r="U13450" s="27"/>
    </row>
    <row r="13452">
      <c r="S13452" s="27"/>
      <c r="T13452" s="27"/>
      <c r="U13452" s="27"/>
    </row>
    <row r="13453">
      <c r="S13453" s="27"/>
      <c r="T13453" s="27"/>
      <c r="U13453" s="27"/>
    </row>
    <row r="13455">
      <c r="S13455" s="27"/>
      <c r="T13455" s="27"/>
      <c r="U13455" s="27"/>
    </row>
    <row r="13456">
      <c r="S13456" s="27"/>
      <c r="T13456" s="27"/>
      <c r="U13456" s="27"/>
    </row>
    <row r="13458">
      <c r="S13458" s="27"/>
      <c r="T13458" s="27"/>
      <c r="U13458" s="27"/>
    </row>
    <row r="13459">
      <c r="S13459" s="33"/>
      <c r="T13459" s="33"/>
      <c r="U13459" s="33"/>
    </row>
    <row r="13461">
      <c r="S13461" s="27"/>
      <c r="T13461" s="27"/>
      <c r="U13461" s="27"/>
    </row>
    <row r="13462">
      <c r="S13462" s="27"/>
      <c r="T13462" s="27"/>
      <c r="U13462" s="27"/>
    </row>
    <row r="13464">
      <c r="S13464" s="27"/>
      <c r="T13464" s="27"/>
      <c r="U13464" s="27"/>
    </row>
    <row r="13465">
      <c r="S13465" s="27"/>
      <c r="T13465" s="27"/>
      <c r="U13465" s="27"/>
    </row>
    <row r="13467">
      <c r="S13467" s="27"/>
      <c r="T13467" s="27"/>
      <c r="U13467" s="27"/>
    </row>
    <row r="13468">
      <c r="S13468" s="27"/>
      <c r="T13468" s="27"/>
      <c r="U13468" s="27"/>
    </row>
    <row r="13470">
      <c r="S13470" s="27"/>
      <c r="T13470" s="27"/>
      <c r="U13470" s="27"/>
    </row>
    <row r="13471">
      <c r="S13471" s="27"/>
      <c r="T13471" s="27"/>
      <c r="U13471" s="27"/>
    </row>
    <row r="13473">
      <c r="S13473" s="27"/>
    </row>
    <row r="13476">
      <c r="S13476" s="27"/>
      <c r="T13476" s="27"/>
      <c r="U13476" s="27"/>
    </row>
    <row r="13479">
      <c r="S13479" s="27"/>
      <c r="T13479" s="27"/>
      <c r="U13479" s="27"/>
    </row>
    <row r="13480">
      <c r="S13480" s="27"/>
      <c r="T13480" s="27"/>
      <c r="U13480" s="27"/>
    </row>
    <row r="13482">
      <c r="S13482" s="27"/>
      <c r="T13482" s="27"/>
      <c r="U13482" s="27"/>
    </row>
    <row r="13483">
      <c r="S13483" s="27"/>
      <c r="T13483" s="27"/>
      <c r="U13483" s="27"/>
    </row>
    <row r="13485">
      <c r="S13485" s="27"/>
      <c r="T13485" s="27"/>
      <c r="U13485" s="27"/>
    </row>
    <row r="13486">
      <c r="S13486" s="27"/>
      <c r="T13486" s="27"/>
      <c r="U13486" s="27"/>
    </row>
    <row r="13488">
      <c r="S13488" s="26"/>
      <c r="T13488" s="26"/>
    </row>
    <row r="13491">
      <c r="S13491" s="27"/>
      <c r="T13491" s="27"/>
      <c r="U13491" s="27"/>
    </row>
    <row r="13492">
      <c r="S13492" s="27"/>
      <c r="T13492" s="27"/>
      <c r="U13492" s="27"/>
    </row>
    <row r="13494">
      <c r="S13494" s="27"/>
      <c r="T13494" s="27"/>
      <c r="U13494" s="27"/>
    </row>
    <row r="13495">
      <c r="S13495" s="27"/>
      <c r="T13495" s="27"/>
      <c r="U13495" s="27"/>
    </row>
    <row r="13497">
      <c r="S13497" s="26"/>
      <c r="T13497" s="26"/>
      <c r="U13497" s="26"/>
    </row>
    <row r="13500">
      <c r="S13500" s="27"/>
      <c r="T13500" s="27"/>
      <c r="U13500" s="27"/>
    </row>
    <row r="13503">
      <c r="S13503" s="26"/>
      <c r="T13503" s="26"/>
      <c r="U13503" s="26"/>
    </row>
    <row r="13506">
      <c r="S13506" s="27"/>
      <c r="T13506" s="27"/>
      <c r="U13506" s="27"/>
    </row>
    <row r="13507">
      <c r="S13507" s="27"/>
      <c r="T13507" s="27"/>
      <c r="U13507" s="27"/>
    </row>
    <row r="13509">
      <c r="S13509" s="27"/>
      <c r="T13509" s="27"/>
      <c r="U13509" s="27"/>
    </row>
    <row r="13510">
      <c r="S13510" s="27"/>
      <c r="T13510" s="27"/>
      <c r="U13510" s="27"/>
    </row>
    <row r="13518">
      <c r="S13518" s="27"/>
      <c r="T13518" s="27"/>
      <c r="U13518" s="27"/>
    </row>
    <row r="13521">
      <c r="S13521" s="27"/>
      <c r="T13521" s="27"/>
      <c r="U13521" s="27"/>
    </row>
    <row r="13522">
      <c r="S13522" s="27"/>
      <c r="T13522" s="27"/>
      <c r="U13522" s="27"/>
    </row>
    <row r="13524">
      <c r="S13524" s="27"/>
      <c r="T13524" s="27"/>
      <c r="U13524" s="27"/>
    </row>
    <row r="13525">
      <c r="S13525" s="27"/>
      <c r="T13525" s="27"/>
      <c r="U13525" s="27"/>
    </row>
    <row r="13527">
      <c r="S13527" s="27"/>
      <c r="T13527" s="27"/>
      <c r="U13527" s="27"/>
    </row>
    <row r="13528">
      <c r="S13528" s="27"/>
      <c r="T13528" s="27"/>
      <c r="U13528" s="27"/>
    </row>
    <row r="13530">
      <c r="S13530" s="27"/>
      <c r="T13530" s="27"/>
      <c r="U13530" s="27"/>
    </row>
    <row r="13531">
      <c r="S13531" s="27"/>
      <c r="T13531" s="27"/>
      <c r="U13531" s="27"/>
    </row>
    <row r="13533">
      <c r="S13533" s="27"/>
      <c r="T13533" s="27"/>
      <c r="U13533" s="27"/>
    </row>
    <row r="13534">
      <c r="S13534" s="27"/>
      <c r="T13534" s="27"/>
      <c r="U13534" s="27"/>
    </row>
    <row r="13536">
      <c r="S13536" s="27"/>
      <c r="T13536" s="27"/>
      <c r="U13536" s="27"/>
    </row>
    <row r="13537">
      <c r="S13537" s="27"/>
      <c r="T13537" s="27"/>
      <c r="U13537" s="27"/>
    </row>
    <row r="13539">
      <c r="S13539" s="27"/>
      <c r="T13539" s="27"/>
      <c r="U13539" s="27"/>
    </row>
    <row r="13540">
      <c r="S13540" s="27"/>
      <c r="T13540" s="27"/>
      <c r="U13540" s="27"/>
    </row>
    <row r="13542">
      <c r="S13542" s="27"/>
      <c r="T13542" s="27"/>
      <c r="U13542" s="27"/>
    </row>
    <row r="13543">
      <c r="S13543" s="27"/>
      <c r="T13543" s="27"/>
      <c r="U13543" s="27"/>
    </row>
    <row r="13545">
      <c r="S13545" s="27"/>
      <c r="T13545" s="27"/>
      <c r="U13545" s="27"/>
    </row>
    <row r="13546">
      <c r="S13546" s="27"/>
      <c r="T13546" s="27"/>
      <c r="U13546" s="27"/>
    </row>
    <row r="13548">
      <c r="S13548" s="27"/>
      <c r="T13548" s="27"/>
      <c r="U13548" s="27"/>
    </row>
    <row r="13549">
      <c r="S13549" s="27"/>
      <c r="T13549" s="27"/>
      <c r="U13549" s="27"/>
    </row>
    <row r="13551">
      <c r="S13551" s="27"/>
      <c r="T13551" s="27"/>
      <c r="U13551" s="27"/>
    </row>
    <row r="13552">
      <c r="S13552" s="27"/>
      <c r="T13552" s="27"/>
      <c r="U13552" s="27"/>
    </row>
    <row r="13554">
      <c r="S13554" s="27"/>
      <c r="T13554" s="27"/>
      <c r="U13554" s="27"/>
    </row>
    <row r="13555">
      <c r="S13555" s="27"/>
      <c r="T13555" s="27"/>
      <c r="U13555" s="27"/>
    </row>
    <row r="13557">
      <c r="S13557" s="27"/>
      <c r="T13557" s="27"/>
      <c r="U13557" s="27"/>
    </row>
    <row r="13558">
      <c r="S13558" s="27"/>
      <c r="T13558" s="27"/>
      <c r="U13558" s="27"/>
    </row>
    <row r="13560">
      <c r="S13560" s="27"/>
      <c r="T13560" s="27"/>
      <c r="U13560" s="27"/>
    </row>
    <row r="13561">
      <c r="S13561" s="27"/>
      <c r="T13561" s="27"/>
      <c r="U13561" s="27"/>
    </row>
    <row r="13563">
      <c r="S13563" s="27"/>
      <c r="T13563" s="27"/>
      <c r="U13563" s="27"/>
    </row>
    <row r="13564">
      <c r="S13564" s="27"/>
      <c r="T13564" s="27"/>
      <c r="U13564" s="27"/>
    </row>
    <row r="13566">
      <c r="S13566" s="27"/>
      <c r="T13566" s="27"/>
      <c r="U13566" s="27"/>
    </row>
    <row r="13567">
      <c r="S13567" s="27"/>
      <c r="T13567" s="27"/>
      <c r="U13567" s="27"/>
    </row>
    <row r="13569">
      <c r="S13569" s="27"/>
      <c r="T13569" s="27"/>
      <c r="U13569" s="27"/>
    </row>
    <row r="13570">
      <c r="S13570" s="27"/>
      <c r="T13570" s="27"/>
      <c r="U13570" s="27"/>
    </row>
    <row r="13572">
      <c r="S13572" s="27"/>
      <c r="T13572" s="27"/>
      <c r="U13572" s="27"/>
    </row>
    <row r="13573">
      <c r="S13573" s="27"/>
      <c r="T13573" s="27"/>
      <c r="U13573" s="27"/>
    </row>
    <row r="13575">
      <c r="S13575" s="27"/>
      <c r="T13575" s="27"/>
      <c r="U13575" s="27"/>
    </row>
    <row r="13576">
      <c r="S13576" s="27"/>
      <c r="T13576" s="27"/>
      <c r="U13576" s="27"/>
    </row>
    <row r="13578">
      <c r="S13578" s="27"/>
      <c r="T13578" s="27"/>
      <c r="U13578" s="27"/>
    </row>
    <row r="13579">
      <c r="S13579" s="27"/>
      <c r="T13579" s="27"/>
      <c r="U13579" s="27"/>
    </row>
    <row r="13581">
      <c r="S13581" s="27"/>
      <c r="T13581" s="27"/>
      <c r="U13581" s="27"/>
    </row>
    <row r="13582">
      <c r="S13582" s="27"/>
      <c r="T13582" s="27"/>
      <c r="U13582" s="27"/>
    </row>
    <row r="13584">
      <c r="S13584" s="27"/>
      <c r="T13584" s="27"/>
      <c r="U13584" s="27"/>
    </row>
    <row r="13585">
      <c r="S13585" s="27"/>
      <c r="T13585" s="27"/>
      <c r="U13585" s="27"/>
    </row>
    <row r="13587">
      <c r="S13587" s="27"/>
      <c r="T13587" s="27"/>
      <c r="U13587" s="27"/>
    </row>
    <row r="13588">
      <c r="S13588" s="27"/>
      <c r="T13588" s="27"/>
      <c r="U13588" s="27"/>
    </row>
    <row r="13590">
      <c r="S13590" s="27"/>
      <c r="T13590" s="27"/>
      <c r="U13590" s="27"/>
    </row>
    <row r="13591">
      <c r="S13591" s="27"/>
      <c r="T13591" s="27"/>
      <c r="U13591" s="27"/>
    </row>
    <row r="13593">
      <c r="S13593" s="27"/>
      <c r="T13593" s="27"/>
      <c r="U13593" s="27"/>
    </row>
    <row r="13594">
      <c r="S13594" s="27"/>
      <c r="T13594" s="27"/>
      <c r="U13594" s="27"/>
    </row>
    <row r="13596">
      <c r="S13596" s="27"/>
      <c r="T13596" s="27"/>
      <c r="U13596" s="27"/>
    </row>
    <row r="13597">
      <c r="S13597" s="27"/>
      <c r="T13597" s="27"/>
      <c r="U13597" s="27"/>
    </row>
    <row r="13599">
      <c r="S13599" s="27"/>
      <c r="T13599" s="27"/>
      <c r="U13599" s="27"/>
    </row>
    <row r="13602">
      <c r="S13602" s="27"/>
      <c r="T13602" s="27"/>
      <c r="U13602" s="33"/>
    </row>
    <row r="13603">
      <c r="S13603" s="27"/>
      <c r="T13603" s="27"/>
      <c r="U13603" s="27"/>
    </row>
    <row r="13605">
      <c r="S13605" s="27"/>
      <c r="T13605" s="27"/>
      <c r="U13605" s="27"/>
    </row>
    <row r="13606">
      <c r="S13606" s="27"/>
      <c r="T13606" s="27"/>
      <c r="U13606" s="27"/>
    </row>
    <row r="13608">
      <c r="S13608" s="27"/>
      <c r="T13608" s="27"/>
      <c r="U13608" s="27"/>
    </row>
    <row r="13609">
      <c r="S13609" s="26"/>
      <c r="T13609" s="26"/>
      <c r="U13609" s="26"/>
    </row>
    <row r="13611">
      <c r="T13611" s="27"/>
      <c r="U13611" s="27"/>
    </row>
    <row r="13612">
      <c r="S13612" s="27"/>
      <c r="T13612" s="27"/>
      <c r="U13612" s="27"/>
    </row>
    <row r="13614">
      <c r="S13614" s="27"/>
      <c r="T13614" s="27"/>
      <c r="U13614" s="27"/>
    </row>
    <row r="13615">
      <c r="S13615" s="27"/>
      <c r="T13615" s="27"/>
      <c r="U13615" s="27"/>
    </row>
    <row r="13617">
      <c r="S13617" s="27"/>
      <c r="T13617" s="27"/>
      <c r="U13617" s="27"/>
    </row>
    <row r="13618">
      <c r="S13618" s="27"/>
      <c r="T13618" s="27"/>
      <c r="U13618" s="27"/>
    </row>
    <row r="13620">
      <c r="S13620" s="26"/>
      <c r="T13620" s="26"/>
    </row>
    <row r="13623">
      <c r="S13623" s="26"/>
      <c r="U13623" s="26"/>
    </row>
    <row r="13626">
      <c r="S13626" s="27"/>
      <c r="T13626" s="27"/>
      <c r="U13626" s="27"/>
    </row>
    <row r="13628">
      <c r="T13628" s="27"/>
    </row>
    <row r="13630">
      <c r="S13630" s="26"/>
      <c r="T13630" s="26"/>
      <c r="U13630" s="26"/>
    </row>
    <row r="13633">
      <c r="S13633" s="27"/>
      <c r="T13633" s="27"/>
      <c r="U13633" s="27"/>
    </row>
    <row r="13636">
      <c r="S13636" s="27"/>
      <c r="T13636" s="27"/>
      <c r="U13636" s="27"/>
    </row>
    <row r="13637">
      <c r="S13637" s="27"/>
      <c r="T13637" s="27"/>
      <c r="U13637" s="27"/>
    </row>
    <row r="13639">
      <c r="S13639" s="27"/>
      <c r="T13639" s="27"/>
      <c r="U13639" s="27"/>
    </row>
    <row r="13640">
      <c r="S13640" s="27"/>
      <c r="T13640" s="27"/>
      <c r="U13640" s="27"/>
    </row>
    <row r="13642">
      <c r="S13642" s="27"/>
      <c r="T13642" s="27"/>
      <c r="U13642" s="33"/>
    </row>
    <row r="13643">
      <c r="U13643" s="27"/>
    </row>
    <row r="13645">
      <c r="S13645" s="27"/>
      <c r="T13645" s="27"/>
      <c r="U13645" s="27"/>
    </row>
    <row r="13646">
      <c r="S13646" s="26"/>
      <c r="T13646" s="27"/>
      <c r="U13646" s="27"/>
    </row>
    <row r="13648">
      <c r="S13648" s="27"/>
      <c r="T13648" s="27"/>
      <c r="U13648" s="27"/>
    </row>
    <row r="13649">
      <c r="S13649" s="27"/>
      <c r="T13649" s="27"/>
      <c r="U13649" s="27"/>
    </row>
    <row r="13654">
      <c r="S13654" s="27"/>
      <c r="T13654" s="27"/>
      <c r="U13654" s="27"/>
    </row>
    <row r="13655">
      <c r="S13655" s="27"/>
      <c r="T13655" s="27"/>
      <c r="U13655" s="27"/>
    </row>
    <row r="13657">
      <c r="S13657" s="27"/>
      <c r="T13657" s="27"/>
      <c r="U13657" s="27"/>
    </row>
    <row r="13658">
      <c r="S13658" s="27"/>
      <c r="T13658" s="27"/>
      <c r="U13658" s="27"/>
    </row>
    <row r="13660">
      <c r="S13660" s="27"/>
      <c r="T13660" s="27"/>
      <c r="U13660" s="27"/>
    </row>
    <row r="13661">
      <c r="S13661" s="27"/>
      <c r="T13661" s="27"/>
      <c r="U13661" s="27"/>
    </row>
    <row r="13663">
      <c r="S13663" s="33"/>
      <c r="T13663" s="33"/>
      <c r="U13663" s="33"/>
    </row>
    <row r="13666">
      <c r="S13666" s="27"/>
      <c r="T13666" s="27"/>
      <c r="U13666" s="27"/>
    </row>
    <row r="13667">
      <c r="S13667" s="27"/>
      <c r="T13667" s="27"/>
      <c r="U13667" s="27"/>
    </row>
    <row r="13669">
      <c r="S13669" s="27"/>
      <c r="T13669" s="27"/>
      <c r="U13669" s="27"/>
    </row>
    <row r="13672">
      <c r="S13672" s="27"/>
      <c r="T13672" s="27"/>
      <c r="U13672" s="27"/>
    </row>
    <row r="13673">
      <c r="S13673" s="27"/>
      <c r="T13673" s="27"/>
      <c r="U13673" s="27"/>
    </row>
    <row r="13678">
      <c r="S13678" s="27"/>
      <c r="T13678" s="27"/>
      <c r="U13678" s="27"/>
    </row>
    <row r="13679">
      <c r="S13679" s="27"/>
      <c r="T13679" s="27"/>
      <c r="U13679" s="27"/>
    </row>
    <row r="13681">
      <c r="T13681" s="27"/>
      <c r="U13681" s="27"/>
    </row>
    <row r="13682">
      <c r="S13682" s="27"/>
      <c r="T13682" s="27"/>
      <c r="U13682" s="27"/>
    </row>
    <row r="13684">
      <c r="S13684" s="27"/>
      <c r="T13684" s="27"/>
      <c r="U13684" s="27"/>
    </row>
    <row r="13685">
      <c r="S13685" s="27"/>
      <c r="T13685" s="27"/>
      <c r="U13685" s="27"/>
    </row>
    <row r="13687">
      <c r="S13687" s="27"/>
      <c r="T13687" s="27"/>
      <c r="U13687" s="27"/>
    </row>
    <row r="13688">
      <c r="S13688" s="27"/>
      <c r="T13688" s="27"/>
      <c r="U13688" s="27"/>
    </row>
    <row r="13690">
      <c r="U13690" s="26"/>
    </row>
    <row r="13693">
      <c r="S13693" s="27"/>
      <c r="T13693" s="27"/>
      <c r="U13693" s="27"/>
    </row>
    <row r="13694">
      <c r="S13694" s="27"/>
      <c r="T13694" s="27"/>
      <c r="U13694" s="27"/>
    </row>
    <row r="13696">
      <c r="S13696" s="27"/>
      <c r="T13696" s="27"/>
      <c r="U13696" s="27"/>
    </row>
    <row r="13697">
      <c r="S13697" s="27"/>
      <c r="T13697" s="27"/>
      <c r="U13697" s="27"/>
    </row>
    <row r="13699">
      <c r="S13699" s="27"/>
      <c r="T13699" s="27"/>
      <c r="U13699" s="27"/>
    </row>
    <row r="13700">
      <c r="U13700" s="26"/>
    </row>
    <row r="13702">
      <c r="S13702" s="27"/>
      <c r="T13702" s="27"/>
      <c r="U13702" s="26"/>
    </row>
    <row r="13703">
      <c r="T13703" s="27"/>
    </row>
    <row r="13705">
      <c r="S13705" s="27"/>
      <c r="T13705" s="27"/>
      <c r="U13705" s="27"/>
    </row>
    <row r="13706">
      <c r="S13706" s="27"/>
      <c r="T13706" s="27"/>
      <c r="U13706" s="27"/>
    </row>
    <row r="13708">
      <c r="S13708" s="27"/>
      <c r="T13708" s="27"/>
      <c r="U13708" s="27"/>
    </row>
    <row r="13709">
      <c r="S13709" s="27"/>
      <c r="T13709" s="27"/>
      <c r="U13709" s="27"/>
    </row>
    <row r="13711">
      <c r="S13711" s="27"/>
      <c r="T13711" s="27"/>
      <c r="U13711" s="27"/>
    </row>
    <row r="13714">
      <c r="S13714" s="27"/>
      <c r="T13714" s="27"/>
      <c r="U13714" s="27"/>
    </row>
    <row r="13715">
      <c r="S13715" s="27"/>
      <c r="T13715" s="27"/>
      <c r="U13715" s="27"/>
    </row>
    <row r="13720">
      <c r="S13720" s="27"/>
      <c r="T13720" s="27"/>
      <c r="U13720" s="27"/>
    </row>
    <row r="13723">
      <c r="S13723" s="27"/>
      <c r="T13723" s="27"/>
      <c r="U13723" s="27"/>
    </row>
    <row r="13724">
      <c r="S13724" s="27"/>
      <c r="T13724" s="27"/>
      <c r="U13724" s="27"/>
    </row>
    <row r="13726">
      <c r="S13726" s="27"/>
      <c r="T13726" s="27"/>
      <c r="U13726" s="27"/>
    </row>
    <row r="13727">
      <c r="S13727" s="27"/>
      <c r="T13727" s="27"/>
      <c r="U13727" s="27"/>
    </row>
    <row r="13729">
      <c r="S13729" s="27"/>
      <c r="T13729" s="27"/>
      <c r="U13729" s="27"/>
    </row>
    <row r="13730">
      <c r="S13730" s="27"/>
      <c r="T13730" s="27"/>
      <c r="U13730" s="27"/>
    </row>
    <row r="13732">
      <c r="S13732" s="27"/>
      <c r="T13732" s="27"/>
    </row>
    <row r="13733">
      <c r="T13733" s="26"/>
      <c r="U13733" s="26"/>
    </row>
    <row r="13735">
      <c r="S13735" s="27"/>
      <c r="T13735" s="27"/>
      <c r="U13735" s="27"/>
    </row>
    <row r="13736">
      <c r="S13736" s="27"/>
      <c r="T13736" s="27"/>
      <c r="U13736" s="27"/>
    </row>
    <row r="13738">
      <c r="S13738" s="27"/>
      <c r="T13738" s="27"/>
      <c r="U13738" s="27"/>
    </row>
    <row r="13739">
      <c r="S13739" s="27"/>
      <c r="T13739" s="27"/>
      <c r="U13739" s="27"/>
    </row>
    <row r="13741">
      <c r="S13741" s="27"/>
      <c r="T13741" s="27"/>
      <c r="U13741" s="27"/>
    </row>
    <row r="13742">
      <c r="S13742" s="27"/>
      <c r="T13742" s="27"/>
      <c r="U13742" s="27"/>
    </row>
    <row r="13744">
      <c r="S13744" s="27"/>
      <c r="T13744" s="27"/>
      <c r="U13744" s="27"/>
    </row>
    <row r="13745">
      <c r="S13745" s="27"/>
      <c r="T13745" s="27"/>
      <c r="U13745" s="27"/>
    </row>
    <row r="13747">
      <c r="S13747" s="27"/>
      <c r="T13747" s="27"/>
      <c r="U13747" s="27"/>
    </row>
    <row r="13748">
      <c r="S13748" s="27"/>
      <c r="T13748" s="27"/>
      <c r="U13748" s="27"/>
    </row>
    <row r="13750">
      <c r="S13750" s="27"/>
      <c r="T13750" s="27"/>
      <c r="U13750" s="27"/>
    </row>
    <row r="13751">
      <c r="S13751" s="27"/>
      <c r="T13751" s="27"/>
      <c r="U13751" s="27"/>
    </row>
    <row r="13753">
      <c r="S13753" s="27"/>
      <c r="T13753" s="27"/>
      <c r="U13753" s="27"/>
    </row>
    <row r="13754">
      <c r="S13754" s="27"/>
      <c r="T13754" s="27"/>
      <c r="U13754" s="27"/>
    </row>
    <row r="13756">
      <c r="S13756" s="27"/>
      <c r="T13756" s="27"/>
      <c r="U13756" s="27"/>
    </row>
    <row r="13757">
      <c r="S13757" s="27"/>
      <c r="T13757" s="27"/>
      <c r="U13757" s="27"/>
    </row>
    <row r="13759">
      <c r="S13759" s="27"/>
      <c r="T13759" s="27"/>
      <c r="U13759" s="27"/>
    </row>
    <row r="13760">
      <c r="S13760" s="27"/>
      <c r="T13760" s="27"/>
      <c r="U13760" s="27"/>
    </row>
    <row r="13762">
      <c r="S13762" s="27"/>
      <c r="T13762" s="27"/>
      <c r="U13762" s="27"/>
    </row>
    <row r="13763">
      <c r="S13763" s="27"/>
      <c r="T13763" s="27"/>
      <c r="U13763" s="27"/>
    </row>
    <row r="13765">
      <c r="S13765" s="27"/>
      <c r="T13765" s="27"/>
      <c r="U13765" s="27"/>
    </row>
    <row r="13766">
      <c r="S13766" s="27"/>
      <c r="T13766" s="27"/>
      <c r="U13766" s="27"/>
    </row>
    <row r="13768">
      <c r="S13768" s="27"/>
      <c r="T13768" s="27"/>
      <c r="U13768" s="27"/>
    </row>
    <row r="13769">
      <c r="S13769" s="27"/>
      <c r="T13769" s="27"/>
      <c r="U13769" s="27"/>
    </row>
    <row r="13771">
      <c r="S13771" s="27"/>
      <c r="T13771" s="27"/>
      <c r="U13771" s="27"/>
    </row>
    <row r="13772">
      <c r="S13772" s="27"/>
      <c r="T13772" s="27"/>
      <c r="U13772" s="27"/>
    </row>
    <row r="13774">
      <c r="S13774" s="27"/>
      <c r="T13774" s="27"/>
      <c r="U13774" s="27"/>
    </row>
    <row r="13775">
      <c r="S13775" s="27"/>
      <c r="T13775" s="27"/>
      <c r="U13775" s="27"/>
    </row>
    <row r="13777">
      <c r="S13777" s="27"/>
      <c r="T13777" s="27"/>
      <c r="U13777" s="27"/>
    </row>
    <row r="13778">
      <c r="S13778" s="27"/>
      <c r="T13778" s="27"/>
      <c r="U13778" s="27"/>
    </row>
    <row r="13780">
      <c r="S13780" s="27"/>
      <c r="T13780" s="27"/>
      <c r="U13780" s="27"/>
    </row>
    <row r="13781">
      <c r="S13781" s="27"/>
      <c r="T13781" s="27"/>
      <c r="U13781" s="27"/>
    </row>
    <row r="13783">
      <c r="S13783" s="27"/>
      <c r="T13783" s="27"/>
      <c r="U13783" s="27"/>
    </row>
    <row r="13784">
      <c r="S13784" s="27"/>
      <c r="T13784" s="27"/>
      <c r="U13784" s="27"/>
    </row>
    <row r="13786">
      <c r="S13786" s="27"/>
      <c r="T13786" s="27"/>
      <c r="U13786" s="27"/>
    </row>
    <row r="13787">
      <c r="S13787" s="27"/>
      <c r="T13787" s="27"/>
      <c r="U13787" s="27"/>
    </row>
    <row r="13789">
      <c r="S13789" s="27"/>
      <c r="T13789" s="27"/>
      <c r="U13789" s="27"/>
    </row>
    <row r="13790">
      <c r="S13790" s="27"/>
      <c r="T13790" s="27"/>
      <c r="U13790" s="27"/>
    </row>
    <row r="13792">
      <c r="S13792" s="27"/>
      <c r="T13792" s="27"/>
      <c r="U13792" s="27"/>
    </row>
    <row r="13793">
      <c r="S13793" s="27"/>
      <c r="T13793" s="27"/>
      <c r="U13793" s="27"/>
    </row>
    <row r="13795">
      <c r="S13795" s="27"/>
      <c r="T13795" s="27"/>
      <c r="U13795" s="27"/>
    </row>
    <row r="13796">
      <c r="S13796" s="27"/>
      <c r="T13796" s="27"/>
      <c r="U13796" s="27"/>
    </row>
    <row r="13798">
      <c r="S13798" s="27"/>
      <c r="T13798" s="27"/>
      <c r="U13798" s="27"/>
    </row>
    <row r="13799">
      <c r="S13799" s="27"/>
      <c r="T13799" s="27"/>
      <c r="U13799" s="27"/>
    </row>
    <row r="13801">
      <c r="S13801" s="27"/>
      <c r="T13801" s="27"/>
      <c r="U13801" s="27"/>
    </row>
    <row r="13802">
      <c r="S13802" s="27"/>
      <c r="T13802" s="27"/>
      <c r="U13802" s="27"/>
    </row>
    <row r="13804">
      <c r="S13804" s="27"/>
      <c r="T13804" s="27"/>
      <c r="U13804" s="27"/>
    </row>
    <row r="13805">
      <c r="S13805" s="27"/>
      <c r="T13805" s="27"/>
      <c r="U13805" s="27"/>
    </row>
    <row r="13807">
      <c r="S13807" s="27"/>
      <c r="T13807" s="27"/>
      <c r="U13807" s="27"/>
    </row>
    <row r="13808">
      <c r="S13808" s="27"/>
      <c r="T13808" s="27"/>
      <c r="U13808" s="27"/>
    </row>
    <row r="13810">
      <c r="S13810" s="27"/>
      <c r="T13810" s="27"/>
      <c r="U13810" s="27"/>
    </row>
    <row r="13811">
      <c r="S13811" s="27"/>
      <c r="T13811" s="27"/>
      <c r="U13811" s="27"/>
    </row>
    <row r="13813">
      <c r="S13813" s="27"/>
      <c r="T13813" s="27"/>
      <c r="U13813" s="27"/>
    </row>
    <row r="13814">
      <c r="S13814" s="27"/>
      <c r="T13814" s="27"/>
      <c r="U13814" s="27"/>
    </row>
    <row r="13816">
      <c r="S13816" s="27"/>
      <c r="T13816" s="27"/>
      <c r="U13816" s="27"/>
    </row>
    <row r="13817">
      <c r="S13817" s="27"/>
      <c r="T13817" s="27"/>
      <c r="U13817" s="27"/>
    </row>
    <row r="13819">
      <c r="S13819" s="27"/>
      <c r="T13819" s="27"/>
      <c r="U13819" s="27"/>
    </row>
    <row r="13820">
      <c r="S13820" s="27"/>
      <c r="T13820" s="27"/>
      <c r="U13820" s="27"/>
    </row>
    <row r="13822">
      <c r="S13822" s="27"/>
      <c r="T13822" s="27"/>
      <c r="U13822" s="27"/>
    </row>
    <row r="13823">
      <c r="S13823" s="27"/>
      <c r="T13823" s="27"/>
      <c r="U13823" s="27"/>
    </row>
    <row r="13825">
      <c r="S13825" s="27"/>
      <c r="T13825" s="27"/>
      <c r="U13825" s="27"/>
    </row>
    <row r="13826">
      <c r="S13826" s="27"/>
      <c r="T13826" s="27"/>
      <c r="U13826" s="27"/>
    </row>
    <row r="13828">
      <c r="S13828" s="27"/>
      <c r="T13828" s="27"/>
      <c r="U13828" s="27"/>
    </row>
    <row r="13829">
      <c r="S13829" s="27"/>
      <c r="T13829" s="27"/>
      <c r="U13829" s="27"/>
    </row>
    <row r="13831">
      <c r="S13831" s="27"/>
      <c r="T13831" s="27"/>
      <c r="U13831" s="27"/>
    </row>
    <row r="13833">
      <c r="S13833" s="27"/>
    </row>
    <row r="13834">
      <c r="S13834" s="27"/>
      <c r="T13834" s="27"/>
      <c r="U13834" s="27"/>
    </row>
    <row r="13836">
      <c r="S13836" s="27"/>
      <c r="T13836" s="27"/>
      <c r="U13836" s="27"/>
    </row>
    <row r="13837">
      <c r="S13837" s="27"/>
      <c r="T13837" s="27"/>
      <c r="U13837" s="27"/>
    </row>
    <row r="13839">
      <c r="S13839" s="27"/>
      <c r="T13839" s="27"/>
    </row>
    <row r="13840">
      <c r="S13840" s="27"/>
      <c r="T13840" s="27"/>
      <c r="U13840" s="27"/>
    </row>
    <row r="13842">
      <c r="S13842" s="27"/>
      <c r="T13842" s="27"/>
      <c r="U13842" s="27"/>
    </row>
    <row r="13843">
      <c r="S13843" s="27"/>
      <c r="T13843" s="27"/>
      <c r="U13843" s="27"/>
    </row>
    <row r="13845">
      <c r="S13845" s="27"/>
      <c r="T13845" s="27"/>
      <c r="U13845" s="27"/>
    </row>
    <row r="13846">
      <c r="S13846" s="27"/>
      <c r="T13846" s="27"/>
      <c r="U13846" s="27"/>
    </row>
    <row r="13848">
      <c r="S13848" s="27"/>
      <c r="T13848" s="27"/>
      <c r="U13848" s="27"/>
    </row>
    <row r="13849">
      <c r="S13849" s="27"/>
      <c r="T13849" s="27"/>
      <c r="U13849" s="27"/>
    </row>
    <row r="13851">
      <c r="S13851" s="27"/>
      <c r="T13851" s="27"/>
      <c r="U13851" s="27"/>
    </row>
    <row r="13852">
      <c r="S13852" s="27"/>
      <c r="T13852" s="27"/>
      <c r="U13852" s="27"/>
    </row>
    <row r="13854">
      <c r="S13854" s="27"/>
      <c r="T13854" s="27"/>
      <c r="U13854" s="27"/>
    </row>
    <row r="13856">
      <c r="S13856" s="27"/>
      <c r="T13856" s="27"/>
      <c r="U13856" s="27"/>
    </row>
    <row r="13858">
      <c r="T13858" s="27"/>
      <c r="U13858" s="27"/>
    </row>
    <row r="13860">
      <c r="S13860" s="27"/>
      <c r="T13860" s="27"/>
      <c r="U13860" s="27"/>
    </row>
    <row r="13862">
      <c r="S13862" s="27"/>
      <c r="T13862" s="27"/>
      <c r="U13862" s="27"/>
    </row>
    <row r="13863">
      <c r="S13863" s="27"/>
      <c r="T13863" s="27"/>
      <c r="U13863" s="27"/>
    </row>
    <row r="13865">
      <c r="S13865" s="27"/>
      <c r="T13865" s="27"/>
      <c r="U13865" s="27"/>
    </row>
    <row r="13866">
      <c r="S13866" s="27"/>
      <c r="T13866" s="27"/>
      <c r="U13866" s="27"/>
    </row>
    <row r="13868">
      <c r="S13868" s="27"/>
      <c r="T13868" s="27"/>
      <c r="U13868" s="27"/>
    </row>
    <row r="13871">
      <c r="S13871" s="27"/>
      <c r="T13871" s="27"/>
      <c r="U13871" s="27"/>
    </row>
    <row r="13872">
      <c r="S13872" s="27"/>
      <c r="T13872" s="27"/>
      <c r="U13872" s="27"/>
    </row>
    <row r="13875">
      <c r="S13875" s="27"/>
      <c r="T13875" s="27"/>
      <c r="U13875" s="27"/>
    </row>
    <row r="13877">
      <c r="S13877" s="27"/>
      <c r="T13877" s="27"/>
      <c r="U13877" s="27"/>
    </row>
    <row r="13878">
      <c r="S13878" s="27"/>
      <c r="T13878" s="27"/>
      <c r="U13878" s="27"/>
    </row>
    <row r="13880">
      <c r="S13880" s="27"/>
      <c r="T13880" s="27"/>
      <c r="U13880" s="27"/>
    </row>
    <row r="13881">
      <c r="S13881" s="27"/>
      <c r="T13881" s="27"/>
      <c r="U13881" s="27"/>
    </row>
    <row r="13886">
      <c r="S13886" s="27"/>
      <c r="T13886" s="33"/>
      <c r="U13886" s="33"/>
    </row>
    <row r="13889">
      <c r="S13889" s="27"/>
      <c r="T13889" s="27"/>
      <c r="U13889" s="27"/>
    </row>
    <row r="13890">
      <c r="S13890" s="27"/>
      <c r="T13890" s="27"/>
      <c r="U13890" s="27"/>
    </row>
    <row r="13892">
      <c r="S13892" s="27"/>
      <c r="T13892" s="27"/>
      <c r="U13892" s="27"/>
    </row>
    <row r="13893">
      <c r="S13893" s="27"/>
      <c r="T13893" s="27"/>
      <c r="U13893" s="27"/>
    </row>
    <row r="13895">
      <c r="S13895" s="27"/>
      <c r="T13895" s="27"/>
      <c r="U13895" s="27"/>
    </row>
    <row r="13896">
      <c r="S13896" s="27"/>
      <c r="T13896" s="27"/>
      <c r="U13896" s="27"/>
    </row>
    <row r="13898">
      <c r="S13898" s="26"/>
      <c r="T13898" s="26"/>
    </row>
    <row r="13901">
      <c r="S13901" s="27"/>
      <c r="T13901" s="27"/>
      <c r="U13901" s="27"/>
    </row>
    <row r="13902">
      <c r="S13902" s="27"/>
      <c r="T13902" s="27"/>
      <c r="U13902" s="27"/>
    </row>
    <row r="13904">
      <c r="S13904" s="27"/>
      <c r="T13904" s="27"/>
      <c r="U13904" s="27"/>
    </row>
    <row r="13905">
      <c r="S13905" s="27"/>
      <c r="T13905" s="27"/>
      <c r="U13905" s="27"/>
    </row>
    <row r="13907">
      <c r="S13907" s="26"/>
      <c r="T13907" s="27"/>
      <c r="U13907" s="27"/>
    </row>
    <row r="13908">
      <c r="U13908" s="27"/>
    </row>
    <row r="13910">
      <c r="S13910" s="27"/>
    </row>
    <row r="13916">
      <c r="S13916" s="27"/>
      <c r="T13916" s="27"/>
      <c r="U13916" s="27"/>
    </row>
    <row r="13917">
      <c r="S13917" s="27"/>
      <c r="T13917" s="27"/>
      <c r="U13917" s="27"/>
    </row>
    <row r="13919">
      <c r="S13919" s="27"/>
      <c r="T13919" s="27"/>
      <c r="U13919" s="27"/>
    </row>
    <row r="13920">
      <c r="S13920" s="27"/>
      <c r="T13920" s="27"/>
      <c r="U13920" s="27"/>
    </row>
    <row r="13922">
      <c r="S13922" s="27"/>
      <c r="T13922" s="27"/>
      <c r="U13922" s="27"/>
    </row>
    <row r="13925">
      <c r="S13925" s="27"/>
    </row>
    <row r="13928">
      <c r="S13928" s="27"/>
      <c r="T13928" s="27"/>
    </row>
    <row r="13931">
      <c r="S13931" s="27"/>
      <c r="T13931" s="27"/>
      <c r="U13931" s="27"/>
    </row>
    <row r="13932">
      <c r="S13932" s="27"/>
      <c r="T13932" s="27"/>
      <c r="U13932" s="27"/>
    </row>
    <row r="13934">
      <c r="S13934" s="27"/>
      <c r="T13934" s="27"/>
      <c r="U13934" s="27"/>
    </row>
    <row r="13935">
      <c r="S13935" s="27"/>
      <c r="T13935" s="27"/>
      <c r="U13935" s="27"/>
    </row>
    <row r="13937">
      <c r="S13937" s="27"/>
      <c r="T13937" s="27"/>
      <c r="U13937" s="27"/>
    </row>
    <row r="13938">
      <c r="S13938" s="27"/>
      <c r="T13938" s="27"/>
      <c r="U13938" s="27"/>
    </row>
    <row r="13940">
      <c r="S13940" s="27"/>
      <c r="T13940" s="27"/>
      <c r="U13940" s="27"/>
    </row>
    <row r="13941">
      <c r="S13941" s="27"/>
      <c r="T13941" s="27"/>
      <c r="U13941" s="27"/>
    </row>
    <row r="13943">
      <c r="S13943" s="27"/>
      <c r="T13943" s="27"/>
      <c r="U13943" s="27"/>
    </row>
    <row r="13944">
      <c r="S13944" s="27"/>
      <c r="T13944" s="27"/>
      <c r="U13944" s="27"/>
    </row>
    <row r="13946">
      <c r="S13946" s="27"/>
      <c r="T13946" s="27"/>
      <c r="U13946" s="27"/>
    </row>
    <row r="13947">
      <c r="S13947" s="27"/>
      <c r="T13947" s="27"/>
      <c r="U13947" s="27"/>
    </row>
    <row r="13949">
      <c r="S13949" s="27"/>
      <c r="T13949" s="27"/>
      <c r="U13949" s="27"/>
    </row>
    <row r="13950">
      <c r="S13950" s="27"/>
      <c r="T13950" s="27"/>
      <c r="U13950" s="27"/>
    </row>
    <row r="13952">
      <c r="S13952" s="27"/>
      <c r="T13952" s="27"/>
      <c r="U13952" s="27"/>
    </row>
    <row r="13953">
      <c r="S13953" s="27"/>
      <c r="T13953" s="27"/>
      <c r="U13953" s="27"/>
    </row>
    <row r="13955">
      <c r="S13955" s="27"/>
      <c r="T13955" s="27"/>
      <c r="U13955" s="27"/>
    </row>
    <row r="13956">
      <c r="S13956" s="27"/>
      <c r="T13956" s="27"/>
      <c r="U13956" s="27"/>
    </row>
    <row r="13958">
      <c r="S13958" s="27"/>
      <c r="T13958" s="27"/>
      <c r="U13958" s="27"/>
    </row>
    <row r="13959">
      <c r="S13959" s="27"/>
      <c r="T13959" s="27"/>
      <c r="U13959" s="27"/>
    </row>
    <row r="13961">
      <c r="S13961" s="27"/>
      <c r="T13961" s="27"/>
      <c r="U13961" s="27"/>
    </row>
    <row r="13962">
      <c r="S13962" s="27"/>
      <c r="T13962" s="27"/>
      <c r="U13962" s="27"/>
    </row>
    <row r="13964">
      <c r="S13964" s="27"/>
      <c r="T13964" s="27"/>
      <c r="U13964" s="27"/>
    </row>
    <row r="13965">
      <c r="S13965" s="27"/>
      <c r="T13965" s="27"/>
      <c r="U13965" s="27"/>
    </row>
    <row r="13967">
      <c r="S13967" s="27"/>
      <c r="T13967" s="27"/>
      <c r="U13967" s="27"/>
    </row>
    <row r="13968">
      <c r="S13968" s="27"/>
      <c r="T13968" s="27"/>
      <c r="U13968" s="27"/>
    </row>
    <row r="13970">
      <c r="S13970" s="27"/>
      <c r="T13970" s="27"/>
      <c r="U13970" s="27"/>
    </row>
    <row r="13971">
      <c r="S13971" s="27"/>
      <c r="T13971" s="27"/>
      <c r="U13971" s="27"/>
    </row>
    <row r="13973">
      <c r="S13973" s="27"/>
      <c r="T13973" s="27"/>
      <c r="U13973" s="27"/>
    </row>
    <row r="13974">
      <c r="S13974" s="27"/>
      <c r="T13974" s="27"/>
      <c r="U13974" s="27"/>
    </row>
    <row r="13976">
      <c r="S13976" s="27"/>
      <c r="T13976" s="27"/>
      <c r="U13976" s="27"/>
    </row>
    <row r="13977">
      <c r="S13977" s="27"/>
      <c r="T13977" s="27"/>
      <c r="U13977" s="27"/>
    </row>
    <row r="13979">
      <c r="S13979" s="27"/>
      <c r="T13979" s="27"/>
      <c r="U13979" s="27"/>
    </row>
    <row r="13980">
      <c r="S13980" s="27"/>
      <c r="T13980" s="27"/>
      <c r="U13980" s="27"/>
    </row>
    <row r="13982">
      <c r="S13982" s="27"/>
      <c r="T13982" s="27"/>
      <c r="U13982" s="27"/>
    </row>
    <row r="13983">
      <c r="S13983" s="27"/>
      <c r="T13983" s="27"/>
      <c r="U13983" s="27"/>
    </row>
    <row r="13985">
      <c r="S13985" s="27"/>
      <c r="T13985" s="27"/>
      <c r="U13985" s="27"/>
    </row>
    <row r="13986">
      <c r="S13986" s="27"/>
      <c r="T13986" s="27"/>
      <c r="U13986" s="27"/>
    </row>
    <row r="13988">
      <c r="S13988" s="27"/>
      <c r="T13988" s="27"/>
      <c r="U13988" s="27"/>
    </row>
    <row r="13989">
      <c r="S13989" s="27"/>
      <c r="T13989" s="27"/>
      <c r="U13989" s="27"/>
    </row>
    <row r="13991">
      <c r="S13991" s="27"/>
      <c r="T13991" s="27"/>
      <c r="U13991" s="27"/>
    </row>
    <row r="13992">
      <c r="S13992" s="27"/>
      <c r="T13992" s="27"/>
      <c r="U13992" s="27"/>
    </row>
    <row r="13994">
      <c r="S13994" s="27"/>
      <c r="T13994" s="27"/>
      <c r="U13994" s="27"/>
    </row>
    <row r="13995">
      <c r="S13995" s="27"/>
      <c r="T13995" s="27"/>
      <c r="U13995" s="27"/>
    </row>
    <row r="13997">
      <c r="S13997" s="27"/>
      <c r="T13997" s="27"/>
      <c r="U13997" s="27"/>
    </row>
    <row r="13998">
      <c r="S13998" s="27"/>
      <c r="T13998" s="27"/>
      <c r="U13998" s="27"/>
    </row>
    <row r="14000">
      <c r="S14000" s="27"/>
      <c r="T14000" s="27"/>
      <c r="U14000" s="27"/>
    </row>
    <row r="14001">
      <c r="S14001" s="27"/>
      <c r="T14001" s="27"/>
      <c r="U14001" s="27"/>
    </row>
    <row r="14003">
      <c r="S14003" s="27"/>
      <c r="T14003" s="27"/>
      <c r="U14003" s="27"/>
    </row>
    <row r="14004">
      <c r="S14004" s="27"/>
      <c r="T14004" s="27"/>
      <c r="U14004" s="27"/>
    </row>
    <row r="14006">
      <c r="S14006" s="27"/>
      <c r="T14006" s="27"/>
      <c r="U14006" s="27"/>
    </row>
    <row r="14007">
      <c r="S14007" s="27"/>
      <c r="T14007" s="27"/>
      <c r="U14007" s="27"/>
    </row>
    <row r="14009">
      <c r="S14009" s="27"/>
      <c r="T14009" s="27"/>
      <c r="U14009" s="27"/>
    </row>
    <row r="14010">
      <c r="S14010" s="26"/>
    </row>
    <row r="14012">
      <c r="S14012" s="33"/>
      <c r="T14012" s="27"/>
      <c r="U14012" s="33"/>
    </row>
    <row r="14013">
      <c r="S14013" s="27"/>
      <c r="U14013" s="27"/>
    </row>
    <row r="14015">
      <c r="S14015" s="27"/>
      <c r="T14015" s="27"/>
      <c r="U14015" s="27"/>
    </row>
    <row r="14016">
      <c r="S14016" s="27"/>
      <c r="T14016" s="27"/>
      <c r="U14016" s="27"/>
    </row>
    <row r="14018">
      <c r="S14018" s="27"/>
      <c r="T14018" s="27"/>
      <c r="U14018" s="27"/>
    </row>
    <row r="14019">
      <c r="S14019" s="27"/>
      <c r="T14019" s="27"/>
      <c r="U14019" s="27"/>
    </row>
    <row r="14021">
      <c r="S14021" s="27"/>
      <c r="T14021" s="27"/>
      <c r="U14021" s="27"/>
    </row>
    <row r="14022">
      <c r="S14022" s="27"/>
      <c r="T14022" s="27"/>
      <c r="U14022" s="27"/>
    </row>
    <row r="14024">
      <c r="S14024" s="27"/>
      <c r="T14024" s="27"/>
      <c r="U14024" s="27"/>
    </row>
    <row r="14025">
      <c r="S14025" s="27"/>
      <c r="T14025" s="27"/>
      <c r="U14025" s="27"/>
    </row>
    <row r="14027">
      <c r="T14027" s="27"/>
      <c r="U14027" s="27"/>
    </row>
    <row r="14028">
      <c r="S14028" s="27"/>
      <c r="T14028" s="27"/>
      <c r="U14028" s="27"/>
    </row>
    <row r="14030">
      <c r="S14030" s="27"/>
    </row>
    <row r="14036">
      <c r="S14036" s="27"/>
      <c r="T14036" s="27"/>
      <c r="U14036" s="27"/>
    </row>
    <row r="14038">
      <c r="S14038" s="27"/>
      <c r="T14038" s="27"/>
      <c r="U14038" s="27"/>
    </row>
    <row r="14040">
      <c r="S14040" s="26"/>
      <c r="T14040" s="26"/>
      <c r="U14040" s="26"/>
    </row>
    <row r="14043">
      <c r="S14043" s="27"/>
      <c r="T14043" s="27"/>
      <c r="U14043" s="27"/>
    </row>
    <row r="14046">
      <c r="S14046" s="27"/>
      <c r="T14046" s="27"/>
      <c r="U14046" s="27"/>
    </row>
    <row r="14047">
      <c r="S14047" s="27"/>
      <c r="T14047" s="27"/>
      <c r="U14047" s="27"/>
    </row>
    <row r="14049">
      <c r="S14049" s="27"/>
      <c r="T14049" s="27"/>
      <c r="U14049" s="27"/>
    </row>
    <row r="14050">
      <c r="S14050" s="27"/>
      <c r="T14050" s="27"/>
      <c r="U14050" s="27"/>
    </row>
    <row r="14052">
      <c r="S14052" s="27"/>
      <c r="T14052" s="27"/>
      <c r="U14052" s="33"/>
    </row>
    <row r="14053">
      <c r="S14053" s="27"/>
      <c r="T14053" s="27"/>
      <c r="U14053" s="27"/>
    </row>
    <row r="14055">
      <c r="S14055" s="27"/>
      <c r="T14055" s="27"/>
      <c r="U14055" s="27"/>
    </row>
    <row r="14056">
      <c r="S14056" s="26"/>
      <c r="T14056" s="26"/>
      <c r="U14056" s="27"/>
    </row>
    <row r="14058">
      <c r="S14058" s="27"/>
      <c r="T14058" s="27"/>
      <c r="U14058" s="27"/>
    </row>
    <row r="14059">
      <c r="S14059" s="27"/>
      <c r="T14059" s="27"/>
      <c r="U14059" s="27"/>
    </row>
    <row r="14064">
      <c r="S14064" s="27"/>
      <c r="T14064" s="27"/>
      <c r="U14064" s="27"/>
    </row>
    <row r="14065">
      <c r="S14065" s="27"/>
      <c r="T14065" s="27"/>
      <c r="U14065" s="27"/>
    </row>
    <row r="14067">
      <c r="S14067" s="27"/>
      <c r="T14067" s="27"/>
      <c r="U14067" s="27"/>
    </row>
    <row r="14068">
      <c r="S14068" s="27"/>
      <c r="T14068" s="27"/>
      <c r="U14068" s="27"/>
    </row>
    <row r="14070">
      <c r="S14070" s="27"/>
      <c r="T14070" s="27"/>
      <c r="U14070" s="27"/>
    </row>
    <row r="14071">
      <c r="S14071" s="27"/>
      <c r="T14071" s="27"/>
      <c r="U14071" s="27"/>
    </row>
    <row r="14073">
      <c r="S14073" s="33"/>
      <c r="T14073" s="33"/>
      <c r="U14073" s="33"/>
    </row>
    <row r="14076">
      <c r="S14076" s="27"/>
      <c r="T14076" s="27"/>
    </row>
    <row r="14077">
      <c r="S14077" s="27"/>
      <c r="T14077" s="27"/>
    </row>
    <row r="14079">
      <c r="S14079" s="27"/>
      <c r="T14079" s="27"/>
      <c r="U14079" s="27"/>
    </row>
    <row r="14082">
      <c r="S14082" s="27"/>
      <c r="T14082" s="27"/>
      <c r="U14082" s="27"/>
    </row>
    <row r="14083">
      <c r="S14083" s="33"/>
      <c r="T14083" s="33"/>
      <c r="U14083" s="33"/>
    </row>
    <row r="14085">
      <c r="S14085" s="34"/>
      <c r="T14085" s="27"/>
      <c r="U14085" s="27"/>
    </row>
    <row r="14088">
      <c r="S14088" s="27"/>
      <c r="T14088" s="27"/>
      <c r="U14088" s="27"/>
    </row>
    <row r="14089">
      <c r="S14089" s="27"/>
      <c r="T14089" s="27"/>
      <c r="U14089" s="27"/>
    </row>
    <row r="14091">
      <c r="S14091" s="27"/>
      <c r="T14091" s="27"/>
      <c r="U14091" s="27"/>
    </row>
    <row r="14092">
      <c r="S14092" s="27"/>
      <c r="T14092" s="27"/>
      <c r="U14092" s="27"/>
    </row>
    <row r="14094">
      <c r="S14094" s="27"/>
      <c r="T14094" s="27"/>
      <c r="U14094" s="27"/>
    </row>
    <row r="14095">
      <c r="S14095" s="27"/>
      <c r="T14095" s="27"/>
      <c r="U14095" s="27"/>
    </row>
    <row r="14097">
      <c r="S14097" s="27"/>
      <c r="T14097" s="27"/>
      <c r="U14097" s="27"/>
    </row>
    <row r="14098">
      <c r="S14098" s="27"/>
      <c r="T14098" s="27"/>
      <c r="U14098" s="27"/>
    </row>
    <row r="14103">
      <c r="S14103" s="33"/>
      <c r="T14103" s="27"/>
      <c r="U14103" s="27"/>
    </row>
    <row r="14104">
      <c r="S14104" s="27"/>
      <c r="T14104" s="27"/>
      <c r="U14104" s="27"/>
    </row>
    <row r="14106">
      <c r="S14106" s="27"/>
      <c r="T14106" s="27"/>
      <c r="U14106" s="27"/>
    </row>
    <row r="14107">
      <c r="S14107" s="27"/>
      <c r="T14107" s="27"/>
      <c r="U14107" s="27"/>
    </row>
    <row r="14109">
      <c r="S14109" s="27"/>
      <c r="T14109" s="27"/>
      <c r="U14109" s="27"/>
    </row>
    <row r="14112">
      <c r="U14112" s="27"/>
    </row>
    <row r="14113">
      <c r="S14113" s="27"/>
      <c r="T14113" s="27"/>
      <c r="U14113" s="27"/>
    </row>
    <row r="14118">
      <c r="S14118" s="27"/>
      <c r="T14118" s="27"/>
      <c r="U14118" s="27"/>
    </row>
    <row r="14119">
      <c r="S14119" s="27"/>
      <c r="T14119" s="27"/>
      <c r="U14119" s="27"/>
    </row>
    <row r="14121">
      <c r="S14121" s="27"/>
      <c r="T14121" s="27"/>
      <c r="U14121" s="27"/>
    </row>
    <row r="14124">
      <c r="S14124" s="27"/>
      <c r="T14124" s="27"/>
      <c r="U14124" s="27"/>
    </row>
    <row r="14125">
      <c r="S14125" s="27"/>
      <c r="T14125" s="27"/>
      <c r="U14125" s="27"/>
    </row>
    <row r="14127">
      <c r="S14127" s="26"/>
      <c r="T14127" s="26"/>
      <c r="U14127" s="26"/>
    </row>
    <row r="14130">
      <c r="S14130" s="27"/>
      <c r="T14130" s="27"/>
      <c r="U14130" s="27"/>
    </row>
    <row r="14133">
      <c r="S14133" s="27"/>
      <c r="T14133" s="27"/>
      <c r="U14133" s="27"/>
    </row>
    <row r="14134">
      <c r="S14134" s="27"/>
      <c r="T14134" s="27"/>
      <c r="U14134" s="27"/>
    </row>
    <row r="14136">
      <c r="S14136" s="27"/>
      <c r="T14136" s="27"/>
      <c r="U14136" s="27"/>
    </row>
    <row r="14137">
      <c r="S14137" s="27"/>
      <c r="T14137" s="27"/>
      <c r="U14137" s="27"/>
    </row>
    <row r="14139">
      <c r="S14139" s="27"/>
      <c r="T14139" s="27"/>
      <c r="U14139" s="27"/>
    </row>
    <row r="14140">
      <c r="S14140" s="27"/>
      <c r="T14140" s="27"/>
      <c r="U14140" s="27"/>
    </row>
    <row r="14142">
      <c r="S14142" s="27"/>
    </row>
    <row r="14143">
      <c r="S14143" s="26"/>
      <c r="T14143" s="26"/>
      <c r="U14143" s="26"/>
    </row>
    <row r="14145">
      <c r="T14145" s="27"/>
      <c r="U14145" s="27"/>
    </row>
    <row r="14146">
      <c r="S14146" s="27"/>
      <c r="T14146" s="27"/>
      <c r="U14146" s="27"/>
    </row>
    <row r="14148">
      <c r="S14148" s="27"/>
      <c r="T14148" s="27"/>
      <c r="U14148" s="27"/>
    </row>
    <row r="14149">
      <c r="S14149" s="27"/>
      <c r="T14149" s="27"/>
      <c r="U14149" s="27"/>
    </row>
    <row r="14151">
      <c r="S14151" s="27"/>
      <c r="T14151" s="27"/>
      <c r="U14151" s="27"/>
    </row>
    <row r="14152">
      <c r="S14152" s="27"/>
      <c r="T14152" s="27"/>
      <c r="U14152" s="27"/>
    </row>
    <row r="14154">
      <c r="S14154" s="27"/>
      <c r="T14154" s="27"/>
      <c r="U14154" s="27"/>
    </row>
    <row r="14155">
      <c r="S14155" s="27"/>
      <c r="T14155" s="27"/>
      <c r="U14155" s="27"/>
    </row>
    <row r="14157">
      <c r="S14157" s="27"/>
      <c r="T14157" s="27"/>
      <c r="U14157" s="27"/>
    </row>
    <row r="14158">
      <c r="S14158" s="27"/>
      <c r="T14158" s="27"/>
      <c r="U14158" s="27"/>
    </row>
    <row r="14160">
      <c r="S14160" s="27"/>
      <c r="T14160" s="27"/>
      <c r="U14160" s="27"/>
    </row>
    <row r="14161">
      <c r="S14161" s="27"/>
      <c r="T14161" s="27"/>
      <c r="U14161" s="27"/>
    </row>
    <row r="14163">
      <c r="S14163" s="27"/>
      <c r="T14163" s="27"/>
      <c r="U14163" s="27"/>
    </row>
    <row r="14164">
      <c r="S14164" s="27"/>
      <c r="T14164" s="27"/>
      <c r="U14164" s="27"/>
    </row>
    <row r="14166">
      <c r="S14166" s="27"/>
      <c r="T14166" s="27"/>
      <c r="U14166" s="27"/>
    </row>
    <row r="14167">
      <c r="S14167" s="27"/>
      <c r="T14167" s="27"/>
      <c r="U14167" s="27"/>
    </row>
    <row r="14169">
      <c r="S14169" s="27"/>
      <c r="T14169" s="27"/>
      <c r="U14169" s="27"/>
    </row>
    <row r="14170">
      <c r="S14170" s="27"/>
      <c r="T14170" s="27"/>
      <c r="U14170" s="27"/>
    </row>
    <row r="14172">
      <c r="S14172" s="27"/>
      <c r="T14172" s="27"/>
      <c r="U14172" s="27"/>
    </row>
    <row r="14173">
      <c r="S14173" s="27"/>
      <c r="T14173" s="27"/>
      <c r="U14173" s="27"/>
    </row>
    <row r="14175">
      <c r="S14175" s="27"/>
      <c r="T14175" s="27"/>
      <c r="U14175" s="27"/>
    </row>
    <row r="14176">
      <c r="S14176" s="27"/>
      <c r="T14176" s="27"/>
      <c r="U14176" s="27"/>
    </row>
    <row r="14178">
      <c r="S14178" s="27"/>
      <c r="T14178" s="27"/>
      <c r="U14178" s="27"/>
    </row>
    <row r="14179">
      <c r="S14179" s="27"/>
      <c r="T14179" s="27"/>
      <c r="U14179" s="27"/>
    </row>
    <row r="14181">
      <c r="S14181" s="27"/>
      <c r="T14181" s="27"/>
      <c r="U14181" s="27"/>
    </row>
    <row r="14182">
      <c r="S14182" s="27"/>
      <c r="T14182" s="27"/>
      <c r="U14182" s="27"/>
    </row>
    <row r="14184">
      <c r="S14184" s="27"/>
      <c r="T14184" s="27"/>
      <c r="U14184" s="27"/>
    </row>
    <row r="14185">
      <c r="S14185" s="27"/>
      <c r="T14185" s="27"/>
      <c r="U14185" s="27"/>
    </row>
    <row r="14187">
      <c r="S14187" s="27"/>
      <c r="T14187" s="27"/>
      <c r="U14187" s="27"/>
    </row>
    <row r="14188">
      <c r="S14188" s="27"/>
      <c r="T14188" s="27"/>
      <c r="U14188" s="27"/>
    </row>
    <row r="14190">
      <c r="S14190" s="27"/>
      <c r="T14190" s="27"/>
      <c r="U14190" s="27"/>
    </row>
    <row r="14191">
      <c r="S14191" s="27"/>
      <c r="T14191" s="27"/>
      <c r="U14191" s="27"/>
    </row>
    <row r="14193">
      <c r="S14193" s="27"/>
      <c r="T14193" s="27"/>
      <c r="U14193" s="27"/>
    </row>
    <row r="14194">
      <c r="S14194" s="27"/>
      <c r="T14194" s="27"/>
      <c r="U14194" s="27"/>
    </row>
    <row r="14196">
      <c r="S14196" s="27"/>
      <c r="T14196" s="27"/>
      <c r="U14196" s="27"/>
    </row>
    <row r="14197">
      <c r="S14197" s="27"/>
      <c r="T14197" s="27"/>
      <c r="U14197" s="27"/>
    </row>
    <row r="14199">
      <c r="S14199" s="27"/>
      <c r="T14199" s="27"/>
      <c r="U14199" s="27"/>
    </row>
    <row r="14200">
      <c r="S14200" s="27"/>
      <c r="T14200" s="27"/>
      <c r="U14200" s="27"/>
    </row>
    <row r="14202">
      <c r="S14202" s="27"/>
      <c r="T14202" s="27"/>
      <c r="U14202" s="27"/>
    </row>
    <row r="14203">
      <c r="S14203" s="27"/>
      <c r="T14203" s="27"/>
      <c r="U14203" s="27"/>
    </row>
    <row r="14205">
      <c r="S14205" s="27"/>
      <c r="T14205" s="27"/>
      <c r="U14205" s="27"/>
    </row>
    <row r="14206">
      <c r="S14206" s="27"/>
      <c r="T14206" s="27"/>
      <c r="U14206" s="27"/>
    </row>
    <row r="14208">
      <c r="S14208" s="27"/>
      <c r="T14208" s="27"/>
      <c r="U14208" s="27"/>
    </row>
    <row r="14209">
      <c r="S14209" s="27"/>
      <c r="T14209" s="27"/>
      <c r="U14209" s="27"/>
    </row>
    <row r="14211">
      <c r="S14211" s="27"/>
      <c r="T14211" s="27"/>
      <c r="U14211" s="27"/>
    </row>
    <row r="14212">
      <c r="S14212" s="27"/>
      <c r="T14212" s="27"/>
      <c r="U14212" s="27"/>
    </row>
    <row r="14214">
      <c r="S14214" s="27"/>
      <c r="T14214" s="27"/>
      <c r="U14214" s="27"/>
    </row>
    <row r="14215">
      <c r="S14215" s="27"/>
      <c r="T14215" s="27"/>
      <c r="U14215" s="27"/>
    </row>
    <row r="14217">
      <c r="S14217" s="27"/>
      <c r="T14217" s="27"/>
      <c r="U14217" s="27"/>
    </row>
    <row r="14218">
      <c r="S14218" s="27"/>
      <c r="T14218" s="27"/>
      <c r="U14218" s="27"/>
    </row>
    <row r="14220">
      <c r="S14220" s="27"/>
      <c r="T14220" s="27"/>
      <c r="U14220" s="27"/>
    </row>
    <row r="14221">
      <c r="S14221" s="27"/>
      <c r="T14221" s="27"/>
      <c r="U14221" s="27"/>
    </row>
    <row r="14223">
      <c r="S14223" s="27"/>
      <c r="T14223" s="27"/>
      <c r="U14223" s="27"/>
    </row>
    <row r="14224">
      <c r="S14224" s="27"/>
      <c r="T14224" s="27"/>
      <c r="U14224" s="27"/>
    </row>
    <row r="14226">
      <c r="S14226" s="27"/>
      <c r="T14226" s="27"/>
      <c r="U14226" s="27"/>
    </row>
    <row r="14227">
      <c r="S14227" s="27"/>
      <c r="T14227" s="27"/>
      <c r="U14227" s="27"/>
    </row>
    <row r="14229">
      <c r="S14229" s="27"/>
      <c r="T14229" s="27"/>
      <c r="U14229" s="27"/>
    </row>
    <row r="14230">
      <c r="S14230" s="27"/>
      <c r="T14230" s="27"/>
      <c r="U14230" s="27"/>
    </row>
    <row r="14232">
      <c r="S14232" s="27"/>
      <c r="T14232" s="27"/>
      <c r="U14232" s="27"/>
    </row>
    <row r="14233">
      <c r="S14233" s="27"/>
      <c r="T14233" s="27"/>
      <c r="U14233" s="27"/>
    </row>
    <row r="14235">
      <c r="S14235" s="27"/>
      <c r="T14235" s="27"/>
      <c r="U14235" s="27"/>
    </row>
    <row r="14236">
      <c r="S14236" s="27"/>
      <c r="T14236" s="27"/>
      <c r="U14236" s="27"/>
    </row>
    <row r="14238">
      <c r="S14238" s="27"/>
      <c r="T14238" s="27"/>
      <c r="U14238" s="27"/>
    </row>
    <row r="14239">
      <c r="S14239" s="27"/>
      <c r="T14239" s="27"/>
      <c r="U14239" s="27"/>
    </row>
    <row r="14241">
      <c r="S14241" s="27"/>
      <c r="T14241" s="27"/>
      <c r="U14241" s="27"/>
    </row>
    <row r="14243">
      <c r="S14243" s="27"/>
      <c r="T14243" s="27"/>
      <c r="U14243" s="27"/>
    </row>
    <row r="14244">
      <c r="S14244" s="27"/>
      <c r="T14244" s="27"/>
      <c r="U14244" s="27"/>
    </row>
    <row r="14246">
      <c r="S14246" s="27"/>
      <c r="T14246" s="27"/>
      <c r="U14246" s="27"/>
    </row>
    <row r="14247">
      <c r="S14247" s="27"/>
      <c r="T14247" s="27"/>
      <c r="U14247" s="27"/>
    </row>
    <row r="14249">
      <c r="S14249" s="27"/>
      <c r="T14249" s="27"/>
      <c r="U14249" s="27"/>
    </row>
    <row r="14250">
      <c r="S14250" s="27"/>
      <c r="T14250" s="27"/>
      <c r="U14250" s="27"/>
    </row>
    <row r="14252">
      <c r="S14252" s="27"/>
      <c r="T14252" s="27"/>
      <c r="U14252" s="27"/>
    </row>
    <row r="14253">
      <c r="S14253" s="27"/>
      <c r="T14253" s="27"/>
      <c r="U14253" s="27"/>
    </row>
    <row r="14255">
      <c r="S14255" s="27"/>
      <c r="T14255" s="27"/>
      <c r="U14255" s="27"/>
    </row>
    <row r="14256">
      <c r="S14256" s="27"/>
      <c r="T14256" s="27"/>
      <c r="U14256" s="27"/>
    </row>
    <row r="14258">
      <c r="S14258" s="27"/>
      <c r="T14258" s="27"/>
      <c r="U14258" s="27"/>
    </row>
    <row r="14259">
      <c r="S14259" s="27"/>
      <c r="T14259" s="27"/>
      <c r="U14259" s="27"/>
    </row>
    <row r="14261">
      <c r="S14261" s="27"/>
      <c r="T14261" s="27"/>
      <c r="U14261" s="27"/>
    </row>
    <row r="14262">
      <c r="S14262" s="27"/>
      <c r="T14262" s="27"/>
      <c r="U14262" s="27"/>
    </row>
    <row r="14264">
      <c r="S14264" s="27"/>
      <c r="T14264" s="27"/>
      <c r="U14264" s="27"/>
    </row>
    <row r="14266">
      <c r="S14266" s="27"/>
      <c r="T14266" s="27"/>
      <c r="U14266" s="27"/>
    </row>
    <row r="14268">
      <c r="T14268" s="27"/>
      <c r="U14268" s="27"/>
    </row>
    <row r="14270">
      <c r="S14270" s="27"/>
      <c r="T14270" s="27"/>
      <c r="U14270" s="27"/>
    </row>
    <row r="14272">
      <c r="S14272" s="27"/>
      <c r="T14272" s="27"/>
      <c r="U14272" s="27"/>
    </row>
    <row r="14273">
      <c r="S14273" s="27"/>
      <c r="T14273" s="27"/>
      <c r="U14273" s="27"/>
    </row>
    <row r="14275">
      <c r="S14275" s="27"/>
      <c r="T14275" s="27"/>
      <c r="U14275" s="27"/>
    </row>
    <row r="14276">
      <c r="S14276" s="27"/>
      <c r="T14276" s="27"/>
      <c r="U14276" s="27"/>
    </row>
    <row r="14278">
      <c r="S14278" s="27"/>
      <c r="T14278" s="27"/>
      <c r="U14278" s="27"/>
    </row>
    <row r="14279">
      <c r="S14279" s="27"/>
      <c r="T14279" s="27"/>
      <c r="U14279" s="27"/>
    </row>
    <row r="14281">
      <c r="S14281" s="27"/>
      <c r="T14281" s="27"/>
      <c r="U14281" s="27"/>
    </row>
    <row r="14282">
      <c r="S14282" s="27"/>
      <c r="T14282" s="27"/>
      <c r="U14282" s="27"/>
    </row>
    <row r="14284">
      <c r="S14284" s="27"/>
      <c r="T14284" s="27"/>
      <c r="U14284" s="27"/>
    </row>
    <row r="14285">
      <c r="S14285" s="27"/>
      <c r="T14285" s="27"/>
      <c r="U14285" s="27"/>
    </row>
    <row r="14287">
      <c r="S14287" s="27"/>
      <c r="T14287" s="27"/>
      <c r="U14287" s="27"/>
    </row>
    <row r="14288">
      <c r="S14288" s="27"/>
      <c r="T14288" s="27"/>
      <c r="U14288" s="27"/>
    </row>
    <row r="14296">
      <c r="S14296" s="33"/>
      <c r="T14296" s="33"/>
      <c r="U14296" s="33"/>
    </row>
    <row r="14299">
      <c r="S14299" s="27"/>
      <c r="T14299" s="27"/>
      <c r="U14299" s="27"/>
    </row>
    <row r="14300">
      <c r="S14300" s="27"/>
      <c r="T14300" s="27"/>
      <c r="U14300" s="27"/>
    </row>
    <row r="14302">
      <c r="S14302" s="27"/>
      <c r="T14302" s="27"/>
      <c r="U14302" s="27"/>
    </row>
    <row r="14303">
      <c r="S14303" s="27"/>
      <c r="T14303" s="27"/>
      <c r="U14303" s="27"/>
    </row>
    <row r="14305">
      <c r="S14305" s="27"/>
      <c r="T14305" s="27"/>
      <c r="U14305" s="27"/>
    </row>
    <row r="14306">
      <c r="S14306" s="27"/>
      <c r="T14306" s="27"/>
      <c r="U14306" s="27"/>
    </row>
    <row r="14311">
      <c r="S14311" s="27"/>
      <c r="T14311" s="27"/>
      <c r="U14311" s="27"/>
    </row>
    <row r="14312">
      <c r="S14312" s="27"/>
      <c r="T14312" s="27"/>
      <c r="U14312" s="27"/>
    </row>
    <row r="14314">
      <c r="S14314" s="27"/>
      <c r="T14314" s="27"/>
      <c r="U14314" s="27"/>
    </row>
    <row r="14315">
      <c r="S14315" s="27"/>
      <c r="T14315" s="27"/>
      <c r="U14315" s="27"/>
    </row>
    <row r="14317">
      <c r="S14317" s="27"/>
      <c r="T14317" s="27"/>
    </row>
    <row r="14318">
      <c r="S14318" s="27"/>
      <c r="T14318" s="27"/>
      <c r="U14318" s="27"/>
    </row>
    <row r="14320">
      <c r="S14320" s="27"/>
      <c r="T14320" s="27"/>
    </row>
    <row r="14323">
      <c r="S14323" s="26"/>
      <c r="T14323" s="26"/>
      <c r="U14323" s="26"/>
    </row>
    <row r="14326">
      <c r="S14326" s="27"/>
      <c r="T14326" s="27"/>
      <c r="U14326" s="27"/>
    </row>
    <row r="14327">
      <c r="S14327" s="27"/>
      <c r="T14327" s="27"/>
      <c r="U14327" s="27"/>
    </row>
    <row r="14329">
      <c r="S14329" s="27"/>
      <c r="T14329" s="27"/>
      <c r="U14329" s="27"/>
    </row>
    <row r="14330">
      <c r="S14330" s="27"/>
      <c r="T14330" s="27"/>
      <c r="U14330" s="27"/>
    </row>
    <row r="14332">
      <c r="S14332" s="26"/>
      <c r="T14332" s="26"/>
      <c r="U14332" s="26"/>
    </row>
    <row r="14335">
      <c r="S14335" s="27"/>
      <c r="T14335" s="27"/>
      <c r="U14335" s="27"/>
    </row>
    <row r="14338">
      <c r="S14338" s="27"/>
      <c r="T14338" s="27"/>
      <c r="U14338" s="27"/>
    </row>
    <row r="14339">
      <c r="S14339" s="27"/>
      <c r="T14339" s="27"/>
      <c r="U14339" s="27"/>
    </row>
    <row r="14341">
      <c r="S14341" s="27"/>
      <c r="T14341" s="27"/>
      <c r="U14341" s="27"/>
    </row>
    <row r="14342">
      <c r="S14342" s="27"/>
      <c r="T14342" s="27"/>
      <c r="U14342" s="27"/>
    </row>
    <row r="14344">
      <c r="S14344" s="27"/>
      <c r="T14344" s="27"/>
      <c r="U14344" s="27"/>
    </row>
    <row r="14345">
      <c r="S14345" s="27"/>
      <c r="T14345" s="27"/>
      <c r="U14345" s="27"/>
    </row>
    <row r="14347">
      <c r="S14347" s="27"/>
      <c r="T14347" s="27"/>
      <c r="U14347" s="27"/>
    </row>
    <row r="14348">
      <c r="S14348" s="27"/>
      <c r="T14348" s="27"/>
      <c r="U14348" s="27"/>
    </row>
    <row r="14350">
      <c r="S14350" s="27"/>
      <c r="T14350" s="27"/>
      <c r="U14350" s="27"/>
    </row>
    <row r="14351">
      <c r="S14351" s="27"/>
      <c r="T14351" s="27"/>
      <c r="U14351" s="27"/>
    </row>
    <row r="14353">
      <c r="S14353" s="27"/>
      <c r="T14353" s="27"/>
      <c r="U14353" s="27"/>
    </row>
    <row r="14354">
      <c r="S14354" s="27"/>
      <c r="T14354" s="27"/>
      <c r="U14354" s="27"/>
    </row>
    <row r="14356">
      <c r="S14356" s="27"/>
      <c r="T14356" s="27"/>
      <c r="U14356" s="27"/>
    </row>
    <row r="14357">
      <c r="S14357" s="27"/>
      <c r="T14357" s="27"/>
      <c r="U14357" s="27"/>
    </row>
    <row r="14359">
      <c r="S14359" s="27"/>
      <c r="T14359" s="27"/>
      <c r="U14359" s="27"/>
    </row>
    <row r="14360">
      <c r="S14360" s="27"/>
      <c r="T14360" s="27"/>
      <c r="U14360" s="27"/>
    </row>
    <row r="14362">
      <c r="S14362" s="27"/>
      <c r="T14362" s="27"/>
      <c r="U14362" s="27"/>
    </row>
    <row r="14363">
      <c r="S14363" s="27"/>
      <c r="T14363" s="27"/>
      <c r="U14363" s="27"/>
    </row>
    <row r="14365">
      <c r="S14365" s="27"/>
      <c r="T14365" s="27"/>
      <c r="U14365" s="27"/>
    </row>
    <row r="14366">
      <c r="S14366" s="27"/>
      <c r="T14366" s="27"/>
      <c r="U14366" s="27"/>
    </row>
    <row r="14368">
      <c r="S14368" s="27"/>
      <c r="T14368" s="27"/>
      <c r="U14368" s="27"/>
    </row>
    <row r="14369">
      <c r="S14369" s="27"/>
      <c r="T14369" s="27"/>
      <c r="U14369" s="27"/>
    </row>
    <row r="14371">
      <c r="S14371" s="27"/>
      <c r="T14371" s="27"/>
      <c r="U14371" s="27"/>
    </row>
    <row r="14372">
      <c r="S14372" s="27"/>
      <c r="T14372" s="27"/>
      <c r="U14372" s="27"/>
    </row>
    <row r="14374">
      <c r="S14374" s="27"/>
      <c r="T14374" s="27"/>
      <c r="U14374" s="27"/>
    </row>
    <row r="14375">
      <c r="S14375" s="27"/>
      <c r="T14375" s="27"/>
      <c r="U14375" s="27"/>
    </row>
    <row r="14377">
      <c r="S14377" s="27"/>
      <c r="T14377" s="27"/>
      <c r="U14377" s="27"/>
    </row>
    <row r="14378">
      <c r="S14378" s="27"/>
      <c r="T14378" s="27"/>
      <c r="U14378" s="27"/>
    </row>
    <row r="14380">
      <c r="S14380" s="27"/>
      <c r="T14380" s="27"/>
      <c r="U14380" s="27"/>
    </row>
    <row r="14381">
      <c r="S14381" s="27"/>
      <c r="T14381" s="27"/>
      <c r="U14381" s="27"/>
    </row>
    <row r="14383">
      <c r="S14383" s="27"/>
      <c r="T14383" s="27"/>
      <c r="U14383" s="27"/>
    </row>
    <row r="14384">
      <c r="S14384" s="27"/>
      <c r="T14384" s="27"/>
      <c r="U14384" s="27"/>
    </row>
    <row r="14386">
      <c r="S14386" s="27"/>
      <c r="T14386" s="27"/>
      <c r="U14386" s="27"/>
    </row>
    <row r="14387">
      <c r="S14387" s="27"/>
      <c r="T14387" s="27"/>
      <c r="U14387" s="27"/>
    </row>
    <row r="14389">
      <c r="S14389" s="27"/>
      <c r="T14389" s="27"/>
      <c r="U14389" s="27"/>
    </row>
    <row r="14390">
      <c r="S14390" s="27"/>
      <c r="T14390" s="27"/>
      <c r="U14390" s="27"/>
    </row>
    <row r="14392">
      <c r="S14392" s="27"/>
      <c r="T14392" s="27"/>
      <c r="U14392" s="27"/>
    </row>
    <row r="14393">
      <c r="S14393" s="27"/>
      <c r="T14393" s="27"/>
      <c r="U14393" s="27"/>
    </row>
    <row r="14395">
      <c r="S14395" s="27"/>
      <c r="T14395" s="27"/>
      <c r="U14395" s="27"/>
    </row>
    <row r="14396">
      <c r="S14396" s="27"/>
      <c r="T14396" s="27"/>
      <c r="U14396" s="27"/>
    </row>
    <row r="14398">
      <c r="S14398" s="27"/>
      <c r="T14398" s="27"/>
      <c r="U14398" s="27"/>
    </row>
    <row r="14399">
      <c r="S14399" s="27"/>
      <c r="T14399" s="27"/>
      <c r="U14399" s="27"/>
    </row>
    <row r="14401">
      <c r="S14401" s="27"/>
      <c r="T14401" s="27"/>
      <c r="U14401" s="27"/>
    </row>
    <row r="14402">
      <c r="S14402" s="27"/>
      <c r="T14402" s="27"/>
      <c r="U14402" s="27"/>
    </row>
    <row r="14404">
      <c r="S14404" s="27"/>
      <c r="T14404" s="27"/>
      <c r="U14404" s="27"/>
    </row>
    <row r="14405">
      <c r="S14405" s="27"/>
      <c r="T14405" s="27"/>
      <c r="U14405" s="27"/>
    </row>
    <row r="14407">
      <c r="S14407" s="27"/>
      <c r="T14407" s="27"/>
      <c r="U14407" s="27"/>
    </row>
    <row r="14408">
      <c r="S14408" s="27"/>
      <c r="T14408" s="27"/>
      <c r="U14408" s="27"/>
    </row>
    <row r="14413">
      <c r="S14413" s="33"/>
      <c r="T14413" s="27"/>
      <c r="U14413" s="27"/>
    </row>
    <row r="14414">
      <c r="S14414" s="27"/>
      <c r="T14414" s="27"/>
      <c r="U14414" s="27"/>
    </row>
    <row r="14416">
      <c r="S14416" s="27"/>
      <c r="T14416" s="27"/>
      <c r="U14416" s="27"/>
    </row>
    <row r="14419">
      <c r="S14419" s="33"/>
      <c r="T14419" s="33"/>
    </row>
    <row r="14420">
      <c r="S14420" s="27"/>
      <c r="T14420" s="27"/>
    </row>
    <row r="14422">
      <c r="S14422" s="27"/>
      <c r="T14422" s="27"/>
      <c r="U14422" s="27"/>
    </row>
    <row r="14423">
      <c r="S14423" s="27"/>
      <c r="T14423" s="27"/>
      <c r="U14423" s="27"/>
    </row>
    <row r="14425">
      <c r="S14425" s="27"/>
      <c r="T14425" s="27"/>
      <c r="U14425" s="27"/>
    </row>
    <row r="14428">
      <c r="S14428" s="27"/>
      <c r="T14428" s="27"/>
      <c r="U14428" s="27"/>
    </row>
    <row r="14429">
      <c r="S14429" s="27"/>
      <c r="T14429" s="27"/>
      <c r="U14429" s="27"/>
    </row>
    <row r="14431">
      <c r="S14431" s="27"/>
      <c r="T14431" s="27"/>
      <c r="U14431" s="27"/>
    </row>
    <row r="14432">
      <c r="S14432" s="27"/>
      <c r="T14432" s="27"/>
      <c r="U14432" s="27"/>
    </row>
    <row r="14434">
      <c r="S14434" s="27"/>
      <c r="T14434" s="27"/>
      <c r="U14434" s="27"/>
    </row>
    <row r="14435">
      <c r="S14435" s="27"/>
      <c r="T14435" s="27"/>
      <c r="U14435" s="27"/>
    </row>
    <row r="14440">
      <c r="S14440" s="26"/>
      <c r="T14440" s="26"/>
    </row>
    <row r="14443">
      <c r="S14443" s="27"/>
      <c r="T14443" s="27"/>
      <c r="U14443" s="27"/>
    </row>
    <row r="14445">
      <c r="S14445" s="27"/>
      <c r="T14445" s="27"/>
      <c r="U14445" s="27"/>
    </row>
    <row r="14447">
      <c r="S14447" s="26"/>
      <c r="T14447" s="26"/>
      <c r="U14447" s="26"/>
    </row>
    <row r="14450">
      <c r="U14450" s="27"/>
    </row>
    <row r="14453">
      <c r="S14453" s="27"/>
      <c r="T14453" s="27"/>
      <c r="U14453" s="27"/>
    </row>
    <row r="14454">
      <c r="S14454" s="27"/>
      <c r="T14454" s="27"/>
      <c r="U14454" s="27"/>
    </row>
    <row r="14456">
      <c r="S14456" s="27"/>
      <c r="T14456" s="27"/>
      <c r="U14456" s="27"/>
    </row>
    <row r="14457">
      <c r="S14457" s="27"/>
      <c r="T14457" s="27"/>
      <c r="U14457" s="27"/>
    </row>
    <row r="14459">
      <c r="S14459" s="27"/>
      <c r="T14459" s="27"/>
      <c r="U14459" s="27"/>
    </row>
    <row r="14460">
      <c r="S14460" s="27"/>
      <c r="U14460" s="27"/>
    </row>
    <row r="14462">
      <c r="S14462" s="27"/>
      <c r="T14462" s="27"/>
      <c r="U14462" s="27"/>
    </row>
    <row r="14463">
      <c r="S14463" s="27"/>
      <c r="U14463" s="26"/>
    </row>
    <row r="14466">
      <c r="S14466" s="27"/>
      <c r="T14466" s="27"/>
      <c r="U14466" s="27"/>
    </row>
    <row r="14471">
      <c r="S14471" s="27"/>
      <c r="T14471" s="27"/>
      <c r="U14471" s="27"/>
    </row>
    <row r="14472">
      <c r="S14472" s="27"/>
      <c r="T14472" s="27"/>
      <c r="U14472" s="27"/>
    </row>
    <row r="14474">
      <c r="S14474" s="27"/>
      <c r="T14474" s="27"/>
      <c r="U14474" s="27"/>
    </row>
    <row r="14475">
      <c r="S14475" s="27"/>
      <c r="T14475" s="27"/>
      <c r="U14475" s="27"/>
    </row>
    <row r="14477">
      <c r="S14477" s="27"/>
      <c r="T14477" s="27"/>
      <c r="U14477" s="27"/>
    </row>
    <row r="14478">
      <c r="S14478" s="27"/>
      <c r="T14478" s="27"/>
      <c r="U14478" s="27"/>
    </row>
    <row r="14480">
      <c r="S14480" s="33"/>
      <c r="T14480" s="27"/>
      <c r="U14480" s="33"/>
    </row>
    <row r="14486">
      <c r="S14486" s="27"/>
      <c r="T14486" s="27"/>
      <c r="U14486" s="27"/>
    </row>
    <row r="14489">
      <c r="S14489" s="27"/>
      <c r="T14489" s="27"/>
      <c r="U14489" s="27"/>
    </row>
    <row r="14490">
      <c r="S14490" s="27"/>
      <c r="T14490" s="27"/>
      <c r="U14490" s="33"/>
    </row>
    <row r="14492">
      <c r="S14492" s="27"/>
      <c r="T14492" s="27"/>
      <c r="U14492" s="27"/>
    </row>
    <row r="14495">
      <c r="S14495" s="27"/>
      <c r="T14495" s="27"/>
      <c r="U14495" s="27"/>
    </row>
    <row r="14496">
      <c r="S14496" s="27"/>
      <c r="T14496" s="27"/>
      <c r="U14496" s="27"/>
    </row>
    <row r="14498">
      <c r="S14498" s="27"/>
      <c r="T14498" s="27"/>
      <c r="U14498" s="27"/>
    </row>
    <row r="14499">
      <c r="S14499" s="27"/>
      <c r="T14499" s="27"/>
      <c r="U14499" s="27"/>
    </row>
    <row r="14501">
      <c r="S14501" s="27"/>
      <c r="T14501" s="27"/>
      <c r="U14501" s="27"/>
    </row>
    <row r="14502">
      <c r="S14502" s="27"/>
      <c r="T14502" s="27"/>
      <c r="U14502" s="27"/>
    </row>
    <row r="14504">
      <c r="S14504" s="27"/>
      <c r="T14504" s="27"/>
      <c r="U14504" s="27"/>
    </row>
    <row r="14505">
      <c r="S14505" s="27"/>
      <c r="T14505" s="27"/>
      <c r="U14505" s="27"/>
    </row>
    <row r="14507">
      <c r="S14507" s="27"/>
      <c r="T14507" s="27"/>
      <c r="U14507" s="27"/>
    </row>
    <row r="14508">
      <c r="S14508" s="27"/>
      <c r="T14508" s="27"/>
      <c r="U14508" s="27"/>
    </row>
    <row r="14510">
      <c r="S14510" s="27"/>
      <c r="T14510" s="27"/>
      <c r="U14510" s="27"/>
    </row>
    <row r="14511">
      <c r="S14511" s="27"/>
      <c r="T14511" s="27"/>
      <c r="U14511" s="27"/>
    </row>
    <row r="14513">
      <c r="S14513" s="27"/>
      <c r="U14513" s="27"/>
    </row>
    <row r="14516">
      <c r="T14516" s="26"/>
      <c r="U14516" s="27"/>
    </row>
    <row r="14517">
      <c r="S14517" s="27"/>
    </row>
    <row r="14522">
      <c r="S14522" s="27"/>
      <c r="T14522" s="27"/>
      <c r="U14522" s="27"/>
    </row>
    <row r="14523">
      <c r="S14523" s="27"/>
      <c r="T14523" s="27"/>
      <c r="U14523" s="27"/>
    </row>
    <row r="14525">
      <c r="S14525" s="27"/>
      <c r="T14525" s="27"/>
      <c r="U14525" s="27"/>
    </row>
    <row r="14528">
      <c r="S14528" s="27"/>
      <c r="T14528" s="27"/>
      <c r="U14528" s="27"/>
    </row>
    <row r="14529">
      <c r="S14529" s="27"/>
      <c r="T14529" s="27"/>
      <c r="U14529" s="27"/>
    </row>
    <row r="14534">
      <c r="S14534" s="27"/>
      <c r="T14534" s="27"/>
      <c r="U14534" s="27"/>
    </row>
    <row r="14537">
      <c r="S14537" s="27"/>
      <c r="T14537" s="27"/>
      <c r="U14537" s="27"/>
    </row>
    <row r="14538">
      <c r="S14538" s="27"/>
      <c r="T14538" s="27"/>
      <c r="U14538" s="27"/>
    </row>
    <row r="14540">
      <c r="S14540" s="27"/>
      <c r="T14540" s="27"/>
      <c r="U14540" s="27"/>
    </row>
    <row r="14541">
      <c r="S14541" s="27"/>
      <c r="T14541" s="27"/>
      <c r="U14541" s="27"/>
    </row>
    <row r="14543">
      <c r="S14543" s="27"/>
      <c r="T14543" s="27"/>
      <c r="U14543" s="27"/>
    </row>
    <row r="14544">
      <c r="S14544" s="27"/>
      <c r="T14544" s="27"/>
      <c r="U14544" s="27"/>
    </row>
    <row r="14546">
      <c r="S14546" s="27"/>
    </row>
    <row r="14547">
      <c r="T14547" s="26"/>
      <c r="U14547" s="26"/>
    </row>
    <row r="14549">
      <c r="S14549" s="27"/>
      <c r="T14549" s="27"/>
      <c r="U14549" s="27"/>
    </row>
    <row r="14550">
      <c r="S14550" s="27"/>
      <c r="T14550" s="27"/>
      <c r="U14550" s="27"/>
    </row>
    <row r="14552">
      <c r="S14552" s="27"/>
      <c r="T14552" s="27"/>
      <c r="U14552" s="27"/>
    </row>
    <row r="14553">
      <c r="S14553" s="27"/>
      <c r="T14553" s="27"/>
      <c r="U14553" s="27"/>
    </row>
    <row r="14555">
      <c r="S14555" s="27"/>
      <c r="T14555" s="27"/>
      <c r="U14555" s="27"/>
    </row>
    <row r="14556">
      <c r="S14556" s="27"/>
      <c r="T14556" s="27"/>
      <c r="U14556" s="27"/>
    </row>
    <row r="14558">
      <c r="S14558" s="27"/>
      <c r="T14558" s="27"/>
      <c r="U14558" s="27"/>
    </row>
    <row r="14559">
      <c r="S14559" s="27"/>
      <c r="T14559" s="27"/>
      <c r="U14559" s="27"/>
    </row>
    <row r="14561">
      <c r="S14561" s="27"/>
      <c r="T14561" s="27"/>
      <c r="U14561" s="27"/>
    </row>
    <row r="14562">
      <c r="S14562" s="27"/>
      <c r="T14562" s="27"/>
      <c r="U14562" s="27"/>
    </row>
    <row r="14564">
      <c r="S14564" s="27"/>
      <c r="T14564" s="27"/>
      <c r="U14564" s="27"/>
    </row>
    <row r="14565">
      <c r="S14565" s="27"/>
      <c r="T14565" s="27"/>
      <c r="U14565" s="27"/>
    </row>
    <row r="14567">
      <c r="S14567" s="27"/>
      <c r="T14567" s="27"/>
      <c r="U14567" s="27"/>
    </row>
    <row r="14568">
      <c r="S14568" s="27"/>
      <c r="T14568" s="27"/>
      <c r="U14568" s="27"/>
    </row>
    <row r="14570">
      <c r="S14570" s="27"/>
      <c r="T14570" s="27"/>
      <c r="U14570" s="27"/>
    </row>
    <row r="14571">
      <c r="S14571" s="27"/>
      <c r="T14571" s="27"/>
      <c r="U14571" s="27"/>
    </row>
    <row r="14573">
      <c r="S14573" s="27"/>
      <c r="T14573" s="27"/>
      <c r="U14573" s="27"/>
    </row>
    <row r="14574">
      <c r="S14574" s="27"/>
      <c r="T14574" s="27"/>
      <c r="U14574" s="27"/>
    </row>
    <row r="14576">
      <c r="S14576" s="27"/>
      <c r="T14576" s="27"/>
      <c r="U14576" s="27"/>
    </row>
    <row r="14577">
      <c r="S14577" s="27"/>
      <c r="T14577" s="27"/>
      <c r="U14577" s="27"/>
    </row>
    <row r="14579">
      <c r="S14579" s="27"/>
      <c r="T14579" s="27"/>
      <c r="U14579" s="27"/>
    </row>
    <row r="14580">
      <c r="S14580" s="27"/>
      <c r="T14580" s="27"/>
      <c r="U14580" s="27"/>
    </row>
    <row r="14582">
      <c r="S14582" s="27"/>
      <c r="T14582" s="27"/>
      <c r="U14582" s="27"/>
    </row>
    <row r="14583">
      <c r="S14583" s="27"/>
      <c r="T14583" s="27"/>
      <c r="U14583" s="27"/>
    </row>
    <row r="14585">
      <c r="S14585" s="27"/>
      <c r="T14585" s="27"/>
      <c r="U14585" s="27"/>
    </row>
    <row r="14586">
      <c r="S14586" s="27"/>
      <c r="T14586" s="27"/>
      <c r="U14586" s="27"/>
    </row>
    <row r="14588">
      <c r="S14588" s="27"/>
      <c r="T14588" s="27"/>
      <c r="U14588" s="27"/>
    </row>
    <row r="14589">
      <c r="S14589" s="27"/>
      <c r="T14589" s="27"/>
      <c r="U14589" s="27"/>
    </row>
    <row r="14591">
      <c r="S14591" s="27"/>
      <c r="T14591" s="27"/>
      <c r="U14591" s="27"/>
    </row>
    <row r="14592">
      <c r="S14592" s="27"/>
      <c r="T14592" s="27"/>
      <c r="U14592" s="27"/>
    </row>
    <row r="14594">
      <c r="S14594" s="27"/>
      <c r="T14594" s="27"/>
      <c r="U14594" s="27"/>
    </row>
    <row r="14595">
      <c r="S14595" s="27"/>
      <c r="T14595" s="27"/>
      <c r="U14595" s="27"/>
    </row>
    <row r="14597">
      <c r="S14597" s="27"/>
      <c r="T14597" s="27"/>
      <c r="U14597" s="27"/>
    </row>
    <row r="14598">
      <c r="S14598" s="27"/>
      <c r="T14598" s="27"/>
      <c r="U14598" s="27"/>
    </row>
    <row r="14600">
      <c r="S14600" s="27"/>
      <c r="T14600" s="27"/>
      <c r="U14600" s="27"/>
    </row>
    <row r="14601">
      <c r="S14601" s="27"/>
      <c r="T14601" s="27"/>
      <c r="U14601" s="27"/>
    </row>
    <row r="14603">
      <c r="S14603" s="27"/>
      <c r="T14603" s="27"/>
      <c r="U14603" s="27"/>
    </row>
    <row r="14604">
      <c r="S14604" s="27"/>
      <c r="T14604" s="27"/>
      <c r="U14604" s="27"/>
    </row>
    <row r="14606">
      <c r="S14606" s="27"/>
      <c r="T14606" s="27"/>
      <c r="U14606" s="27"/>
    </row>
    <row r="14607">
      <c r="S14607" s="27"/>
      <c r="T14607" s="27"/>
      <c r="U14607" s="27"/>
    </row>
    <row r="14609">
      <c r="S14609" s="27"/>
      <c r="T14609" s="27"/>
      <c r="U14609" s="27"/>
    </row>
    <row r="14610">
      <c r="S14610" s="27"/>
      <c r="T14610" s="27"/>
      <c r="U14610" s="27"/>
    </row>
    <row r="14612">
      <c r="S14612" s="27"/>
      <c r="T14612" s="27"/>
      <c r="U14612" s="27"/>
    </row>
    <row r="14613">
      <c r="S14613" s="27"/>
      <c r="T14613" s="27"/>
      <c r="U14613" s="27"/>
    </row>
    <row r="14615">
      <c r="S14615" s="27"/>
      <c r="T14615" s="27"/>
      <c r="U14615" s="27"/>
    </row>
    <row r="14616">
      <c r="S14616" s="27"/>
      <c r="T14616" s="27"/>
      <c r="U14616" s="27"/>
    </row>
    <row r="14618">
      <c r="S14618" s="27"/>
      <c r="T14618" s="27"/>
      <c r="U14618" s="27"/>
    </row>
    <row r="14619">
      <c r="S14619" s="27"/>
      <c r="T14619" s="27"/>
      <c r="U14619" s="27"/>
    </row>
    <row r="14621">
      <c r="S14621" s="27"/>
      <c r="T14621" s="27"/>
      <c r="U14621" s="27"/>
    </row>
    <row r="14622">
      <c r="S14622" s="27"/>
      <c r="T14622" s="27"/>
      <c r="U14622" s="27"/>
    </row>
    <row r="14624">
      <c r="S14624" s="27"/>
      <c r="T14624" s="27"/>
      <c r="U14624" s="27"/>
    </row>
    <row r="14625">
      <c r="S14625" s="27"/>
      <c r="T14625" s="27"/>
      <c r="U14625" s="27"/>
    </row>
    <row r="14627">
      <c r="S14627" s="27"/>
      <c r="T14627" s="27"/>
      <c r="U14627" s="27"/>
    </row>
    <row r="14628">
      <c r="S14628" s="27"/>
      <c r="T14628" s="27"/>
      <c r="U14628" s="27"/>
    </row>
    <row r="14630">
      <c r="S14630" s="27"/>
      <c r="T14630" s="27"/>
      <c r="U14630" s="27"/>
    </row>
    <row r="14631">
      <c r="S14631" s="27"/>
      <c r="T14631" s="27"/>
      <c r="U14631" s="27"/>
    </row>
    <row r="14633">
      <c r="S14633" s="27"/>
      <c r="T14633" s="27"/>
      <c r="U14633" s="27"/>
    </row>
    <row r="14634">
      <c r="S14634" s="27"/>
      <c r="T14634" s="27"/>
      <c r="U14634" s="27"/>
    </row>
    <row r="14636">
      <c r="S14636" s="27"/>
      <c r="T14636" s="27"/>
      <c r="U14636" s="27"/>
    </row>
    <row r="14637">
      <c r="S14637" s="27"/>
      <c r="T14637" s="27"/>
      <c r="U14637" s="27"/>
    </row>
    <row r="14639">
      <c r="S14639" s="27"/>
      <c r="T14639" s="27"/>
      <c r="U14639" s="27"/>
    </row>
    <row r="14640">
      <c r="S14640" s="27"/>
      <c r="T14640" s="27"/>
      <c r="U14640" s="27"/>
    </row>
    <row r="14642">
      <c r="S14642" s="27"/>
      <c r="T14642" s="27"/>
      <c r="U14642" s="27"/>
    </row>
    <row r="14644">
      <c r="S14644" s="27"/>
      <c r="T14644" s="27"/>
      <c r="U14644" s="27"/>
    </row>
    <row r="14645">
      <c r="S14645" s="27"/>
      <c r="T14645" s="27"/>
      <c r="U14645" s="27"/>
    </row>
    <row r="14647">
      <c r="S14647" s="27"/>
      <c r="T14647" s="27"/>
      <c r="U14647" s="27"/>
    </row>
    <row r="14648">
      <c r="S14648" s="27"/>
      <c r="T14648" s="27"/>
      <c r="U14648" s="27"/>
    </row>
    <row r="14650">
      <c r="S14650" s="27"/>
      <c r="T14650" s="27"/>
      <c r="U14650" s="27"/>
    </row>
    <row r="14651">
      <c r="S14651" s="27"/>
      <c r="T14651" s="27"/>
      <c r="U14651" s="27"/>
    </row>
    <row r="14653">
      <c r="S14653" s="27"/>
      <c r="T14653" s="27"/>
      <c r="U14653" s="27"/>
    </row>
    <row r="14654">
      <c r="S14654" s="27"/>
      <c r="T14654" s="27"/>
      <c r="U14654" s="27"/>
    </row>
    <row r="14656">
      <c r="S14656" s="27"/>
      <c r="T14656" s="27"/>
      <c r="U14656" s="27"/>
    </row>
    <row r="14657">
      <c r="S14657" s="27"/>
      <c r="T14657" s="27"/>
      <c r="U14657" s="27"/>
    </row>
    <row r="14659">
      <c r="S14659" s="27"/>
      <c r="T14659" s="27"/>
      <c r="U14659" s="27"/>
    </row>
    <row r="14660">
      <c r="S14660" s="27"/>
      <c r="T14660" s="27"/>
      <c r="U14660" s="27"/>
    </row>
    <row r="14662">
      <c r="S14662" s="27"/>
      <c r="T14662" s="27"/>
      <c r="U14662" s="27"/>
    </row>
    <row r="14663">
      <c r="S14663" s="27"/>
      <c r="T14663" s="27"/>
      <c r="U14663" s="27"/>
    </row>
    <row r="14665">
      <c r="S14665" s="27"/>
      <c r="T14665" s="27"/>
      <c r="U14665" s="27"/>
    </row>
    <row r="14667">
      <c r="S14667" s="27"/>
      <c r="T14667" s="27"/>
      <c r="U14667" s="27"/>
    </row>
    <row r="14669">
      <c r="T14669" s="27"/>
      <c r="U14669" s="27"/>
    </row>
    <row r="14671">
      <c r="S14671" s="27"/>
      <c r="T14671" s="27"/>
      <c r="U14671" s="27"/>
    </row>
    <row r="14673">
      <c r="S14673" s="27"/>
      <c r="T14673" s="27"/>
      <c r="U14673" s="27"/>
    </row>
    <row r="14674">
      <c r="S14674" s="27"/>
      <c r="T14674" s="27"/>
      <c r="U14674" s="27"/>
    </row>
    <row r="14676">
      <c r="S14676" s="27"/>
      <c r="T14676" s="27"/>
      <c r="U14676" s="27"/>
    </row>
    <row r="14677">
      <c r="S14677" s="27"/>
      <c r="T14677" s="27"/>
      <c r="U14677" s="27"/>
    </row>
    <row r="14679">
      <c r="S14679" s="27"/>
      <c r="T14679" s="27"/>
      <c r="U14679" s="27"/>
    </row>
    <row r="14680">
      <c r="S14680" s="33"/>
      <c r="T14680" s="33"/>
      <c r="U14680" s="27"/>
    </row>
    <row r="14682">
      <c r="S14682" s="27"/>
      <c r="T14682" s="27"/>
      <c r="U14682" s="27"/>
    </row>
    <row r="14683">
      <c r="S14683" s="27"/>
      <c r="T14683" s="27"/>
      <c r="U14683" s="27"/>
    </row>
    <row r="14685">
      <c r="S14685" s="27"/>
      <c r="T14685" s="27"/>
      <c r="U14685" s="27"/>
    </row>
    <row r="14686">
      <c r="S14686" s="27"/>
      <c r="T14686" s="27"/>
      <c r="U14686" s="27"/>
    </row>
    <row r="14688">
      <c r="S14688" s="27"/>
      <c r="T14688" s="27"/>
      <c r="U14688" s="27"/>
    </row>
    <row r="14689">
      <c r="S14689" s="27"/>
      <c r="T14689" s="27"/>
      <c r="U14689" s="27"/>
    </row>
    <row r="14694">
      <c r="U14694" s="27"/>
    </row>
    <row r="14697">
      <c r="S14697" s="27"/>
      <c r="T14697" s="33"/>
      <c r="U14697" s="33"/>
    </row>
    <row r="14700">
      <c r="S14700" s="27"/>
      <c r="T14700" s="27"/>
      <c r="U14700" s="27"/>
    </row>
    <row r="14701">
      <c r="S14701" s="27"/>
      <c r="T14701" s="27"/>
      <c r="U14701" s="27"/>
    </row>
    <row r="14703">
      <c r="S14703" s="27"/>
      <c r="T14703" s="27"/>
      <c r="U14703" s="27"/>
    </row>
    <row r="14704">
      <c r="S14704" s="27"/>
      <c r="T14704" s="27"/>
      <c r="U14704" s="27"/>
    </row>
    <row r="14706">
      <c r="S14706" s="27"/>
      <c r="T14706" s="27"/>
      <c r="U14706" s="27"/>
    </row>
    <row r="14707">
      <c r="S14707" s="27"/>
      <c r="T14707" s="27"/>
      <c r="U14707" s="27"/>
    </row>
    <row r="14709">
      <c r="S14709" s="26"/>
      <c r="T14709" s="26"/>
      <c r="U14709" s="26"/>
    </row>
    <row r="14712">
      <c r="S14712" s="27"/>
      <c r="T14712" s="27"/>
      <c r="U14712" s="27"/>
    </row>
    <row r="14713">
      <c r="S14713" s="27"/>
      <c r="T14713" s="27"/>
      <c r="U14713" s="27"/>
    </row>
    <row r="14715">
      <c r="S14715" s="27"/>
      <c r="T14715" s="27"/>
      <c r="U14715" s="27"/>
    </row>
    <row r="14716">
      <c r="S14716" s="27"/>
      <c r="T14716" s="27"/>
      <c r="U14716" s="27"/>
    </row>
    <row r="14718">
      <c r="T14718" s="26"/>
    </row>
    <row r="14719">
      <c r="S14719" s="27"/>
      <c r="U14719" s="27"/>
    </row>
    <row r="14721">
      <c r="S14721" s="27"/>
      <c r="T14721" s="27"/>
      <c r="U14721" s="27"/>
    </row>
    <row r="14724">
      <c r="S14724" s="26"/>
      <c r="T14724" s="26"/>
      <c r="U14724" s="26"/>
    </row>
    <row r="14727">
      <c r="S14727" s="27"/>
      <c r="T14727" s="27"/>
      <c r="U14727" s="27"/>
    </row>
    <row r="14728">
      <c r="S14728" s="27"/>
      <c r="T14728" s="27"/>
      <c r="U14728" s="27"/>
    </row>
    <row r="14730">
      <c r="S14730" s="27"/>
      <c r="T14730" s="27"/>
      <c r="U14730" s="27"/>
    </row>
    <row r="14731">
      <c r="S14731" s="27"/>
      <c r="T14731" s="27"/>
      <c r="U14731" s="27"/>
    </row>
    <row r="14733">
      <c r="S14733" s="26"/>
      <c r="T14733" s="26"/>
      <c r="U14733" s="26"/>
    </row>
    <row r="14736">
      <c r="T14736" s="27"/>
      <c r="U14736" s="27"/>
    </row>
    <row r="14742">
      <c r="S14742" s="27"/>
      <c r="T14742" s="27"/>
      <c r="U14742" s="27"/>
    </row>
    <row r="14743">
      <c r="S14743" s="27"/>
      <c r="T14743" s="27"/>
      <c r="U14743" s="27"/>
    </row>
    <row r="14745">
      <c r="S14745" s="27"/>
      <c r="T14745" s="27"/>
      <c r="U14745" s="27"/>
    </row>
    <row r="14746">
      <c r="S14746" s="27"/>
      <c r="T14746" s="27"/>
      <c r="U14746" s="27"/>
    </row>
    <row r="14748">
      <c r="S14748" s="27"/>
      <c r="T14748" s="27"/>
      <c r="U14748" s="27"/>
    </row>
    <row r="14749">
      <c r="S14749" s="27"/>
      <c r="T14749" s="27"/>
      <c r="U14749" s="27"/>
    </row>
    <row r="14751">
      <c r="S14751" s="27"/>
      <c r="T14751" s="27"/>
      <c r="U14751" s="27"/>
    </row>
    <row r="14752">
      <c r="S14752" s="27"/>
      <c r="T14752" s="27"/>
      <c r="U14752" s="27"/>
    </row>
    <row r="14754">
      <c r="S14754" s="27"/>
      <c r="T14754" s="27"/>
      <c r="U14754" s="27"/>
    </row>
    <row r="14755">
      <c r="S14755" s="27"/>
      <c r="T14755" s="27"/>
      <c r="U14755" s="27"/>
    </row>
    <row r="14757">
      <c r="S14757" s="27"/>
      <c r="T14757" s="27"/>
      <c r="U14757" s="27"/>
    </row>
    <row r="14758">
      <c r="S14758" s="27"/>
      <c r="T14758" s="27"/>
      <c r="U14758" s="27"/>
    </row>
    <row r="14760">
      <c r="S14760" s="27"/>
      <c r="T14760" s="27"/>
      <c r="U14760" s="27"/>
    </row>
    <row r="14761">
      <c r="S14761" s="27"/>
      <c r="T14761" s="27"/>
      <c r="U14761" s="27"/>
    </row>
    <row r="14763">
      <c r="S14763" s="27"/>
      <c r="T14763" s="27"/>
      <c r="U14763" s="27"/>
    </row>
    <row r="14764">
      <c r="S14764" s="27"/>
      <c r="T14764" s="27"/>
      <c r="U14764" s="27"/>
    </row>
    <row r="14766">
      <c r="S14766" s="27"/>
      <c r="T14766" s="27"/>
      <c r="U14766" s="27"/>
    </row>
    <row r="14767">
      <c r="S14767" s="27"/>
      <c r="T14767" s="27"/>
      <c r="U14767" s="27"/>
    </row>
    <row r="14769">
      <c r="S14769" s="27"/>
      <c r="T14769" s="27"/>
      <c r="U14769" s="27"/>
    </row>
    <row r="14770">
      <c r="S14770" s="27"/>
      <c r="T14770" s="27"/>
      <c r="U14770" s="27"/>
    </row>
    <row r="14772">
      <c r="S14772" s="27"/>
      <c r="T14772" s="27"/>
      <c r="U14772" s="27"/>
    </row>
    <row r="14773">
      <c r="S14773" s="27"/>
      <c r="T14773" s="27"/>
      <c r="U14773" s="27"/>
    </row>
    <row r="14775">
      <c r="S14775" s="27"/>
      <c r="T14775" s="27"/>
      <c r="U14775" s="27"/>
    </row>
    <row r="14776">
      <c r="S14776" s="27"/>
      <c r="T14776" s="27"/>
      <c r="U14776" s="27"/>
    </row>
    <row r="14778">
      <c r="S14778" s="27"/>
      <c r="T14778" s="27"/>
      <c r="U14778" s="27"/>
    </row>
    <row r="14779">
      <c r="S14779" s="27"/>
      <c r="T14779" s="27"/>
      <c r="U14779" s="27"/>
    </row>
    <row r="14781">
      <c r="S14781" s="27"/>
      <c r="T14781" s="27"/>
      <c r="U14781" s="27"/>
    </row>
    <row r="14782">
      <c r="S14782" s="27"/>
      <c r="T14782" s="27"/>
      <c r="U14782" s="27"/>
    </row>
    <row r="14784">
      <c r="S14784" s="27"/>
      <c r="T14784" s="27"/>
      <c r="U14784" s="27"/>
    </row>
    <row r="14785">
      <c r="S14785" s="27"/>
      <c r="T14785" s="27"/>
      <c r="U14785" s="27"/>
    </row>
    <row r="14787">
      <c r="S14787" s="27"/>
      <c r="T14787" s="27"/>
      <c r="U14787" s="27"/>
    </row>
    <row r="14788">
      <c r="S14788" s="27"/>
      <c r="T14788" s="27"/>
      <c r="U14788" s="27"/>
    </row>
    <row r="14790">
      <c r="S14790" s="27"/>
      <c r="T14790" s="27"/>
      <c r="U14790" s="27"/>
    </row>
    <row r="14791">
      <c r="S14791" s="27"/>
      <c r="T14791" s="27"/>
      <c r="U14791" s="27"/>
    </row>
    <row r="14793">
      <c r="S14793" s="27"/>
      <c r="T14793" s="27"/>
      <c r="U14793" s="27"/>
    </row>
    <row r="14794">
      <c r="S14794" s="27"/>
      <c r="T14794" s="27"/>
      <c r="U14794" s="27"/>
    </row>
    <row r="14796">
      <c r="S14796" s="27"/>
      <c r="T14796" s="27"/>
      <c r="U14796" s="27"/>
    </row>
    <row r="14797">
      <c r="S14797" s="27"/>
      <c r="T14797" s="27"/>
      <c r="U14797" s="27"/>
    </row>
    <row r="14799">
      <c r="S14799" s="27"/>
      <c r="T14799" s="27"/>
      <c r="U14799" s="27"/>
    </row>
    <row r="14800">
      <c r="S14800" s="27"/>
      <c r="T14800" s="27"/>
      <c r="U14800" s="27"/>
    </row>
    <row r="14802">
      <c r="S14802" s="27"/>
      <c r="T14802" s="27"/>
      <c r="U14802" s="27"/>
    </row>
    <row r="14803">
      <c r="S14803" s="27"/>
      <c r="T14803" s="27"/>
      <c r="U14803" s="27"/>
    </row>
    <row r="14805">
      <c r="S14805" s="27"/>
      <c r="T14805" s="27"/>
      <c r="U14805" s="27"/>
    </row>
    <row r="14806">
      <c r="S14806" s="27"/>
      <c r="T14806" s="27"/>
      <c r="U14806" s="27"/>
    </row>
    <row r="14808">
      <c r="S14808" s="27"/>
      <c r="T14808" s="27"/>
      <c r="U14808" s="27"/>
    </row>
    <row r="14809">
      <c r="S14809" s="27"/>
      <c r="T14809" s="27"/>
      <c r="U14809" s="27"/>
    </row>
    <row r="14811">
      <c r="S14811" s="27"/>
      <c r="T14811" s="27"/>
      <c r="U14811" s="27"/>
    </row>
    <row r="14812">
      <c r="S14812" s="27"/>
      <c r="T14812" s="27"/>
      <c r="U14812" s="27"/>
    </row>
    <row r="14814">
      <c r="S14814" s="27"/>
      <c r="T14814" s="27"/>
      <c r="U14814" s="27"/>
    </row>
    <row r="14815">
      <c r="S14815" s="27"/>
      <c r="T14815" s="27"/>
      <c r="U14815" s="27"/>
    </row>
    <row r="14817">
      <c r="S14817" s="27"/>
      <c r="T14817" s="27"/>
      <c r="U14817" s="27"/>
    </row>
    <row r="14818">
      <c r="S14818" s="27"/>
      <c r="T14818" s="27"/>
      <c r="U14818" s="27"/>
    </row>
    <row r="14820">
      <c r="S14820" s="27"/>
      <c r="T14820" s="27"/>
      <c r="U14820" s="27"/>
    </row>
    <row r="14823">
      <c r="S14823" s="33"/>
      <c r="T14823" s="33"/>
    </row>
    <row r="14824">
      <c r="S14824" s="27"/>
      <c r="T14824" s="27"/>
    </row>
    <row r="14826">
      <c r="S14826" s="27"/>
      <c r="T14826" s="27"/>
      <c r="U14826" s="27"/>
    </row>
    <row r="14827">
      <c r="S14827" s="27"/>
      <c r="T14827" s="27"/>
      <c r="U14827" s="27"/>
    </row>
    <row r="14829">
      <c r="S14829" s="27"/>
      <c r="T14829" s="27"/>
      <c r="U14829" s="27"/>
    </row>
    <row r="14832">
      <c r="S14832" s="27"/>
      <c r="T14832" s="27"/>
      <c r="U14832" s="27"/>
    </row>
    <row r="14833">
      <c r="S14833" s="27"/>
      <c r="T14833" s="27"/>
      <c r="U14833" s="27"/>
    </row>
    <row r="14835">
      <c r="S14835" s="27"/>
      <c r="T14835" s="27"/>
      <c r="U14835" s="27"/>
    </row>
    <row r="14836">
      <c r="S14836" s="27"/>
      <c r="T14836" s="27"/>
      <c r="U14836" s="27"/>
    </row>
    <row r="14838">
      <c r="S14838" s="27"/>
      <c r="T14838" s="27"/>
      <c r="U14838" s="27"/>
    </row>
    <row r="14839">
      <c r="S14839" s="27"/>
      <c r="T14839" s="27"/>
      <c r="U14839" s="27"/>
    </row>
    <row r="14844">
      <c r="T14844" s="26"/>
      <c r="U14844" s="26"/>
    </row>
    <row r="14847">
      <c r="S14847" s="27"/>
      <c r="T14847" s="27"/>
      <c r="U14847" s="27"/>
    </row>
    <row r="14849">
      <c r="S14849" s="27"/>
      <c r="T14849" s="27"/>
      <c r="U14849" s="27"/>
    </row>
    <row r="14854">
      <c r="S14854" s="27"/>
      <c r="T14854" s="27"/>
      <c r="U14854" s="27"/>
    </row>
    <row r="14857">
      <c r="S14857" s="27"/>
      <c r="T14857" s="27"/>
      <c r="U14857" s="27"/>
    </row>
    <row r="14858">
      <c r="S14858" s="27"/>
      <c r="T14858" s="27"/>
      <c r="U14858" s="27"/>
    </row>
    <row r="14860">
      <c r="S14860" s="27"/>
      <c r="T14860" s="27"/>
      <c r="U14860" s="27"/>
    </row>
    <row r="14861">
      <c r="S14861" s="27"/>
      <c r="T14861" s="27"/>
      <c r="U14861" s="27"/>
    </row>
    <row r="14863">
      <c r="S14863" s="27"/>
      <c r="T14863" s="27"/>
      <c r="U14863" s="27"/>
    </row>
    <row r="14864">
      <c r="S14864" s="27"/>
      <c r="T14864" s="27"/>
      <c r="U14864" s="27"/>
    </row>
    <row r="14866">
      <c r="S14866" s="27"/>
      <c r="T14866" s="27"/>
      <c r="U14866" s="26"/>
    </row>
    <row r="14867">
      <c r="S14867" s="26"/>
      <c r="T14867" s="27"/>
      <c r="U14867" s="26"/>
    </row>
    <row r="14870">
      <c r="S14870" s="27"/>
      <c r="T14870" s="27"/>
      <c r="U14870" s="27"/>
    </row>
    <row r="14875">
      <c r="S14875" s="27"/>
      <c r="T14875" s="27"/>
      <c r="U14875" s="27"/>
    </row>
    <row r="14876">
      <c r="S14876" s="27"/>
      <c r="T14876" s="27"/>
      <c r="U14876" s="27"/>
    </row>
    <row r="14878">
      <c r="S14878" s="27"/>
      <c r="T14878" s="27"/>
      <c r="U14878" s="27"/>
    </row>
    <row r="14879">
      <c r="S14879" s="27"/>
      <c r="T14879" s="27"/>
      <c r="U14879" s="27"/>
    </row>
    <row r="14881">
      <c r="S14881" s="27"/>
      <c r="T14881" s="27"/>
      <c r="U14881" s="27"/>
    </row>
    <row r="14882">
      <c r="S14882" s="27"/>
      <c r="T14882" s="27"/>
      <c r="U14882" s="27"/>
    </row>
    <row r="14884">
      <c r="S14884" s="33"/>
      <c r="T14884" s="27"/>
      <c r="U14884" s="27"/>
    </row>
    <row r="14890">
      <c r="S14890" s="27"/>
      <c r="T14890" s="27"/>
      <c r="U14890" s="27"/>
    </row>
    <row r="14893">
      <c r="S14893" s="27"/>
      <c r="T14893" s="27"/>
      <c r="U14893" s="27"/>
    </row>
    <row r="14894">
      <c r="S14894" s="33"/>
      <c r="T14894" s="33"/>
      <c r="U14894" s="27"/>
    </row>
    <row r="14896">
      <c r="S14896" s="27"/>
      <c r="T14896" s="27"/>
      <c r="U14896" s="27"/>
    </row>
    <row r="14899">
      <c r="S14899" s="27"/>
      <c r="T14899" s="27"/>
      <c r="U14899" s="27"/>
    </row>
    <row r="14900">
      <c r="S14900" s="27"/>
      <c r="T14900" s="27"/>
      <c r="U14900" s="27"/>
    </row>
    <row r="14902">
      <c r="S14902" s="27"/>
      <c r="T14902" s="27"/>
      <c r="U14902" s="27"/>
    </row>
    <row r="14903">
      <c r="S14903" s="27"/>
      <c r="T14903" s="27"/>
      <c r="U14903" s="27"/>
    </row>
    <row r="14905">
      <c r="S14905" s="27"/>
      <c r="T14905" s="27"/>
      <c r="U14905" s="27"/>
    </row>
    <row r="14906">
      <c r="S14906" s="27"/>
      <c r="T14906" s="27"/>
      <c r="U14906" s="27"/>
    </row>
    <row r="14908">
      <c r="S14908" s="27"/>
      <c r="T14908" s="27"/>
      <c r="U14908" s="27"/>
    </row>
    <row r="14909">
      <c r="S14909" s="27"/>
      <c r="T14909" s="27"/>
      <c r="U14909" s="27"/>
    </row>
    <row r="14911">
      <c r="S14911" s="27"/>
    </row>
    <row r="14914">
      <c r="S14914" s="27"/>
      <c r="T14914" s="27"/>
      <c r="U14914" s="27"/>
    </row>
    <row r="14915">
      <c r="S14915" s="27"/>
      <c r="T14915" s="27"/>
      <c r="U14915" s="27"/>
    </row>
    <row r="14917">
      <c r="S14917" s="27"/>
      <c r="T14917" s="27"/>
      <c r="U14917" s="27"/>
    </row>
    <row r="14918">
      <c r="S14918" s="27"/>
      <c r="T14918" s="27"/>
      <c r="U14918" s="27"/>
    </row>
    <row r="14920">
      <c r="S14920" s="27"/>
      <c r="T14920" s="27"/>
      <c r="U14920" s="27"/>
    </row>
    <row r="14923">
      <c r="S14923" s="26"/>
      <c r="T14923" s="27"/>
      <c r="U14923" s="27"/>
    </row>
    <row r="14924">
      <c r="U14924" s="27"/>
    </row>
    <row r="14929">
      <c r="S14929" s="27"/>
      <c r="T14929" s="27"/>
      <c r="U14929" s="27"/>
    </row>
    <row r="14930">
      <c r="S14930" s="27"/>
      <c r="T14930" s="27"/>
      <c r="U14930" s="27"/>
    </row>
    <row r="14935">
      <c r="U14935" s="27"/>
    </row>
    <row r="14936">
      <c r="S14936" s="27"/>
      <c r="T14936" s="27"/>
      <c r="U14936" s="27"/>
    </row>
    <row r="14938">
      <c r="S14938" s="26"/>
      <c r="T14938" s="26"/>
      <c r="U14938" s="26"/>
    </row>
    <row r="14941">
      <c r="S14941" s="27"/>
      <c r="T14941" s="27"/>
      <c r="U14941" s="27"/>
    </row>
    <row r="14944">
      <c r="S14944" s="27"/>
      <c r="T14944" s="27"/>
      <c r="U14944" s="27"/>
    </row>
    <row r="14945">
      <c r="S14945" s="27"/>
      <c r="T14945" s="27"/>
      <c r="U14945" s="27"/>
    </row>
    <row r="14947">
      <c r="S14947" s="27"/>
      <c r="T14947" s="27"/>
      <c r="U14947" s="27"/>
    </row>
    <row r="14948">
      <c r="S14948" s="27"/>
      <c r="T14948" s="27"/>
      <c r="U14948" s="27"/>
    </row>
    <row r="14950">
      <c r="S14950" s="27"/>
      <c r="T14950" s="27"/>
      <c r="U14950" s="27"/>
    </row>
    <row r="14951">
      <c r="S14951" s="27"/>
      <c r="T14951" s="27"/>
      <c r="U14951" s="27"/>
    </row>
    <row r="14953">
      <c r="S14953" s="27"/>
    </row>
    <row r="14954">
      <c r="T14954" s="26"/>
      <c r="U14954" s="26"/>
    </row>
    <row r="14956">
      <c r="S14956" s="27"/>
      <c r="T14956" s="27"/>
      <c r="U14956" s="27"/>
    </row>
    <row r="14957">
      <c r="S14957" s="27"/>
      <c r="T14957" s="27"/>
      <c r="U14957" s="27"/>
    </row>
    <row r="14959">
      <c r="S14959" s="27"/>
      <c r="T14959" s="27"/>
      <c r="U14959" s="27"/>
    </row>
    <row r="14960">
      <c r="S14960" s="27"/>
      <c r="T14960" s="27"/>
      <c r="U14960" s="27"/>
    </row>
    <row r="14962">
      <c r="S14962" s="27"/>
      <c r="T14962" s="27"/>
      <c r="U14962" s="27"/>
    </row>
    <row r="14963">
      <c r="S14963" s="27"/>
      <c r="T14963" s="27"/>
      <c r="U14963" s="27"/>
    </row>
    <row r="14965">
      <c r="S14965" s="27"/>
      <c r="T14965" s="27"/>
      <c r="U14965" s="27"/>
    </row>
    <row r="14966">
      <c r="S14966" s="27"/>
      <c r="T14966" s="27"/>
      <c r="U14966" s="27"/>
    </row>
    <row r="14968">
      <c r="S14968" s="27"/>
      <c r="T14968" s="27"/>
      <c r="U14968" s="27"/>
    </row>
    <row r="14969">
      <c r="S14969" s="27"/>
      <c r="T14969" s="27"/>
      <c r="U14969" s="27"/>
    </row>
    <row r="14971">
      <c r="S14971" s="27"/>
      <c r="T14971" s="27"/>
      <c r="U14971" s="27"/>
    </row>
    <row r="14972">
      <c r="S14972" s="27"/>
      <c r="T14972" s="27"/>
      <c r="U14972" s="27"/>
    </row>
    <row r="14974">
      <c r="S14974" s="27"/>
      <c r="T14974" s="27"/>
      <c r="U14974" s="27"/>
    </row>
    <row r="14975">
      <c r="S14975" s="27"/>
      <c r="T14975" s="27"/>
      <c r="U14975" s="27"/>
    </row>
    <row r="14977">
      <c r="S14977" s="27"/>
      <c r="T14977" s="27"/>
      <c r="U14977" s="27"/>
    </row>
    <row r="14978">
      <c r="S14978" s="27"/>
      <c r="T14978" s="27"/>
      <c r="U14978" s="27"/>
    </row>
    <row r="14980">
      <c r="S14980" s="27"/>
      <c r="T14980" s="27"/>
      <c r="U14980" s="27"/>
    </row>
    <row r="14981">
      <c r="S14981" s="27"/>
      <c r="T14981" s="27"/>
      <c r="U14981" s="27"/>
    </row>
    <row r="14983">
      <c r="S14983" s="27"/>
      <c r="T14983" s="27"/>
      <c r="U14983" s="27"/>
    </row>
    <row r="14984">
      <c r="S14984" s="27"/>
      <c r="T14984" s="27"/>
      <c r="U14984" s="27"/>
    </row>
    <row r="14986">
      <c r="S14986" s="27"/>
      <c r="T14986" s="27"/>
      <c r="U14986" s="27"/>
    </row>
    <row r="14987">
      <c r="S14987" s="27"/>
      <c r="T14987" s="27"/>
      <c r="U14987" s="27"/>
    </row>
    <row r="14989">
      <c r="S14989" s="27"/>
      <c r="T14989" s="27"/>
      <c r="U14989" s="27"/>
    </row>
    <row r="14990">
      <c r="S14990" s="27"/>
      <c r="T14990" s="27"/>
      <c r="U14990" s="27"/>
    </row>
    <row r="14992">
      <c r="S14992" s="27"/>
      <c r="T14992" s="27"/>
      <c r="U14992" s="27"/>
    </row>
    <row r="14993">
      <c r="S14993" s="27"/>
      <c r="T14993" s="27"/>
      <c r="U14993" s="27"/>
    </row>
    <row r="14995">
      <c r="S14995" s="27"/>
      <c r="T14995" s="27"/>
      <c r="U14995" s="27"/>
    </row>
    <row r="14996">
      <c r="S14996" s="27"/>
      <c r="T14996" s="27"/>
      <c r="U14996" s="27"/>
    </row>
    <row r="14998">
      <c r="S14998" s="27"/>
      <c r="T14998" s="27"/>
      <c r="U14998" s="27"/>
    </row>
    <row r="14999">
      <c r="S14999" s="27"/>
      <c r="T14999" s="27"/>
      <c r="U14999" s="27"/>
    </row>
    <row r="15001">
      <c r="S15001" s="27"/>
      <c r="T15001" s="27"/>
      <c r="U15001" s="27"/>
    </row>
    <row r="15002">
      <c r="S15002" s="27"/>
      <c r="T15002" s="27"/>
      <c r="U15002" s="27"/>
    </row>
    <row r="15004">
      <c r="S15004" s="27"/>
      <c r="T15004" s="27"/>
      <c r="U15004" s="27"/>
    </row>
    <row r="15005">
      <c r="S15005" s="27"/>
      <c r="T15005" s="27"/>
      <c r="U15005" s="27"/>
    </row>
    <row r="15007">
      <c r="S15007" s="27"/>
      <c r="T15007" s="27"/>
      <c r="U15007" s="27"/>
    </row>
    <row r="15008">
      <c r="S15008" s="27"/>
      <c r="T15008" s="27"/>
      <c r="U15008" s="27"/>
    </row>
    <row r="15010">
      <c r="S15010" s="27"/>
      <c r="T15010" s="27"/>
      <c r="U15010" s="27"/>
    </row>
    <row r="15011">
      <c r="S15011" s="27"/>
      <c r="T15011" s="27"/>
      <c r="U15011" s="27"/>
    </row>
    <row r="15013">
      <c r="S15013" s="27"/>
      <c r="T15013" s="27"/>
      <c r="U15013" s="27"/>
    </row>
    <row r="15014">
      <c r="S15014" s="27"/>
      <c r="T15014" s="27"/>
      <c r="U15014" s="27"/>
    </row>
    <row r="15016">
      <c r="S15016" s="27"/>
      <c r="T15016" s="27"/>
      <c r="U15016" s="27"/>
    </row>
    <row r="15017">
      <c r="S15017" s="27"/>
      <c r="T15017" s="27"/>
      <c r="U15017" s="27"/>
    </row>
    <row r="15019">
      <c r="S15019" s="27"/>
      <c r="T15019" s="27"/>
      <c r="U15019" s="27"/>
    </row>
    <row r="15020">
      <c r="S15020" s="27"/>
      <c r="T15020" s="27"/>
      <c r="U15020" s="27"/>
    </row>
    <row r="15022">
      <c r="S15022" s="27"/>
      <c r="T15022" s="27"/>
      <c r="U15022" s="27"/>
    </row>
    <row r="15023">
      <c r="S15023" s="27"/>
      <c r="T15023" s="27"/>
      <c r="U15023" s="27"/>
    </row>
    <row r="15025">
      <c r="S15025" s="27"/>
      <c r="T15025" s="27"/>
      <c r="U15025" s="27"/>
    </row>
    <row r="15026">
      <c r="S15026" s="27"/>
      <c r="T15026" s="27"/>
      <c r="U15026" s="27"/>
    </row>
    <row r="15028">
      <c r="S15028" s="27"/>
      <c r="T15028" s="27"/>
      <c r="U15028" s="27"/>
    </row>
    <row r="15029">
      <c r="S15029" s="27"/>
      <c r="T15029" s="27"/>
      <c r="U15029" s="27"/>
    </row>
    <row r="15031">
      <c r="S15031" s="27"/>
      <c r="T15031" s="27"/>
      <c r="U15031" s="27"/>
    </row>
    <row r="15032">
      <c r="S15032" s="27"/>
      <c r="T15032" s="27"/>
      <c r="U15032" s="27"/>
    </row>
    <row r="15034">
      <c r="S15034" s="27"/>
      <c r="T15034" s="27"/>
      <c r="U15034" s="27"/>
    </row>
    <row r="15035">
      <c r="S15035" s="27"/>
      <c r="T15035" s="27"/>
      <c r="U15035" s="27"/>
    </row>
    <row r="15037">
      <c r="S15037" s="27"/>
      <c r="T15037" s="27"/>
      <c r="U15037" s="27"/>
    </row>
    <row r="15038">
      <c r="S15038" s="27"/>
      <c r="T15038" s="27"/>
      <c r="U15038" s="27"/>
    </row>
    <row r="15040">
      <c r="S15040" s="27"/>
      <c r="T15040" s="27"/>
      <c r="U15040" s="27"/>
    </row>
    <row r="15041">
      <c r="S15041" s="27"/>
      <c r="T15041" s="27"/>
      <c r="U15041" s="27"/>
    </row>
    <row r="15043">
      <c r="S15043" s="27"/>
      <c r="T15043" s="27"/>
      <c r="U15043" s="27"/>
    </row>
    <row r="15044">
      <c r="S15044" s="27"/>
      <c r="T15044" s="27"/>
      <c r="U15044" s="27"/>
    </row>
    <row r="15046">
      <c r="S15046" s="27"/>
      <c r="T15046" s="27"/>
      <c r="U15046" s="27"/>
    </row>
    <row r="15047">
      <c r="S15047" s="27"/>
      <c r="T15047" s="27"/>
      <c r="U15047" s="27"/>
    </row>
    <row r="15049">
      <c r="S15049" s="27"/>
      <c r="T15049" s="27"/>
      <c r="U15049" s="27"/>
    </row>
    <row r="15050">
      <c r="S15050" s="27"/>
      <c r="T15050" s="27"/>
      <c r="U15050" s="27"/>
    </row>
    <row r="15052">
      <c r="S15052" s="27"/>
      <c r="T15052" s="27"/>
      <c r="U15052" s="27"/>
    </row>
    <row r="15054">
      <c r="T15054" s="27"/>
      <c r="U15054" s="27"/>
    </row>
    <row r="15055">
      <c r="S15055" s="27"/>
      <c r="T15055" s="27"/>
      <c r="U15055" s="27"/>
    </row>
    <row r="15057">
      <c r="S15057" s="27"/>
      <c r="T15057" s="27"/>
      <c r="U15057" s="27"/>
    </row>
    <row r="15058">
      <c r="S15058" s="27"/>
      <c r="T15058" s="27"/>
      <c r="U15058" s="27"/>
    </row>
    <row r="15060">
      <c r="T15060" s="27"/>
      <c r="U15060" s="27"/>
    </row>
    <row r="15061">
      <c r="S15061" s="27"/>
      <c r="T15061" s="27"/>
      <c r="U15061" s="27"/>
    </row>
    <row r="15063">
      <c r="S15063" s="27"/>
      <c r="T15063" s="27"/>
      <c r="U15063" s="27"/>
    </row>
    <row r="15064">
      <c r="S15064" s="27"/>
      <c r="T15064" s="27"/>
      <c r="U15064" s="27"/>
    </row>
    <row r="15066">
      <c r="S15066" s="27"/>
      <c r="T15066" s="27"/>
      <c r="U15066" s="27"/>
    </row>
    <row r="15067">
      <c r="S15067" s="27"/>
      <c r="T15067" s="27"/>
      <c r="U15067" s="27"/>
    </row>
    <row r="15069">
      <c r="S15069" s="27"/>
      <c r="T15069" s="27"/>
      <c r="U15069" s="27"/>
    </row>
    <row r="15070">
      <c r="S15070" s="27"/>
      <c r="T15070" s="27"/>
      <c r="U15070" s="27"/>
    </row>
    <row r="15072">
      <c r="S15072" s="27"/>
      <c r="T15072" s="27"/>
      <c r="U15072" s="27"/>
    </row>
    <row r="15073">
      <c r="S15073" s="27"/>
      <c r="T15073" s="27"/>
      <c r="U15073" s="27"/>
    </row>
    <row r="15075">
      <c r="S15075" s="27"/>
      <c r="T15075" s="27"/>
      <c r="U15075" s="27"/>
    </row>
    <row r="15077">
      <c r="S15077" s="27"/>
      <c r="T15077" s="27"/>
      <c r="U15077" s="27"/>
    </row>
    <row r="15079">
      <c r="T15079" s="27"/>
      <c r="U15079" s="27"/>
    </row>
    <row r="15081">
      <c r="S15081" s="27"/>
      <c r="T15081" s="27"/>
      <c r="U15081" s="27"/>
    </row>
    <row r="15083">
      <c r="S15083" s="27"/>
      <c r="T15083" s="27"/>
      <c r="U15083" s="27"/>
    </row>
    <row r="15084">
      <c r="S15084" s="27"/>
      <c r="T15084" s="27"/>
      <c r="U15084" s="27"/>
    </row>
    <row r="15086">
      <c r="S15086" s="27"/>
      <c r="T15086" s="27"/>
      <c r="U15086" s="27"/>
    </row>
    <row r="15087">
      <c r="S15087" s="27"/>
      <c r="T15087" s="27"/>
      <c r="U15087" s="27"/>
    </row>
    <row r="15089">
      <c r="S15089" s="27"/>
      <c r="T15089" s="27"/>
      <c r="U15089" s="27"/>
    </row>
    <row r="15090">
      <c r="S15090" s="27"/>
      <c r="T15090" s="27"/>
      <c r="U15090" s="33"/>
    </row>
    <row r="15092">
      <c r="S15092" s="27"/>
      <c r="T15092" s="27"/>
      <c r="U15092" s="27"/>
    </row>
    <row r="15093">
      <c r="S15093" s="27"/>
      <c r="T15093" s="27"/>
      <c r="U15093" s="27"/>
    </row>
    <row r="15095">
      <c r="S15095" s="27"/>
      <c r="T15095" s="27"/>
      <c r="U15095" s="27"/>
    </row>
    <row r="15096">
      <c r="S15096" s="27"/>
      <c r="T15096" s="27"/>
      <c r="U15096" s="27"/>
    </row>
    <row r="15098">
      <c r="S15098" s="27"/>
      <c r="T15098" s="27"/>
      <c r="U15098" s="27"/>
    </row>
    <row r="15099">
      <c r="S15099" s="27"/>
      <c r="T15099" s="27"/>
      <c r="U15099" s="27"/>
    </row>
    <row r="15104">
      <c r="S15104" s="26"/>
      <c r="T15104" s="26"/>
      <c r="U15104" s="26"/>
    </row>
    <row r="15107">
      <c r="S15107" s="27"/>
      <c r="T15107" s="27"/>
      <c r="U15107" s="27"/>
    </row>
    <row r="15110">
      <c r="S15110" s="27"/>
      <c r="T15110" s="27"/>
      <c r="U15110" s="27"/>
    </row>
    <row r="15111">
      <c r="S15111" s="27"/>
      <c r="T15111" s="27"/>
      <c r="U15111" s="27"/>
    </row>
    <row r="15113">
      <c r="S15113" s="27"/>
      <c r="T15113" s="27"/>
      <c r="U15113" s="27"/>
    </row>
    <row r="15114">
      <c r="S15114" s="27"/>
      <c r="T15114" s="27"/>
      <c r="U15114" s="27"/>
    </row>
    <row r="15116">
      <c r="S15116" s="27"/>
      <c r="T15116" s="27"/>
      <c r="U15116" s="27"/>
    </row>
    <row r="15117">
      <c r="S15117" s="27"/>
      <c r="T15117" s="27"/>
      <c r="U15117" s="27"/>
    </row>
    <row r="15122">
      <c r="S15122" s="27"/>
      <c r="T15122" s="27"/>
      <c r="U15122" s="27"/>
    </row>
    <row r="15123">
      <c r="S15123" s="27"/>
      <c r="T15123" s="27"/>
      <c r="U15123" s="27"/>
    </row>
    <row r="15125">
      <c r="S15125" s="27"/>
      <c r="T15125" s="27"/>
      <c r="U15125" s="27"/>
    </row>
    <row r="15126">
      <c r="S15126" s="27"/>
      <c r="T15126" s="27"/>
      <c r="U15126" s="27"/>
    </row>
    <row r="15128">
      <c r="S15128" s="27"/>
      <c r="T15128" s="27"/>
    </row>
    <row r="15129">
      <c r="U15129" s="27"/>
    </row>
    <row r="15131">
      <c r="S15131" s="27"/>
      <c r="U15131" s="27"/>
    </row>
    <row r="15137">
      <c r="S15137" s="27"/>
      <c r="T15137" s="27"/>
      <c r="U15137" s="27"/>
    </row>
    <row r="15138">
      <c r="S15138" s="27"/>
      <c r="T15138" s="27"/>
      <c r="U15138" s="27"/>
    </row>
    <row r="15140">
      <c r="S15140" s="27"/>
      <c r="T15140" s="27"/>
      <c r="U15140" s="27"/>
    </row>
    <row r="15141">
      <c r="S15141" s="27"/>
      <c r="T15141" s="27"/>
      <c r="U15141" s="27"/>
    </row>
    <row r="15143">
      <c r="S15143" s="27"/>
      <c r="T15143" s="27"/>
      <c r="U15143" s="27"/>
    </row>
    <row r="15149">
      <c r="S15149" s="27"/>
    </row>
    <row r="15152">
      <c r="S15152" s="27"/>
      <c r="T15152" s="27"/>
      <c r="U15152" s="27"/>
    </row>
    <row r="15153">
      <c r="S15153" s="27"/>
      <c r="T15153" s="27"/>
      <c r="U15153" s="27"/>
    </row>
    <row r="15155">
      <c r="S15155" s="27"/>
      <c r="T15155" s="27"/>
      <c r="U15155" s="27"/>
    </row>
    <row r="15156">
      <c r="S15156" s="27"/>
      <c r="T15156" s="27"/>
      <c r="U15156" s="27"/>
    </row>
    <row r="15158">
      <c r="S15158" s="27"/>
      <c r="T15158" s="27"/>
      <c r="U15158" s="27"/>
    </row>
    <row r="15159">
      <c r="S15159" s="27"/>
      <c r="T15159" s="27"/>
      <c r="U15159" s="27"/>
    </row>
    <row r="15161">
      <c r="S15161" s="27"/>
      <c r="T15161" s="27"/>
      <c r="U15161" s="27"/>
    </row>
    <row r="15162">
      <c r="S15162" s="27"/>
      <c r="T15162" s="27"/>
      <c r="U15162" s="27"/>
    </row>
    <row r="15164">
      <c r="S15164" s="27"/>
      <c r="T15164" s="27"/>
      <c r="U15164" s="27"/>
    </row>
    <row r="15165">
      <c r="S15165" s="27"/>
      <c r="T15165" s="27"/>
      <c r="U15165" s="27"/>
    </row>
    <row r="15167">
      <c r="S15167" s="27"/>
      <c r="T15167" s="27"/>
      <c r="U15167" s="27"/>
    </row>
    <row r="15168">
      <c r="S15168" s="27"/>
      <c r="T15168" s="27"/>
      <c r="U15168" s="27"/>
    </row>
    <row r="15170">
      <c r="S15170" s="27"/>
      <c r="T15170" s="27"/>
      <c r="U15170" s="27"/>
    </row>
    <row r="15171">
      <c r="S15171" s="27"/>
      <c r="T15171" s="27"/>
      <c r="U15171" s="27"/>
    </row>
    <row r="15173">
      <c r="S15173" s="26"/>
      <c r="T15173" s="27"/>
      <c r="U15173" s="27"/>
    </row>
    <row r="15174">
      <c r="S15174" s="26"/>
      <c r="T15174" s="27"/>
      <c r="U15174" s="27"/>
    </row>
    <row r="15176">
      <c r="S15176" s="27"/>
      <c r="T15176" s="27"/>
      <c r="U15176" s="27"/>
    </row>
    <row r="15177">
      <c r="S15177" s="27"/>
      <c r="T15177" s="27"/>
      <c r="U15177" s="27"/>
    </row>
    <row r="15179">
      <c r="S15179" s="27"/>
      <c r="T15179" s="27"/>
      <c r="U15179" s="27"/>
    </row>
    <row r="15180">
      <c r="S15180" s="27"/>
      <c r="T15180" s="27"/>
      <c r="U15180" s="27"/>
    </row>
    <row r="15182">
      <c r="S15182" s="27"/>
      <c r="T15182" s="27"/>
      <c r="U15182" s="27"/>
    </row>
    <row r="15183">
      <c r="S15183" s="27"/>
      <c r="T15183" s="27"/>
      <c r="U15183" s="27"/>
    </row>
    <row r="15185">
      <c r="S15185" s="27"/>
      <c r="T15185" s="27"/>
      <c r="U15185" s="27"/>
    </row>
    <row r="15186">
      <c r="S15186" s="27"/>
      <c r="T15186" s="27"/>
      <c r="U15186" s="27"/>
    </row>
    <row r="15188">
      <c r="S15188" s="27"/>
      <c r="T15188" s="27"/>
      <c r="U15188" s="27"/>
    </row>
    <row r="15189">
      <c r="S15189" s="27"/>
      <c r="T15189" s="27"/>
      <c r="U15189" s="27"/>
    </row>
    <row r="15191">
      <c r="S15191" s="27"/>
      <c r="T15191" s="27"/>
      <c r="U15191" s="27"/>
    </row>
    <row r="15192">
      <c r="S15192" s="27"/>
      <c r="T15192" s="27"/>
      <c r="U15192" s="27"/>
    </row>
    <row r="15194">
      <c r="S15194" s="27"/>
      <c r="T15194" s="27"/>
      <c r="U15194" s="27"/>
    </row>
    <row r="15195">
      <c r="S15195" s="27"/>
      <c r="T15195" s="27"/>
      <c r="U15195" s="27"/>
    </row>
    <row r="15197">
      <c r="S15197" s="27"/>
      <c r="T15197" s="27"/>
      <c r="U15197" s="27"/>
    </row>
    <row r="15198">
      <c r="S15198" s="27"/>
      <c r="T15198" s="27"/>
      <c r="U15198" s="27"/>
    </row>
    <row r="15200">
      <c r="S15200" s="27"/>
      <c r="T15200" s="27"/>
      <c r="U15200" s="27"/>
    </row>
    <row r="15201">
      <c r="S15201" s="27"/>
      <c r="T15201" s="27"/>
      <c r="U15201" s="27"/>
    </row>
    <row r="15203">
      <c r="S15203" s="27"/>
      <c r="T15203" s="27"/>
      <c r="U15203" s="27"/>
    </row>
    <row r="15204">
      <c r="S15204" s="27"/>
      <c r="T15204" s="27"/>
      <c r="U15204" s="27"/>
    </row>
    <row r="15206">
      <c r="S15206" s="27"/>
      <c r="T15206" s="27"/>
      <c r="U15206" s="27"/>
    </row>
    <row r="15207">
      <c r="S15207" s="27"/>
      <c r="T15207" s="27"/>
      <c r="U15207" s="27"/>
    </row>
    <row r="15209">
      <c r="S15209" s="27"/>
      <c r="T15209" s="27"/>
      <c r="U15209" s="27"/>
    </row>
    <row r="15210">
      <c r="S15210" s="27"/>
      <c r="T15210" s="27"/>
      <c r="U15210" s="27"/>
    </row>
    <row r="15212">
      <c r="S15212" s="33"/>
      <c r="T15212" s="27"/>
      <c r="U15212" s="27"/>
    </row>
    <row r="15213">
      <c r="S15213" s="33"/>
      <c r="T15213" s="27"/>
      <c r="U15213" s="27"/>
    </row>
    <row r="15215">
      <c r="S15215" s="27"/>
      <c r="T15215" s="27"/>
      <c r="U15215" s="27"/>
    </row>
    <row r="15216">
      <c r="S15216" s="27"/>
      <c r="T15216" s="27"/>
      <c r="U15216" s="27"/>
    </row>
    <row r="15218">
      <c r="S15218" s="27"/>
      <c r="T15218" s="27"/>
      <c r="U15218" s="27"/>
    </row>
    <row r="15219">
      <c r="S15219" s="27"/>
      <c r="T15219" s="27"/>
      <c r="U15219" s="27"/>
    </row>
    <row r="15221">
      <c r="S15221" s="27"/>
      <c r="T15221" s="27"/>
      <c r="U15221" s="27"/>
    </row>
    <row r="15222">
      <c r="S15222" s="27"/>
      <c r="T15222" s="27"/>
      <c r="U15222" s="27"/>
    </row>
    <row r="15224">
      <c r="S15224" s="27"/>
      <c r="T15224" s="27"/>
      <c r="U15224" s="27"/>
    </row>
    <row r="15225">
      <c r="S15225" s="27"/>
      <c r="T15225" s="27"/>
      <c r="U15225" s="27"/>
    </row>
    <row r="15227">
      <c r="S15227" s="27"/>
      <c r="T15227" s="27"/>
      <c r="U15227" s="27"/>
    </row>
    <row r="15228">
      <c r="S15228" s="27"/>
      <c r="T15228" s="27"/>
      <c r="U15228" s="27"/>
    </row>
    <row r="15230">
      <c r="S15230" s="27"/>
      <c r="T15230" s="27"/>
      <c r="U15230" s="27"/>
    </row>
    <row r="15231">
      <c r="S15231" s="27"/>
      <c r="T15231" s="27"/>
      <c r="U15231" s="27"/>
    </row>
    <row r="15233">
      <c r="S15233" s="27"/>
      <c r="T15233" s="33"/>
      <c r="U15233" s="33"/>
    </row>
    <row r="15234">
      <c r="S15234" s="27"/>
      <c r="T15234" s="27"/>
      <c r="U15234" s="27"/>
    </row>
    <row r="15236">
      <c r="S15236" s="27"/>
      <c r="T15236" s="27"/>
      <c r="U15236" s="27"/>
    </row>
    <row r="15237">
      <c r="S15237" s="27"/>
      <c r="T15237" s="27"/>
      <c r="U15237" s="27"/>
    </row>
    <row r="15239">
      <c r="S15239" s="27"/>
      <c r="T15239" s="27"/>
      <c r="U15239" s="27"/>
    </row>
    <row r="15242">
      <c r="S15242" s="27"/>
      <c r="T15242" s="27"/>
      <c r="U15242" s="27"/>
    </row>
    <row r="15243">
      <c r="S15243" s="27"/>
      <c r="T15243" s="27"/>
      <c r="U15243" s="27"/>
    </row>
    <row r="15245">
      <c r="S15245" s="27"/>
      <c r="T15245" s="27"/>
      <c r="U15245" s="27"/>
    </row>
    <row r="15246">
      <c r="S15246" s="27"/>
      <c r="T15246" s="27"/>
      <c r="U15246" s="27"/>
    </row>
    <row r="15248">
      <c r="S15248" s="27"/>
      <c r="T15248" s="27"/>
      <c r="U15248" s="27"/>
    </row>
    <row r="15249">
      <c r="S15249" s="27"/>
      <c r="T15249" s="27"/>
      <c r="U15249" s="27"/>
    </row>
    <row r="15251">
      <c r="S15251" s="27"/>
      <c r="T15251" s="27"/>
      <c r="U15251" s="27"/>
    </row>
    <row r="15259">
      <c r="S15259" s="27"/>
      <c r="T15259" s="27"/>
      <c r="U15259" s="27"/>
    </row>
    <row r="15261">
      <c r="S15261" s="26"/>
      <c r="T15261" s="26"/>
      <c r="U15261" s="26"/>
    </row>
    <row r="15264">
      <c r="S15264" s="27"/>
      <c r="T15264" s="27"/>
      <c r="U15264" s="27"/>
    </row>
    <row r="15267">
      <c r="S15267" s="27"/>
      <c r="T15267" s="27"/>
      <c r="U15267" s="27"/>
    </row>
    <row r="15268">
      <c r="S15268" s="27"/>
      <c r="T15268" s="27"/>
      <c r="U15268" s="27"/>
    </row>
    <row r="15270">
      <c r="S15270" s="27"/>
      <c r="T15270" s="27"/>
      <c r="U15270" s="27"/>
    </row>
    <row r="15271">
      <c r="S15271" s="27"/>
      <c r="T15271" s="27"/>
      <c r="U15271" s="27"/>
    </row>
    <row r="15273">
      <c r="S15273" s="27"/>
      <c r="T15273" s="27"/>
      <c r="U15273" s="27"/>
    </row>
    <row r="15274">
      <c r="U15274" s="27"/>
    </row>
    <row r="15276">
      <c r="S15276" s="27"/>
      <c r="T15276" s="27"/>
      <c r="U15276" s="27"/>
    </row>
    <row r="15277">
      <c r="S15277" s="27"/>
      <c r="T15277" s="27"/>
      <c r="U15277" s="27"/>
    </row>
    <row r="15279">
      <c r="S15279" s="27"/>
      <c r="T15279" s="27"/>
      <c r="U15279" s="27"/>
    </row>
    <row r="15280">
      <c r="S15280" s="27"/>
      <c r="T15280" s="27"/>
      <c r="U15280" s="27"/>
    </row>
    <row r="15282">
      <c r="S15282" s="26"/>
    </row>
    <row r="15283">
      <c r="S15283" s="26"/>
      <c r="T15283" s="26"/>
      <c r="U15283" s="26"/>
    </row>
    <row r="15285">
      <c r="S15285" s="27"/>
      <c r="T15285" s="27"/>
      <c r="U15285" s="27"/>
    </row>
    <row r="15286">
      <c r="S15286" s="27"/>
      <c r="T15286" s="27"/>
      <c r="U15286" s="27"/>
    </row>
    <row r="15288">
      <c r="S15288" s="27"/>
      <c r="T15288" s="27"/>
      <c r="U15288" s="27"/>
    </row>
    <row r="15289">
      <c r="S15289" s="27"/>
      <c r="T15289" s="27"/>
      <c r="U15289" s="27"/>
    </row>
    <row r="15291">
      <c r="S15291" s="27"/>
      <c r="T15291" s="27"/>
      <c r="U15291" s="27"/>
    </row>
    <row r="15292">
      <c r="S15292" s="27"/>
      <c r="T15292" s="27"/>
      <c r="U15292" s="27"/>
    </row>
    <row r="15294">
      <c r="S15294" s="33"/>
      <c r="T15294" s="33"/>
      <c r="U15294" s="33"/>
    </row>
    <row r="15297">
      <c r="S15297" s="27"/>
      <c r="T15297" s="27"/>
      <c r="U15297" s="27"/>
    </row>
    <row r="15298">
      <c r="S15298" s="27"/>
      <c r="T15298" s="27"/>
      <c r="U15298" s="27"/>
    </row>
    <row r="15300">
      <c r="S15300" s="27"/>
      <c r="T15300" s="27"/>
      <c r="U15300" s="27"/>
    </row>
    <row r="15303">
      <c r="S15303" s="27"/>
      <c r="T15303" s="27"/>
      <c r="U15303" s="27"/>
    </row>
    <row r="15304">
      <c r="S15304" s="33"/>
      <c r="T15304" s="33"/>
      <c r="U15304" s="33"/>
    </row>
    <row r="15307">
      <c r="S15307" s="26"/>
      <c r="T15307" s="26"/>
      <c r="U15307" s="26"/>
    </row>
    <row r="15309">
      <c r="S15309" s="27"/>
      <c r="T15309" s="27"/>
      <c r="U15309" s="27"/>
    </row>
    <row r="15310">
      <c r="S15310" s="27"/>
      <c r="T15310" s="27"/>
      <c r="U15310" s="27"/>
    </row>
    <row r="15312">
      <c r="S15312" s="27"/>
      <c r="T15312" s="27"/>
      <c r="U15312" s="27"/>
    </row>
    <row r="15313">
      <c r="S15313" s="27"/>
      <c r="T15313" s="27"/>
      <c r="U15313" s="27"/>
    </row>
    <row r="15315">
      <c r="S15315" s="27"/>
      <c r="T15315" s="27"/>
      <c r="U15315" s="27"/>
    </row>
    <row r="15316">
      <c r="S15316" s="27"/>
      <c r="T15316" s="27"/>
      <c r="U15316" s="27"/>
    </row>
    <row r="15318">
      <c r="S15318" s="27"/>
      <c r="T15318" s="27"/>
      <c r="U15318" s="27"/>
    </row>
    <row r="15319">
      <c r="S15319" s="27"/>
      <c r="T15319" s="27"/>
      <c r="U15319" s="27"/>
    </row>
    <row r="15321">
      <c r="S15321" s="27"/>
    </row>
    <row r="15324">
      <c r="S15324" s="27"/>
      <c r="T15324" s="27"/>
      <c r="U15324" s="27"/>
    </row>
    <row r="15325">
      <c r="S15325" s="27"/>
      <c r="T15325" s="27"/>
      <c r="U15325" s="27"/>
    </row>
    <row r="15328">
      <c r="S15328" s="27"/>
      <c r="T15328" s="27"/>
      <c r="U15328" s="27"/>
    </row>
    <row r="15330">
      <c r="S15330" s="27"/>
      <c r="T15330" s="27"/>
      <c r="U15330" s="27"/>
    </row>
    <row r="15333">
      <c r="S15333" s="27"/>
      <c r="T15333" s="27"/>
      <c r="U15333" s="27"/>
    </row>
    <row r="15334">
      <c r="S15334" s="27"/>
      <c r="T15334" s="27"/>
      <c r="U15334" s="27"/>
    </row>
    <row r="15336">
      <c r="S15336" s="27"/>
      <c r="T15336" s="27"/>
      <c r="U15336" s="27"/>
    </row>
    <row r="15337">
      <c r="S15337" s="27"/>
      <c r="T15337" s="27"/>
      <c r="U15337" s="27"/>
    </row>
    <row r="15339">
      <c r="S15339" s="27"/>
      <c r="T15339" s="27"/>
      <c r="U15339" s="27"/>
    </row>
    <row r="15340">
      <c r="S15340" s="27"/>
      <c r="T15340" s="27"/>
      <c r="U15340" s="27"/>
    </row>
    <row r="15345">
      <c r="S15345" s="27"/>
    </row>
    <row r="15346">
      <c r="S15346" s="27"/>
      <c r="T15346" s="27"/>
      <c r="U15346" s="27"/>
    </row>
    <row r="15348">
      <c r="S15348" s="26"/>
      <c r="T15348" s="26"/>
      <c r="U15348" s="26"/>
    </row>
    <row r="15351">
      <c r="S15351" s="27"/>
      <c r="T15351" s="27"/>
      <c r="U15351" s="27"/>
    </row>
    <row r="15354">
      <c r="T15354" s="27"/>
    </row>
    <row r="15355">
      <c r="S15355" s="27"/>
      <c r="T15355" s="27"/>
      <c r="U15355" s="27"/>
    </row>
    <row r="15357">
      <c r="S15357" s="27"/>
      <c r="T15357" s="27"/>
      <c r="U15357" s="27"/>
    </row>
    <row r="15358">
      <c r="S15358" s="27"/>
      <c r="T15358" s="27"/>
      <c r="U15358" s="27"/>
    </row>
    <row r="15360">
      <c r="S15360" s="27"/>
      <c r="T15360" s="27"/>
      <c r="U15360" s="27"/>
    </row>
    <row r="15361">
      <c r="S15361" s="27"/>
      <c r="T15361" s="27"/>
      <c r="U15361" s="27"/>
    </row>
    <row r="15363">
      <c r="S15363" s="27"/>
      <c r="T15363" s="26"/>
    </row>
    <row r="15364">
      <c r="S15364" s="26"/>
      <c r="T15364" s="26"/>
      <c r="U15364" s="26"/>
    </row>
    <row r="15366">
      <c r="S15366" s="27"/>
      <c r="T15366" s="27"/>
      <c r="U15366" s="27"/>
    </row>
    <row r="15367">
      <c r="S15367" s="27"/>
      <c r="T15367" s="27"/>
      <c r="U15367" s="27"/>
    </row>
    <row r="15369">
      <c r="S15369" s="27"/>
      <c r="T15369" s="27"/>
      <c r="U15369" s="27"/>
    </row>
    <row r="15370">
      <c r="S15370" s="27"/>
      <c r="T15370" s="27"/>
      <c r="U15370" s="27"/>
    </row>
    <row r="15372">
      <c r="S15372" s="27"/>
      <c r="T15372" s="27"/>
      <c r="U15372" s="27"/>
    </row>
    <row r="15373">
      <c r="S15373" s="27"/>
      <c r="T15373" s="27"/>
      <c r="U15373" s="27"/>
    </row>
    <row r="15375">
      <c r="S15375" s="27"/>
      <c r="T15375" s="27"/>
      <c r="U15375" s="27"/>
    </row>
    <row r="15376">
      <c r="S15376" s="27"/>
      <c r="T15376" s="27"/>
      <c r="U15376" s="27"/>
    </row>
    <row r="15378">
      <c r="S15378" s="27"/>
      <c r="T15378" s="27"/>
      <c r="U15378" s="27"/>
    </row>
    <row r="15379">
      <c r="S15379" s="27"/>
      <c r="T15379" s="27"/>
      <c r="U15379" s="27"/>
    </row>
    <row r="15381">
      <c r="S15381" s="27"/>
      <c r="T15381" s="27"/>
      <c r="U15381" s="27"/>
    </row>
    <row r="15382">
      <c r="S15382" s="27"/>
      <c r="T15382" s="27"/>
      <c r="U15382" s="27"/>
    </row>
    <row r="15384">
      <c r="S15384" s="27"/>
      <c r="T15384" s="27"/>
      <c r="U15384" s="27"/>
    </row>
    <row r="15385">
      <c r="S15385" s="27"/>
      <c r="T15385" s="27"/>
      <c r="U15385" s="27"/>
    </row>
    <row r="15387">
      <c r="S15387" s="27"/>
      <c r="T15387" s="27"/>
      <c r="U15387" s="27"/>
    </row>
    <row r="15388">
      <c r="S15388" s="27"/>
      <c r="T15388" s="27"/>
      <c r="U15388" s="27"/>
    </row>
    <row r="15390">
      <c r="S15390" s="27"/>
      <c r="T15390" s="27"/>
      <c r="U15390" s="27"/>
    </row>
    <row r="15391">
      <c r="S15391" s="27"/>
      <c r="T15391" s="27"/>
      <c r="U15391" s="27"/>
    </row>
    <row r="15393">
      <c r="S15393" s="27"/>
      <c r="T15393" s="27"/>
      <c r="U15393" s="27"/>
    </row>
    <row r="15394">
      <c r="S15394" s="27"/>
      <c r="T15394" s="27"/>
      <c r="U15394" s="27"/>
    </row>
    <row r="15396">
      <c r="S15396" s="27"/>
      <c r="T15396" s="27"/>
      <c r="U15396" s="27"/>
    </row>
    <row r="15397">
      <c r="S15397" s="27"/>
      <c r="T15397" s="27"/>
      <c r="U15397" s="27"/>
    </row>
    <row r="15399">
      <c r="S15399" s="27"/>
      <c r="T15399" s="27"/>
      <c r="U15399" s="27"/>
    </row>
    <row r="15400">
      <c r="S15400" s="27"/>
      <c r="T15400" s="27"/>
      <c r="U15400" s="27"/>
    </row>
    <row r="15402">
      <c r="S15402" s="27"/>
      <c r="T15402" s="27"/>
      <c r="U15402" s="27"/>
    </row>
    <row r="15403">
      <c r="S15403" s="27"/>
      <c r="T15403" s="27"/>
      <c r="U15403" s="27"/>
    </row>
    <row r="15405">
      <c r="S15405" s="27"/>
      <c r="T15405" s="27"/>
      <c r="U15405" s="27"/>
    </row>
    <row r="15406">
      <c r="S15406" s="27"/>
      <c r="T15406" s="27"/>
      <c r="U15406" s="27"/>
    </row>
    <row r="15408">
      <c r="S15408" s="27"/>
      <c r="T15408" s="27"/>
      <c r="U15408" s="27"/>
    </row>
    <row r="15409">
      <c r="S15409" s="27"/>
      <c r="T15409" s="27"/>
      <c r="U15409" s="27"/>
    </row>
    <row r="15411">
      <c r="S15411" s="27"/>
      <c r="T15411" s="27"/>
      <c r="U15411" s="27"/>
    </row>
    <row r="15412">
      <c r="S15412" s="27"/>
      <c r="T15412" s="27"/>
      <c r="U15412" s="27"/>
    </row>
    <row r="15414">
      <c r="S15414" s="27"/>
      <c r="T15414" s="27"/>
      <c r="U15414" s="27"/>
    </row>
    <row r="15415">
      <c r="S15415" s="27"/>
      <c r="T15415" s="27"/>
      <c r="U15415" s="27"/>
    </row>
    <row r="15417">
      <c r="S15417" s="27"/>
      <c r="T15417" s="27"/>
      <c r="U15417" s="27"/>
    </row>
    <row r="15418">
      <c r="S15418" s="27"/>
      <c r="T15418" s="27"/>
      <c r="U15418" s="27"/>
    </row>
    <row r="15420">
      <c r="S15420" s="27"/>
      <c r="T15420" s="27"/>
      <c r="U15420" s="27"/>
    </row>
    <row r="15421">
      <c r="S15421" s="27"/>
      <c r="T15421" s="27"/>
      <c r="U15421" s="27"/>
    </row>
    <row r="15423">
      <c r="S15423" s="27"/>
      <c r="T15423" s="27"/>
      <c r="U15423" s="27"/>
    </row>
    <row r="15424">
      <c r="S15424" s="27"/>
      <c r="T15424" s="27"/>
      <c r="U15424" s="27"/>
    </row>
    <row r="15426">
      <c r="S15426" s="27"/>
      <c r="T15426" s="27"/>
      <c r="U15426" s="27"/>
    </row>
    <row r="15427">
      <c r="S15427" s="27"/>
      <c r="T15427" s="27"/>
      <c r="U15427" s="27"/>
    </row>
    <row r="15429">
      <c r="S15429" s="27"/>
      <c r="T15429" s="27"/>
      <c r="U15429" s="27"/>
    </row>
    <row r="15430">
      <c r="S15430" s="27"/>
      <c r="T15430" s="27"/>
      <c r="U15430" s="27"/>
    </row>
    <row r="15432">
      <c r="S15432" s="27"/>
      <c r="T15432" s="27"/>
      <c r="U15432" s="27"/>
    </row>
    <row r="15433">
      <c r="S15433" s="27"/>
      <c r="T15433" s="27"/>
      <c r="U15433" s="27"/>
    </row>
    <row r="15435">
      <c r="S15435" s="27"/>
      <c r="T15435" s="27"/>
      <c r="U15435" s="27"/>
    </row>
    <row r="15436">
      <c r="S15436" s="27"/>
      <c r="T15436" s="27"/>
      <c r="U15436" s="27"/>
    </row>
    <row r="15438">
      <c r="S15438" s="27"/>
      <c r="T15438" s="27"/>
      <c r="U15438" s="27"/>
    </row>
    <row r="15439">
      <c r="S15439" s="27"/>
      <c r="T15439" s="27"/>
      <c r="U15439" s="27"/>
    </row>
    <row r="15441">
      <c r="S15441" s="27"/>
      <c r="T15441" s="27"/>
      <c r="U15441" s="27"/>
    </row>
    <row r="15442">
      <c r="S15442" s="27"/>
      <c r="T15442" s="27"/>
      <c r="U15442" s="27"/>
    </row>
    <row r="15444">
      <c r="S15444" s="27"/>
      <c r="T15444" s="27"/>
      <c r="U15444" s="27"/>
    </row>
    <row r="15445">
      <c r="S15445" s="27"/>
      <c r="T15445" s="27"/>
      <c r="U15445" s="27"/>
    </row>
    <row r="15447">
      <c r="S15447" s="27"/>
      <c r="T15447" s="27"/>
      <c r="U15447" s="27"/>
    </row>
    <row r="15448">
      <c r="S15448" s="27"/>
      <c r="T15448" s="27"/>
      <c r="U15448" s="27"/>
    </row>
    <row r="15450">
      <c r="S15450" s="27"/>
      <c r="T15450" s="27"/>
      <c r="U15450" s="27"/>
    </row>
    <row r="15451">
      <c r="S15451" s="27"/>
      <c r="T15451" s="27"/>
      <c r="U15451" s="27"/>
    </row>
    <row r="15453">
      <c r="S15453" s="27"/>
      <c r="T15453" s="27"/>
      <c r="U15453" s="27"/>
    </row>
    <row r="15454">
      <c r="S15454" s="27"/>
      <c r="T15454" s="27"/>
      <c r="U15454" s="27"/>
    </row>
    <row r="15456">
      <c r="S15456" s="27"/>
      <c r="T15456" s="27"/>
      <c r="U15456" s="27"/>
    </row>
    <row r="15457">
      <c r="S15457" s="27"/>
      <c r="T15457" s="27"/>
      <c r="U15457" s="27"/>
    </row>
    <row r="15459">
      <c r="S15459" s="27"/>
      <c r="T15459" s="27"/>
      <c r="U15459" s="27"/>
    </row>
    <row r="15460">
      <c r="S15460" s="27"/>
      <c r="T15460" s="27"/>
      <c r="U15460" s="27"/>
    </row>
    <row r="15462">
      <c r="S15462" s="27"/>
      <c r="T15462" s="27"/>
      <c r="U15462" s="27"/>
    </row>
    <row r="15464">
      <c r="S15464" s="27"/>
      <c r="T15464" s="27"/>
      <c r="U15464" s="27"/>
    </row>
    <row r="15465">
      <c r="S15465" s="27"/>
      <c r="T15465" s="27"/>
      <c r="U15465" s="27"/>
    </row>
    <row r="15467">
      <c r="S15467" s="27"/>
      <c r="T15467" s="27"/>
      <c r="U15467" s="27"/>
    </row>
    <row r="15468">
      <c r="S15468" s="27"/>
      <c r="T15468" s="27"/>
      <c r="U15468" s="27"/>
    </row>
    <row r="15470">
      <c r="S15470" s="27"/>
      <c r="T15470" s="27"/>
      <c r="U15470" s="27"/>
    </row>
    <row r="15471">
      <c r="S15471" s="27"/>
      <c r="T15471" s="27"/>
      <c r="U15471" s="27"/>
    </row>
    <row r="15473">
      <c r="S15473" s="27"/>
      <c r="T15473" s="27"/>
      <c r="U15473" s="27"/>
    </row>
    <row r="15474">
      <c r="S15474" s="27"/>
      <c r="T15474" s="27"/>
      <c r="U15474" s="27"/>
    </row>
    <row r="15476">
      <c r="S15476" s="27"/>
      <c r="T15476" s="27"/>
      <c r="U15476" s="27"/>
    </row>
    <row r="15477">
      <c r="S15477" s="27"/>
      <c r="T15477" s="27"/>
      <c r="U15477" s="27"/>
    </row>
    <row r="15479">
      <c r="S15479" s="27"/>
      <c r="T15479" s="27"/>
      <c r="U15479" s="27"/>
    </row>
    <row r="15480">
      <c r="S15480" s="27"/>
      <c r="T15480" s="27"/>
      <c r="U15480" s="27"/>
    </row>
    <row r="15482">
      <c r="S15482" s="27"/>
      <c r="T15482" s="27"/>
      <c r="U15482" s="27"/>
    </row>
    <row r="15483">
      <c r="S15483" s="27"/>
      <c r="T15483" s="27"/>
      <c r="U15483" s="27"/>
    </row>
    <row r="15485">
      <c r="S15485" s="27"/>
      <c r="T15485" s="27"/>
      <c r="U15485" s="27"/>
    </row>
    <row r="15487">
      <c r="S15487" s="27"/>
      <c r="T15487" s="27"/>
      <c r="U15487" s="27"/>
    </row>
    <row r="15489">
      <c r="T15489" s="27"/>
    </row>
    <row r="15491">
      <c r="S15491" s="27"/>
      <c r="T15491" s="27"/>
      <c r="U15491" s="27"/>
    </row>
    <row r="15493">
      <c r="U15493" s="27"/>
    </row>
    <row r="15494">
      <c r="S15494" s="27"/>
      <c r="T15494" s="27"/>
      <c r="U15494" s="27"/>
    </row>
    <row r="15496">
      <c r="S15496" s="27"/>
    </row>
    <row r="15497">
      <c r="S15497" s="27"/>
      <c r="T15497" s="27"/>
      <c r="U15497" s="27"/>
    </row>
    <row r="15499">
      <c r="S15499" s="27"/>
      <c r="T15499" s="27"/>
      <c r="U15499" s="27"/>
    </row>
    <row r="15500">
      <c r="S15500" s="27"/>
      <c r="T15500" s="27"/>
      <c r="U15500" s="27"/>
    </row>
    <row r="15502">
      <c r="S15502" s="27"/>
      <c r="T15502" s="27"/>
      <c r="U15502" s="27"/>
    </row>
    <row r="15503">
      <c r="S15503" s="27"/>
      <c r="T15503" s="27"/>
      <c r="U15503" s="27"/>
    </row>
    <row r="15505">
      <c r="S15505" s="27"/>
      <c r="T15505" s="27"/>
      <c r="U15505" s="27"/>
    </row>
    <row r="15506">
      <c r="S15506" s="27"/>
      <c r="T15506" s="27"/>
      <c r="U15506" s="27"/>
    </row>
    <row r="15508">
      <c r="S15508" s="27"/>
      <c r="T15508" s="27"/>
      <c r="U15508" s="27"/>
    </row>
    <row r="15509">
      <c r="S15509" s="27"/>
      <c r="T15509" s="27"/>
      <c r="U15509" s="27"/>
    </row>
    <row r="15517">
      <c r="S15517" s="27"/>
      <c r="T15517" s="27"/>
      <c r="U15517" s="27"/>
    </row>
    <row r="15520">
      <c r="S15520" s="27"/>
      <c r="T15520" s="27"/>
      <c r="U15520" s="27"/>
    </row>
    <row r="15521">
      <c r="S15521" s="27"/>
      <c r="T15521" s="27"/>
      <c r="U15521" s="27"/>
    </row>
    <row r="15523">
      <c r="S15523" s="27"/>
      <c r="T15523" s="27"/>
      <c r="U15523" s="27"/>
    </row>
    <row r="15524">
      <c r="S15524" s="27"/>
      <c r="T15524" s="27"/>
      <c r="U15524" s="27"/>
    </row>
    <row r="15526">
      <c r="S15526" s="27"/>
      <c r="T15526" s="27"/>
      <c r="U15526" s="27"/>
    </row>
    <row r="15527">
      <c r="S15527" s="27"/>
      <c r="T15527" s="27"/>
      <c r="U15527" s="27"/>
    </row>
    <row r="15532">
      <c r="S15532" s="27"/>
      <c r="T15532" s="27"/>
      <c r="U15532" s="27"/>
    </row>
    <row r="15533">
      <c r="S15533" s="27"/>
      <c r="T15533" s="27"/>
      <c r="U15533" s="27"/>
    </row>
    <row r="15535">
      <c r="S15535" s="27"/>
      <c r="T15535" s="27"/>
      <c r="U15535" s="27"/>
    </row>
    <row r="15536">
      <c r="S15536" s="27"/>
      <c r="T15536" s="27"/>
      <c r="U15536" s="27"/>
    </row>
    <row r="15538">
      <c r="S15538" s="27"/>
      <c r="T15538" s="27"/>
    </row>
    <row r="15539">
      <c r="T15539" s="27"/>
      <c r="U15539" s="27"/>
    </row>
    <row r="15544">
      <c r="S15544" s="26"/>
      <c r="T15544" s="26"/>
      <c r="U15544" s="27"/>
    </row>
    <row r="15545">
      <c r="S15545" s="26"/>
      <c r="T15545" s="26"/>
      <c r="U15545" s="26"/>
    </row>
    <row r="15547">
      <c r="S15547" s="27"/>
      <c r="T15547" s="27"/>
      <c r="U15547" s="27"/>
    </row>
    <row r="15548">
      <c r="S15548" s="27"/>
      <c r="T15548" s="27"/>
      <c r="U15548" s="27"/>
    </row>
    <row r="15550">
      <c r="S15550" s="27"/>
      <c r="T15550" s="27"/>
      <c r="U15550" s="27"/>
    </row>
    <row r="15551">
      <c r="S15551" s="27"/>
      <c r="T15551" s="27"/>
      <c r="U15551" s="27"/>
    </row>
    <row r="15553">
      <c r="S15553" s="26"/>
      <c r="T15553" s="26"/>
      <c r="U15553" s="26"/>
    </row>
    <row r="15559">
      <c r="S15559" s="27"/>
      <c r="T15559" s="27"/>
      <c r="U15559" s="27"/>
    </row>
    <row r="15562">
      <c r="S15562" s="27"/>
      <c r="T15562" s="27"/>
      <c r="U15562" s="27"/>
    </row>
    <row r="15563">
      <c r="S15563" s="27"/>
      <c r="T15563" s="27"/>
      <c r="U15563" s="27"/>
    </row>
    <row r="15565">
      <c r="S15565" s="27"/>
      <c r="T15565" s="27"/>
      <c r="U15565" s="27"/>
    </row>
    <row r="15566">
      <c r="S15566" s="27"/>
      <c r="T15566" s="27"/>
      <c r="U15566" s="27"/>
    </row>
    <row r="15568">
      <c r="S15568" s="27"/>
      <c r="T15568" s="27"/>
      <c r="U15568" s="27"/>
    </row>
    <row r="15569">
      <c r="S15569" s="27"/>
      <c r="T15569" s="27"/>
      <c r="U15569" s="27"/>
    </row>
    <row r="15571">
      <c r="S15571" s="27"/>
      <c r="T15571" s="27"/>
      <c r="U15571" s="27"/>
    </row>
    <row r="15572">
      <c r="S15572" s="27"/>
      <c r="T15572" s="27"/>
      <c r="U15572" s="27"/>
    </row>
    <row r="15574">
      <c r="S15574" s="27"/>
      <c r="T15574" s="27"/>
      <c r="U15574" s="27"/>
    </row>
    <row r="15575">
      <c r="S15575" s="27"/>
      <c r="T15575" s="27"/>
      <c r="U15575" s="27"/>
    </row>
    <row r="15577">
      <c r="S15577" s="27"/>
      <c r="T15577" s="27"/>
      <c r="U15577" s="27"/>
    </row>
    <row r="15578">
      <c r="S15578" s="27"/>
      <c r="T15578" s="27"/>
      <c r="U15578" s="27"/>
    </row>
    <row r="15580">
      <c r="S15580" s="27"/>
      <c r="T15580" s="27"/>
      <c r="U15580" s="27"/>
    </row>
    <row r="15581">
      <c r="S15581" s="27"/>
      <c r="T15581" s="27"/>
      <c r="U15581" s="27"/>
    </row>
    <row r="15583">
      <c r="S15583" s="27"/>
      <c r="T15583" s="27"/>
      <c r="U15583" s="27"/>
    </row>
    <row r="15584">
      <c r="S15584" s="27"/>
      <c r="T15584" s="27"/>
      <c r="U15584" s="27"/>
    </row>
    <row r="15586">
      <c r="S15586" s="27"/>
      <c r="T15586" s="27"/>
      <c r="U15586" s="27"/>
    </row>
    <row r="15587">
      <c r="S15587" s="27"/>
      <c r="T15587" s="27"/>
      <c r="U15587" s="27"/>
    </row>
    <row r="15589">
      <c r="S15589" s="27"/>
      <c r="T15589" s="27"/>
      <c r="U15589" s="27"/>
    </row>
    <row r="15590">
      <c r="S15590" s="27"/>
      <c r="T15590" s="27"/>
      <c r="U15590" s="27"/>
    </row>
    <row r="15592">
      <c r="S15592" s="27"/>
      <c r="T15592" s="27"/>
      <c r="U15592" s="27"/>
    </row>
    <row r="15593">
      <c r="S15593" s="27"/>
      <c r="T15593" s="27"/>
      <c r="U15593" s="27"/>
    </row>
    <row r="15595">
      <c r="S15595" s="27"/>
      <c r="T15595" s="27"/>
      <c r="U15595" s="27"/>
    </row>
    <row r="15596">
      <c r="S15596" s="27"/>
      <c r="T15596" s="27"/>
      <c r="U15596" s="27"/>
    </row>
    <row r="15598">
      <c r="S15598" s="27"/>
      <c r="T15598" s="27"/>
      <c r="U15598" s="27"/>
    </row>
    <row r="15599">
      <c r="S15599" s="27"/>
      <c r="T15599" s="27"/>
      <c r="U15599" s="27"/>
    </row>
    <row r="15601">
      <c r="S15601" s="27"/>
      <c r="T15601" s="27"/>
      <c r="U15601" s="27"/>
    </row>
    <row r="15602">
      <c r="S15602" s="27"/>
      <c r="T15602" s="27"/>
      <c r="U15602" s="27"/>
    </row>
    <row r="15604">
      <c r="S15604" s="27"/>
      <c r="T15604" s="27"/>
      <c r="U15604" s="27"/>
    </row>
    <row r="15605">
      <c r="S15605" s="27"/>
      <c r="T15605" s="27"/>
      <c r="U15605" s="27"/>
    </row>
    <row r="15607">
      <c r="S15607" s="27"/>
      <c r="T15607" s="27"/>
      <c r="U15607" s="27"/>
    </row>
    <row r="15608">
      <c r="S15608" s="27"/>
      <c r="T15608" s="27"/>
      <c r="U15608" s="27"/>
    </row>
    <row r="15610">
      <c r="U15610" s="27"/>
    </row>
    <row r="15611">
      <c r="U15611" s="27"/>
    </row>
    <row r="15613">
      <c r="S15613" s="27"/>
      <c r="T15613" s="27"/>
      <c r="U15613" s="27"/>
    </row>
    <row r="15614">
      <c r="S15614" s="27"/>
      <c r="T15614" s="27"/>
      <c r="U15614" s="27"/>
    </row>
    <row r="15616">
      <c r="S15616" s="27"/>
      <c r="T15616" s="27"/>
      <c r="U15616" s="27"/>
    </row>
    <row r="15617">
      <c r="S15617" s="27"/>
      <c r="T15617" s="27"/>
      <c r="U15617" s="27"/>
    </row>
    <row r="15619">
      <c r="S15619" s="27"/>
      <c r="T15619" s="27"/>
      <c r="U15619" s="27"/>
    </row>
    <row r="15620">
      <c r="S15620" s="27"/>
      <c r="T15620" s="27"/>
      <c r="U15620" s="27"/>
    </row>
    <row r="15622">
      <c r="S15622" s="27"/>
      <c r="T15622" s="27"/>
      <c r="U15622" s="27"/>
    </row>
    <row r="15623">
      <c r="S15623" s="27"/>
      <c r="T15623" s="27"/>
      <c r="U15623" s="27"/>
    </row>
    <row r="15625">
      <c r="S15625" s="27"/>
      <c r="T15625" s="27"/>
      <c r="U15625" s="27"/>
    </row>
    <row r="15626">
      <c r="S15626" s="27"/>
      <c r="T15626" s="27"/>
      <c r="U15626" s="27"/>
    </row>
    <row r="15628">
      <c r="S15628" s="27"/>
      <c r="T15628" s="27"/>
      <c r="U15628" s="27"/>
    </row>
    <row r="15629">
      <c r="S15629" s="27"/>
      <c r="T15629" s="27"/>
      <c r="U15629" s="27"/>
    </row>
    <row r="15631">
      <c r="S15631" s="27"/>
      <c r="T15631" s="27"/>
      <c r="U15631" s="27"/>
    </row>
    <row r="15632">
      <c r="S15632" s="27"/>
      <c r="T15632" s="27"/>
      <c r="U15632" s="27"/>
    </row>
    <row r="15634">
      <c r="S15634" s="27"/>
      <c r="T15634" s="27"/>
      <c r="U15634" s="27"/>
    </row>
    <row r="15635">
      <c r="S15635" s="27"/>
      <c r="T15635" s="27"/>
      <c r="U15635" s="27"/>
    </row>
    <row r="15637">
      <c r="S15637" s="27"/>
      <c r="T15637" s="27"/>
      <c r="U15637" s="27"/>
    </row>
    <row r="15638">
      <c r="S15638" s="27"/>
      <c r="T15638" s="27"/>
      <c r="U15638" s="27"/>
    </row>
    <row r="15641">
      <c r="S15641" s="27"/>
      <c r="T15641" s="27"/>
      <c r="U15641" s="27"/>
    </row>
    <row r="15643">
      <c r="S15643" s="27"/>
      <c r="T15643" s="33"/>
      <c r="U15643" s="27"/>
    </row>
    <row r="15644">
      <c r="T15644" s="27"/>
    </row>
    <row r="15646">
      <c r="S15646" s="27"/>
      <c r="T15646" s="27"/>
      <c r="U15646" s="27"/>
    </row>
    <row r="15647">
      <c r="S15647" s="27"/>
      <c r="T15647" s="27"/>
      <c r="U15647" s="27"/>
    </row>
    <row r="15649">
      <c r="S15649" s="27"/>
      <c r="T15649" s="34"/>
      <c r="U15649" s="34"/>
    </row>
    <row r="15650">
      <c r="S15650" s="26"/>
      <c r="T15650" s="26"/>
      <c r="U15650" s="26"/>
    </row>
    <row r="15652">
      <c r="S15652" s="27"/>
      <c r="T15652" s="27"/>
      <c r="U15652" s="27"/>
    </row>
    <row r="15653">
      <c r="S15653" s="27"/>
      <c r="T15653" s="27"/>
      <c r="U15653" s="27"/>
    </row>
    <row r="15655">
      <c r="S15655" s="27"/>
      <c r="T15655" s="27"/>
      <c r="U15655" s="27"/>
    </row>
    <row r="15656">
      <c r="S15656" s="27"/>
      <c r="T15656" s="27"/>
      <c r="U15656" s="27"/>
    </row>
    <row r="15658">
      <c r="T15658" s="27"/>
      <c r="U15658" s="27"/>
    </row>
    <row r="15659">
      <c r="S15659" s="27"/>
      <c r="T15659" s="27"/>
      <c r="U15659" s="27"/>
    </row>
    <row r="15661">
      <c r="S15661" s="27"/>
      <c r="T15661" s="26"/>
    </row>
    <row r="15667">
      <c r="S15667" s="27"/>
      <c r="U15667" s="27"/>
    </row>
    <row r="15669">
      <c r="S15669" s="27"/>
      <c r="T15669" s="27"/>
      <c r="U15669" s="27"/>
    </row>
    <row r="15671">
      <c r="S15671" s="26"/>
      <c r="T15671" s="26"/>
      <c r="U15671" s="27"/>
    </row>
    <row r="15674">
      <c r="S15674" s="27"/>
      <c r="T15674" s="27"/>
      <c r="U15674" s="27"/>
    </row>
    <row r="15677">
      <c r="S15677" s="27"/>
      <c r="T15677" s="27"/>
      <c r="U15677" s="27"/>
    </row>
    <row r="15678">
      <c r="S15678" s="27"/>
      <c r="T15678" s="27"/>
      <c r="U15678" s="27"/>
    </row>
    <row r="15680">
      <c r="S15680" s="27"/>
      <c r="T15680" s="27"/>
      <c r="U15680" s="27"/>
    </row>
    <row r="15681">
      <c r="S15681" s="27"/>
      <c r="T15681" s="27"/>
      <c r="U15681" s="27"/>
    </row>
    <row r="15683">
      <c r="S15683" s="27"/>
      <c r="T15683" s="27"/>
      <c r="U15683" s="27"/>
    </row>
    <row r="15684">
      <c r="U15684" s="27"/>
    </row>
    <row r="15686">
      <c r="S15686" s="26"/>
      <c r="T15686" s="27"/>
    </row>
    <row r="15687">
      <c r="S15687" s="27"/>
      <c r="T15687" s="27"/>
      <c r="U15687" s="26"/>
    </row>
    <row r="15689">
      <c r="S15689" s="27"/>
      <c r="T15689" s="27"/>
      <c r="U15689" s="27"/>
    </row>
    <row r="15690">
      <c r="S15690" s="27"/>
      <c r="T15690" s="27"/>
      <c r="U15690" s="27"/>
    </row>
    <row r="15692">
      <c r="S15692" s="26"/>
      <c r="T15692" s="26"/>
      <c r="U15692" s="26"/>
    </row>
    <row r="15693">
      <c r="S15693" s="26"/>
      <c r="T15693" s="26"/>
      <c r="U15693" s="26"/>
    </row>
    <row r="15695">
      <c r="S15695" s="27"/>
      <c r="T15695" s="27"/>
      <c r="U15695" s="27"/>
    </row>
    <row r="15696">
      <c r="S15696" s="27"/>
      <c r="T15696" s="27"/>
      <c r="U15696" s="27"/>
    </row>
    <row r="15698">
      <c r="S15698" s="27"/>
      <c r="T15698" s="27"/>
      <c r="U15698" s="27"/>
    </row>
    <row r="15699">
      <c r="S15699" s="27"/>
      <c r="T15699" s="27"/>
      <c r="U15699" s="27"/>
    </row>
    <row r="15701">
      <c r="T15701" s="27"/>
    </row>
    <row r="15702">
      <c r="S15702" s="27"/>
      <c r="T15702" s="27"/>
      <c r="U15702" s="27"/>
    </row>
    <row r="15704">
      <c r="S15704" s="27"/>
      <c r="T15704" s="33"/>
      <c r="U15704" s="27"/>
    </row>
    <row r="15707">
      <c r="T15707" s="27"/>
      <c r="U15707" s="27"/>
    </row>
    <row r="15708">
      <c r="T15708" s="27"/>
      <c r="U15708" s="27"/>
    </row>
    <row r="15710">
      <c r="S15710" s="27"/>
      <c r="T15710" s="27"/>
      <c r="U15710" s="27"/>
    </row>
    <row r="15713">
      <c r="S15713" s="33"/>
      <c r="T15713" s="33"/>
      <c r="U15713" s="27"/>
    </row>
    <row r="15714">
      <c r="S15714" s="27"/>
      <c r="T15714" s="27"/>
      <c r="U15714" s="33"/>
    </row>
    <row r="15717">
      <c r="S15717" s="26"/>
      <c r="T15717" s="26"/>
      <c r="U15717" s="26"/>
    </row>
    <row r="15719">
      <c r="S15719" s="27"/>
      <c r="T15719" s="27"/>
      <c r="U15719" s="27"/>
    </row>
    <row r="15720">
      <c r="S15720" s="27"/>
      <c r="T15720" s="27"/>
      <c r="U15720" s="27"/>
    </row>
    <row r="15722">
      <c r="S15722" s="27"/>
      <c r="T15722" s="27"/>
      <c r="U15722" s="27"/>
    </row>
    <row r="15723">
      <c r="S15723" s="27"/>
      <c r="T15723" s="27"/>
      <c r="U15723" s="27"/>
    </row>
    <row r="15725">
      <c r="S15725" s="27"/>
      <c r="T15725" s="27"/>
      <c r="U15725" s="27"/>
    </row>
    <row r="15726">
      <c r="S15726" s="27"/>
      <c r="T15726" s="27"/>
      <c r="U15726" s="27"/>
    </row>
    <row r="15728">
      <c r="S15728" s="27"/>
      <c r="T15728" s="27"/>
      <c r="U15728" s="27"/>
    </row>
    <row r="15729">
      <c r="S15729" s="27"/>
      <c r="T15729" s="27"/>
      <c r="U15729" s="27"/>
    </row>
    <row r="15731">
      <c r="T15731" s="27"/>
      <c r="U15731" s="27"/>
    </row>
    <row r="15734">
      <c r="S15734" s="27"/>
      <c r="T15734" s="27"/>
      <c r="U15734" s="27"/>
    </row>
    <row r="15735">
      <c r="S15735" s="27"/>
      <c r="T15735" s="27"/>
      <c r="U15735" s="27"/>
    </row>
    <row r="15737">
      <c r="S15737" s="27"/>
      <c r="T15737" s="27"/>
      <c r="U15737" s="27"/>
    </row>
    <row r="15738">
      <c r="S15738" s="27"/>
      <c r="T15738" s="27"/>
      <c r="U15738" s="27"/>
    </row>
    <row r="15740">
      <c r="S15740" s="27"/>
      <c r="T15740" s="27"/>
      <c r="U15740" s="27"/>
    </row>
    <row r="15743">
      <c r="S15743" s="26"/>
      <c r="T15743" s="27"/>
      <c r="U15743" s="26"/>
    </row>
    <row r="15744">
      <c r="T15744" s="27"/>
    </row>
    <row r="15749">
      <c r="S15749" s="27"/>
      <c r="T15749" s="27"/>
      <c r="U15749" s="27"/>
    </row>
    <row r="15750">
      <c r="S15750" s="27"/>
      <c r="T15750" s="27"/>
      <c r="U15750" s="27"/>
    </row>
    <row r="15752">
      <c r="S15752" s="27"/>
      <c r="T15752" s="27"/>
      <c r="U15752" s="27"/>
    </row>
    <row r="15755">
      <c r="S15755" s="27"/>
      <c r="T15755" s="27"/>
      <c r="U15755" s="27"/>
    </row>
    <row r="15756">
      <c r="S15756" s="27"/>
      <c r="T15756" s="27"/>
      <c r="U15756" s="27"/>
    </row>
    <row r="15761">
      <c r="S15761" s="27"/>
      <c r="T15761" s="27"/>
      <c r="U15761" s="27"/>
    </row>
    <row r="15764">
      <c r="S15764" s="27"/>
      <c r="T15764" s="27"/>
      <c r="U15764" s="27"/>
    </row>
    <row r="15765">
      <c r="S15765" s="27"/>
      <c r="T15765" s="27"/>
      <c r="U15765" s="27"/>
    </row>
    <row r="15767">
      <c r="S15767" s="27"/>
      <c r="T15767" s="27"/>
      <c r="U15767" s="27"/>
    </row>
    <row r="15768">
      <c r="S15768" s="27"/>
      <c r="T15768" s="27"/>
      <c r="U15768" s="27"/>
    </row>
    <row r="15770">
      <c r="S15770" s="27"/>
      <c r="T15770" s="27"/>
      <c r="U15770" s="27"/>
    </row>
    <row r="15771">
      <c r="S15771" s="27"/>
      <c r="T15771" s="27"/>
      <c r="U15771" s="27"/>
    </row>
    <row r="15773">
      <c r="S15773" s="27"/>
    </row>
    <row r="15774">
      <c r="T15774" s="26"/>
      <c r="U15774" s="26"/>
    </row>
    <row r="15776">
      <c r="S15776" s="27"/>
      <c r="T15776" s="27"/>
      <c r="U15776" s="27"/>
    </row>
    <row r="15777">
      <c r="S15777" s="27"/>
      <c r="T15777" s="27"/>
      <c r="U15777" s="27"/>
    </row>
    <row r="15779">
      <c r="S15779" s="27"/>
      <c r="T15779" s="27"/>
      <c r="U15779" s="27"/>
    </row>
    <row r="15780">
      <c r="S15780" s="27"/>
      <c r="T15780" s="27"/>
      <c r="U15780" s="27"/>
    </row>
    <row r="15782">
      <c r="S15782" s="27"/>
      <c r="T15782" s="27"/>
      <c r="U15782" s="27"/>
    </row>
    <row r="15785">
      <c r="S15785" s="27"/>
      <c r="T15785" s="27"/>
      <c r="U15785" s="27"/>
    </row>
    <row r="15786">
      <c r="S15786" s="27"/>
      <c r="T15786" s="27"/>
      <c r="U15786" s="27"/>
    </row>
    <row r="15788">
      <c r="S15788" s="27"/>
      <c r="T15788" s="27"/>
      <c r="U15788" s="27"/>
    </row>
    <row r="15789">
      <c r="S15789" s="27"/>
      <c r="T15789" s="27"/>
      <c r="U15789" s="27"/>
    </row>
    <row r="15791">
      <c r="S15791" s="27"/>
      <c r="T15791" s="27"/>
      <c r="U15791" s="27"/>
    </row>
    <row r="15792">
      <c r="S15792" s="27"/>
      <c r="T15792" s="27"/>
      <c r="U15792" s="27"/>
    </row>
    <row r="15794">
      <c r="S15794" s="27"/>
      <c r="T15794" s="27"/>
      <c r="U15794" s="27"/>
    </row>
    <row r="15795">
      <c r="S15795" s="27"/>
      <c r="T15795" s="27"/>
      <c r="U15795" s="27"/>
    </row>
    <row r="15797">
      <c r="S15797" s="27"/>
      <c r="T15797" s="27"/>
      <c r="U15797" s="27"/>
    </row>
    <row r="15798">
      <c r="S15798" s="27"/>
      <c r="T15798" s="27"/>
      <c r="U15798" s="27"/>
    </row>
    <row r="15800">
      <c r="S15800" s="27"/>
      <c r="T15800" s="27"/>
      <c r="U15800" s="27"/>
    </row>
    <row r="15801">
      <c r="S15801" s="27"/>
      <c r="T15801" s="27"/>
      <c r="U15801" s="27"/>
    </row>
    <row r="15803">
      <c r="S15803" s="27"/>
      <c r="T15803" s="27"/>
      <c r="U15803" s="27"/>
    </row>
    <row r="15804">
      <c r="S15804" s="27"/>
      <c r="T15804" s="27"/>
      <c r="U15804" s="27"/>
    </row>
    <row r="15806">
      <c r="S15806" s="27"/>
      <c r="T15806" s="27"/>
      <c r="U15806" s="27"/>
    </row>
    <row r="15807">
      <c r="S15807" s="27"/>
      <c r="T15807" s="27"/>
      <c r="U15807" s="27"/>
    </row>
    <row r="15809">
      <c r="S15809" s="27"/>
      <c r="T15809" s="27"/>
      <c r="U15809" s="27"/>
    </row>
    <row r="15810">
      <c r="S15810" s="27"/>
      <c r="T15810" s="27"/>
      <c r="U15810" s="27"/>
    </row>
    <row r="15812">
      <c r="S15812" s="27"/>
      <c r="T15812" s="27"/>
      <c r="U15812" s="27"/>
    </row>
    <row r="15813">
      <c r="S15813" s="27"/>
      <c r="T15813" s="27"/>
      <c r="U15813" s="27"/>
    </row>
    <row r="15815">
      <c r="S15815" s="27"/>
      <c r="T15815" s="27"/>
      <c r="U15815" s="27"/>
    </row>
    <row r="15816">
      <c r="S15816" s="27"/>
      <c r="T15816" s="27"/>
      <c r="U15816" s="27"/>
    </row>
    <row r="15818">
      <c r="S15818" s="27"/>
      <c r="T15818" s="27"/>
      <c r="U15818" s="27"/>
    </row>
    <row r="15819">
      <c r="S15819" s="27"/>
      <c r="T15819" s="27"/>
      <c r="U15819" s="27"/>
    </row>
    <row r="15821">
      <c r="S15821" s="27"/>
      <c r="T15821" s="27"/>
      <c r="U15821" s="27"/>
    </row>
    <row r="15822">
      <c r="S15822" s="27"/>
      <c r="T15822" s="27"/>
      <c r="U15822" s="27"/>
    </row>
    <row r="15824">
      <c r="S15824" s="27"/>
      <c r="T15824" s="27"/>
      <c r="U15824" s="27"/>
    </row>
    <row r="15825">
      <c r="S15825" s="27"/>
      <c r="T15825" s="27"/>
      <c r="U15825" s="27"/>
    </row>
    <row r="15827">
      <c r="S15827" s="27"/>
      <c r="T15827" s="27"/>
      <c r="U15827" s="27"/>
    </row>
    <row r="15828">
      <c r="S15828" s="27"/>
      <c r="T15828" s="27"/>
      <c r="U15828" s="27"/>
    </row>
    <row r="15830">
      <c r="S15830" s="27"/>
      <c r="T15830" s="27"/>
      <c r="U15830" s="27"/>
    </row>
    <row r="15831">
      <c r="S15831" s="27"/>
      <c r="T15831" s="27"/>
      <c r="U15831" s="27"/>
    </row>
    <row r="15833">
      <c r="S15833" s="27"/>
      <c r="T15833" s="27"/>
      <c r="U15833" s="27"/>
    </row>
    <row r="15834">
      <c r="S15834" s="27"/>
      <c r="T15834" s="27"/>
      <c r="U15834" s="27"/>
    </row>
    <row r="15836">
      <c r="S15836" s="27"/>
      <c r="T15836" s="27"/>
      <c r="U15836" s="27"/>
    </row>
    <row r="15837">
      <c r="S15837" s="27"/>
      <c r="T15837" s="27"/>
      <c r="U15837" s="27"/>
    </row>
    <row r="15839">
      <c r="S15839" s="27"/>
      <c r="T15839" s="27"/>
      <c r="U15839" s="27"/>
    </row>
    <row r="15840">
      <c r="S15840" s="27"/>
      <c r="T15840" s="27"/>
      <c r="U15840" s="27"/>
    </row>
    <row r="15842">
      <c r="S15842" s="27"/>
      <c r="T15842" s="27"/>
      <c r="U15842" s="27"/>
    </row>
    <row r="15843">
      <c r="S15843" s="27"/>
      <c r="T15843" s="27"/>
      <c r="U15843" s="27"/>
    </row>
    <row r="15845">
      <c r="S15845" s="27"/>
      <c r="T15845" s="27"/>
      <c r="U15845" s="27"/>
    </row>
    <row r="15846">
      <c r="S15846" s="27"/>
      <c r="T15846" s="27"/>
      <c r="U15846" s="27"/>
    </row>
    <row r="15848">
      <c r="S15848" s="27"/>
      <c r="T15848" s="27"/>
      <c r="U15848" s="27"/>
    </row>
    <row r="15849">
      <c r="S15849" s="27"/>
      <c r="T15849" s="27"/>
      <c r="U15849" s="27"/>
    </row>
    <row r="15851">
      <c r="S15851" s="27"/>
      <c r="T15851" s="27"/>
      <c r="U15851" s="27"/>
    </row>
    <row r="15852">
      <c r="S15852" s="27"/>
      <c r="T15852" s="27"/>
      <c r="U15852" s="27"/>
    </row>
    <row r="15854">
      <c r="S15854" s="27"/>
      <c r="T15854" s="27"/>
      <c r="U15854" s="27"/>
    </row>
    <row r="15855">
      <c r="S15855" s="27"/>
      <c r="T15855" s="27"/>
      <c r="U15855" s="27"/>
    </row>
    <row r="15857">
      <c r="S15857" s="27"/>
      <c r="T15857" s="27"/>
      <c r="U15857" s="27"/>
    </row>
    <row r="15858">
      <c r="S15858" s="27"/>
      <c r="T15858" s="27"/>
      <c r="U15858" s="27"/>
    </row>
    <row r="15860">
      <c r="S15860" s="27"/>
      <c r="T15860" s="27"/>
      <c r="U15860" s="27"/>
    </row>
    <row r="15861">
      <c r="S15861" s="27"/>
      <c r="T15861" s="27"/>
      <c r="U15861" s="27"/>
    </row>
    <row r="15863">
      <c r="S15863" s="27"/>
      <c r="T15863" s="27"/>
      <c r="U15863" s="27"/>
    </row>
    <row r="15864">
      <c r="S15864" s="27"/>
      <c r="T15864" s="27"/>
      <c r="U15864" s="27"/>
    </row>
    <row r="15866">
      <c r="S15866" s="27"/>
      <c r="T15866" s="27"/>
      <c r="U15866" s="27"/>
    </row>
    <row r="15867">
      <c r="S15867" s="27"/>
      <c r="T15867" s="27"/>
      <c r="U15867" s="27"/>
    </row>
    <row r="15869">
      <c r="S15869" s="27"/>
      <c r="T15869" s="27"/>
      <c r="U15869" s="27"/>
    </row>
    <row r="15870">
      <c r="S15870" s="27"/>
      <c r="T15870" s="27"/>
      <c r="U15870" s="27"/>
    </row>
    <row r="15872">
      <c r="S15872" s="27"/>
      <c r="T15872" s="27"/>
      <c r="U15872" s="27"/>
    </row>
    <row r="15874">
      <c r="S15874" s="27"/>
      <c r="T15874" s="27"/>
      <c r="U15874" s="27"/>
    </row>
    <row r="15875">
      <c r="S15875" s="27"/>
      <c r="T15875" s="27"/>
      <c r="U15875" s="27"/>
    </row>
    <row r="15877">
      <c r="S15877" s="27"/>
      <c r="T15877" s="27"/>
      <c r="U15877" s="27"/>
    </row>
    <row r="15878">
      <c r="S15878" s="27"/>
      <c r="T15878" s="27"/>
      <c r="U15878" s="27"/>
    </row>
    <row r="15880">
      <c r="S15880" s="27"/>
      <c r="T15880" s="27"/>
      <c r="U15880" s="27"/>
    </row>
    <row r="15881">
      <c r="S15881" s="27"/>
      <c r="T15881" s="27"/>
      <c r="U15881" s="27"/>
    </row>
    <row r="15883">
      <c r="S15883" s="27"/>
      <c r="T15883" s="27"/>
      <c r="U15883" s="27"/>
    </row>
    <row r="15884">
      <c r="S15884" s="27"/>
      <c r="T15884" s="27"/>
      <c r="U15884" s="27"/>
    </row>
    <row r="15886">
      <c r="S15886" s="27"/>
      <c r="T15886" s="27"/>
      <c r="U15886" s="27"/>
    </row>
    <row r="15887">
      <c r="S15887" s="27"/>
      <c r="T15887" s="27"/>
      <c r="U15887" s="27"/>
    </row>
    <row r="15889">
      <c r="S15889" s="27"/>
      <c r="T15889" s="27"/>
      <c r="U15889" s="27"/>
    </row>
    <row r="15890">
      <c r="S15890" s="27"/>
      <c r="T15890" s="27"/>
      <c r="U15890" s="27"/>
    </row>
    <row r="15892">
      <c r="S15892" s="27"/>
      <c r="T15892" s="27"/>
      <c r="U15892" s="27"/>
    </row>
    <row r="15893">
      <c r="S15893" s="27"/>
      <c r="T15893" s="27"/>
      <c r="U15893" s="27"/>
    </row>
    <row r="15895">
      <c r="S15895" s="27"/>
      <c r="T15895" s="27"/>
      <c r="U15895" s="27"/>
    </row>
    <row r="15897">
      <c r="S15897" s="27"/>
      <c r="T15897" s="27"/>
      <c r="U15897" s="27"/>
    </row>
    <row r="15899">
      <c r="U15899" s="27"/>
    </row>
    <row r="15901">
      <c r="S15901" s="27"/>
      <c r="T15901" s="27"/>
      <c r="U15901" s="27"/>
    </row>
    <row r="15903">
      <c r="S15903" s="27"/>
      <c r="T15903" s="27"/>
      <c r="U15903" s="27"/>
    </row>
    <row r="15904">
      <c r="S15904" s="27"/>
      <c r="T15904" s="27"/>
      <c r="U15904" s="27"/>
    </row>
    <row r="15906">
      <c r="S15906" s="27"/>
      <c r="T15906" s="27"/>
      <c r="U15906" s="27"/>
    </row>
    <row r="15907">
      <c r="S15907" s="27"/>
      <c r="T15907" s="27"/>
      <c r="U15907" s="27"/>
    </row>
    <row r="15909">
      <c r="S15909" s="27"/>
      <c r="T15909" s="27"/>
      <c r="U15909" s="27"/>
    </row>
    <row r="15910">
      <c r="S15910" s="27"/>
      <c r="T15910" s="27"/>
      <c r="U15910" s="27"/>
    </row>
    <row r="15912">
      <c r="S15912" s="27"/>
      <c r="T15912" s="27"/>
      <c r="U15912" s="27"/>
    </row>
    <row r="15913">
      <c r="S15913" s="27"/>
      <c r="T15913" s="27"/>
      <c r="U15913" s="27"/>
    </row>
    <row r="15915">
      <c r="S15915" s="27"/>
      <c r="T15915" s="27"/>
      <c r="U15915" s="27"/>
    </row>
    <row r="15916">
      <c r="S15916" s="27"/>
      <c r="T15916" s="27"/>
      <c r="U15916" s="27"/>
    </row>
    <row r="15918">
      <c r="S15918" s="27"/>
      <c r="T15918" s="27"/>
      <c r="U15918" s="27"/>
    </row>
    <row r="15919">
      <c r="S15919" s="27"/>
      <c r="T15919" s="27"/>
      <c r="U15919" s="27"/>
    </row>
    <row r="15924">
      <c r="S15924" s="27"/>
      <c r="T15924" s="27"/>
      <c r="U15924" s="27"/>
    </row>
    <row r="15927">
      <c r="T15927" s="27"/>
      <c r="U15927" s="27"/>
    </row>
    <row r="15930">
      <c r="S15930" s="27"/>
      <c r="T15930" s="27"/>
      <c r="U15930" s="27"/>
    </row>
    <row r="15931">
      <c r="S15931" s="27"/>
      <c r="T15931" s="27"/>
      <c r="U15931" s="27"/>
    </row>
    <row r="15933">
      <c r="S15933" s="27"/>
      <c r="T15933" s="27"/>
      <c r="U15933" s="27"/>
    </row>
    <row r="15934">
      <c r="S15934" s="27"/>
      <c r="T15934" s="27"/>
      <c r="U15934" s="27"/>
    </row>
    <row r="15936">
      <c r="S15936" s="27"/>
      <c r="T15936" s="27"/>
      <c r="U15936" s="27"/>
    </row>
    <row r="15937">
      <c r="S15937" s="27"/>
      <c r="T15937" s="27"/>
      <c r="U15937" s="27"/>
    </row>
    <row r="15942">
      <c r="S15942" s="27"/>
      <c r="T15942" s="27"/>
      <c r="U15942" s="27"/>
    </row>
    <row r="15943">
      <c r="S15943" s="27"/>
      <c r="T15943" s="27"/>
      <c r="U15943" s="27"/>
    </row>
    <row r="15945">
      <c r="S15945" s="27"/>
      <c r="T15945" s="27"/>
      <c r="U15945" s="27"/>
    </row>
    <row r="15946">
      <c r="S15946" s="27"/>
      <c r="T15946" s="27"/>
      <c r="U15946" s="27"/>
    </row>
    <row r="15948">
      <c r="S15948" s="27"/>
      <c r="U15948" s="26"/>
    </row>
    <row r="15949">
      <c r="S15949" s="27"/>
      <c r="T15949" s="27"/>
    </row>
    <row r="15951">
      <c r="U15951" s="27"/>
    </row>
    <row r="15954">
      <c r="S15954" s="26"/>
      <c r="T15954" s="26"/>
      <c r="U15954" s="26"/>
    </row>
    <row r="15957">
      <c r="S15957" s="27"/>
      <c r="T15957" s="27"/>
      <c r="U15957" s="27"/>
    </row>
    <row r="15958">
      <c r="S15958" s="27"/>
      <c r="T15958" s="27"/>
      <c r="U15958" s="27"/>
    </row>
    <row r="15960">
      <c r="S15960" s="27"/>
      <c r="T15960" s="27"/>
      <c r="U15960" s="27"/>
    </row>
    <row r="15961">
      <c r="S15961" s="27"/>
      <c r="T15961" s="27"/>
      <c r="U15961" s="27"/>
    </row>
    <row r="15963">
      <c r="S15963" s="34"/>
      <c r="T15963" s="34"/>
      <c r="U15963" s="34"/>
    </row>
    <row r="15966">
      <c r="T15966" s="26"/>
      <c r="U15966" s="26"/>
    </row>
    <row r="15969">
      <c r="S15969" s="27"/>
      <c r="T15969" s="27"/>
      <c r="U15969" s="27"/>
    </row>
    <row r="15972">
      <c r="S15972" s="27"/>
      <c r="T15972" s="27"/>
      <c r="U15972" s="27"/>
    </row>
    <row r="15973">
      <c r="S15973" s="27"/>
      <c r="T15973" s="27"/>
      <c r="U15973" s="27"/>
    </row>
    <row r="15975">
      <c r="S15975" s="27"/>
      <c r="T15975" s="27"/>
      <c r="U15975" s="27"/>
    </row>
    <row r="15976">
      <c r="S15976" s="27"/>
      <c r="T15976" s="27"/>
      <c r="U15976" s="27"/>
    </row>
    <row r="15978">
      <c r="S15978" s="27"/>
      <c r="T15978" s="27"/>
      <c r="U15978" s="27"/>
    </row>
    <row r="15979">
      <c r="S15979" s="27"/>
      <c r="T15979" s="27"/>
      <c r="U15979" s="27"/>
    </row>
    <row r="15981">
      <c r="S15981" s="27"/>
      <c r="T15981" s="27"/>
      <c r="U15981" s="27"/>
    </row>
    <row r="15982">
      <c r="S15982" s="27"/>
      <c r="T15982" s="27"/>
      <c r="U15982" s="27"/>
    </row>
    <row r="15984">
      <c r="S15984" s="27"/>
      <c r="T15984" s="27"/>
      <c r="U15984" s="27"/>
    </row>
    <row r="15985">
      <c r="S15985" s="27"/>
      <c r="T15985" s="27"/>
      <c r="U15985" s="27"/>
    </row>
    <row r="15987">
      <c r="S15987" s="27"/>
      <c r="T15987" s="27"/>
      <c r="U15987" s="27"/>
    </row>
    <row r="15988">
      <c r="S15988" s="27"/>
      <c r="T15988" s="27"/>
      <c r="U15988" s="27"/>
    </row>
    <row r="15990">
      <c r="S15990" s="27"/>
      <c r="T15990" s="27"/>
      <c r="U15990" s="27"/>
    </row>
    <row r="15991">
      <c r="S15991" s="27"/>
      <c r="T15991" s="27"/>
      <c r="U15991" s="27"/>
    </row>
    <row r="15993">
      <c r="S15993" s="27"/>
      <c r="T15993" s="27"/>
      <c r="U15993" s="27"/>
    </row>
    <row r="15994">
      <c r="S15994" s="27"/>
      <c r="T15994" s="27"/>
      <c r="U15994" s="27"/>
    </row>
    <row r="15996">
      <c r="S15996" s="27"/>
      <c r="T15996" s="27"/>
      <c r="U15996" s="27"/>
    </row>
    <row r="15997">
      <c r="S15997" s="27"/>
      <c r="T15997" s="27"/>
      <c r="U15997" s="27"/>
    </row>
    <row r="15999">
      <c r="S15999" s="27"/>
      <c r="T15999" s="27"/>
      <c r="U15999" s="27"/>
    </row>
    <row r="16000">
      <c r="S16000" s="27"/>
      <c r="T16000" s="27"/>
      <c r="U16000" s="27"/>
    </row>
    <row r="16002">
      <c r="S16002" s="27"/>
      <c r="T16002" s="27"/>
      <c r="U16002" s="27"/>
    </row>
    <row r="16003">
      <c r="S16003" s="27"/>
      <c r="T16003" s="27"/>
      <c r="U16003" s="27"/>
    </row>
    <row r="16005">
      <c r="S16005" s="27"/>
      <c r="T16005" s="27"/>
      <c r="U16005" s="27"/>
    </row>
    <row r="16006">
      <c r="S16006" s="27"/>
      <c r="T16006" s="27"/>
      <c r="U16006" s="27"/>
    </row>
    <row r="16008">
      <c r="S16008" s="27"/>
      <c r="T16008" s="27"/>
      <c r="U16008" s="27"/>
    </row>
    <row r="16009">
      <c r="S16009" s="27"/>
      <c r="T16009" s="27"/>
      <c r="U16009" s="27"/>
    </row>
    <row r="16011">
      <c r="S16011" s="27"/>
      <c r="T16011" s="27"/>
      <c r="U16011" s="27"/>
    </row>
    <row r="16012">
      <c r="S16012" s="27"/>
      <c r="T16012" s="27"/>
      <c r="U16012" s="27"/>
    </row>
    <row r="16014">
      <c r="S16014" s="27"/>
      <c r="T16014" s="27"/>
      <c r="U16014" s="27"/>
    </row>
    <row r="16015">
      <c r="S16015" s="27"/>
      <c r="T16015" s="27"/>
      <c r="U16015" s="27"/>
    </row>
    <row r="16017">
      <c r="S16017" s="27"/>
      <c r="T16017" s="27"/>
      <c r="U16017" s="27"/>
    </row>
    <row r="16018">
      <c r="S16018" s="27"/>
      <c r="T16018" s="27"/>
      <c r="U16018" s="27"/>
    </row>
    <row r="16020">
      <c r="S16020" s="27"/>
      <c r="T16020" s="27"/>
      <c r="U16020" s="27"/>
    </row>
    <row r="16021">
      <c r="S16021" s="27"/>
      <c r="T16021" s="27"/>
      <c r="U16021" s="27"/>
    </row>
    <row r="16023">
      <c r="S16023" s="27"/>
      <c r="T16023" s="27"/>
      <c r="U16023" s="27"/>
    </row>
    <row r="16024">
      <c r="S16024" s="27"/>
      <c r="T16024" s="27"/>
      <c r="U16024" s="27"/>
    </row>
    <row r="16026">
      <c r="S16026" s="27"/>
      <c r="T16026" s="27"/>
      <c r="U16026" s="27"/>
    </row>
    <row r="16027">
      <c r="S16027" s="27"/>
      <c r="T16027" s="27"/>
      <c r="U16027" s="27"/>
    </row>
    <row r="16029">
      <c r="S16029" s="27"/>
      <c r="T16029" s="27"/>
      <c r="U16029" s="27"/>
    </row>
    <row r="16030">
      <c r="S16030" s="27"/>
      <c r="T16030" s="27"/>
      <c r="U16030" s="27"/>
    </row>
    <row r="16032">
      <c r="S16032" s="27"/>
      <c r="T16032" s="27"/>
      <c r="U16032" s="27"/>
    </row>
    <row r="16033">
      <c r="S16033" s="27"/>
      <c r="T16033" s="27"/>
      <c r="U16033" s="27"/>
    </row>
    <row r="16035">
      <c r="S16035" s="27"/>
      <c r="T16035" s="27"/>
      <c r="U16035" s="27"/>
    </row>
    <row r="16036">
      <c r="S16036" s="27"/>
      <c r="T16036" s="27"/>
      <c r="U16036" s="27"/>
    </row>
    <row r="16038">
      <c r="S16038" s="27"/>
      <c r="T16038" s="27"/>
      <c r="U16038" s="27"/>
    </row>
    <row r="16039">
      <c r="S16039" s="27"/>
      <c r="T16039" s="27"/>
      <c r="U16039" s="27"/>
    </row>
    <row r="16041">
      <c r="S16041" s="27"/>
      <c r="T16041" s="27"/>
      <c r="U16041" s="27"/>
    </row>
    <row r="16042">
      <c r="S16042" s="27"/>
      <c r="T16042" s="27"/>
      <c r="U16042" s="27"/>
    </row>
    <row r="16047">
      <c r="S16047" s="27"/>
      <c r="T16047" s="27"/>
      <c r="U16047" s="27"/>
    </row>
    <row r="16048">
      <c r="S16048" s="27"/>
      <c r="T16048" s="27"/>
      <c r="U16048" s="27"/>
    </row>
    <row r="16050">
      <c r="S16050" s="27"/>
      <c r="T16050" s="27"/>
      <c r="U16050" s="27"/>
    </row>
    <row r="16053">
      <c r="S16053" s="33"/>
      <c r="T16053" s="27"/>
    </row>
    <row r="16054">
      <c r="S16054" s="27"/>
      <c r="T16054" s="27"/>
    </row>
    <row r="16056">
      <c r="S16056" s="27"/>
      <c r="T16056" s="27"/>
      <c r="U16056" s="27"/>
    </row>
    <row r="16057">
      <c r="S16057" s="27"/>
      <c r="T16057" s="27"/>
      <c r="U16057" s="27"/>
    </row>
    <row r="16059">
      <c r="S16059" s="27"/>
      <c r="T16059" s="27"/>
      <c r="U16059" s="27"/>
    </row>
    <row r="16060">
      <c r="S16060" s="26"/>
      <c r="T16060" s="26"/>
      <c r="U16060" s="26"/>
    </row>
    <row r="16062">
      <c r="S16062" s="27"/>
      <c r="T16062" s="27"/>
      <c r="U16062" s="27"/>
    </row>
    <row r="16063">
      <c r="S16063" s="27"/>
      <c r="T16063" s="27"/>
      <c r="U16063" s="27"/>
    </row>
    <row r="16065">
      <c r="S16065" s="27"/>
      <c r="T16065" s="27"/>
      <c r="U16065" s="27"/>
    </row>
    <row r="16066">
      <c r="S16066" s="27"/>
      <c r="T16066" s="27"/>
      <c r="U16066" s="27"/>
    </row>
    <row r="16068">
      <c r="S16068" s="27"/>
      <c r="T16068" s="27"/>
      <c r="U16068" s="27"/>
    </row>
    <row r="16069">
      <c r="S16069" s="27"/>
      <c r="T16069" s="27"/>
      <c r="U16069" s="27"/>
    </row>
    <row r="16071">
      <c r="T16071" s="26"/>
      <c r="U16071" s="26"/>
    </row>
    <row r="16074">
      <c r="S16074" s="26"/>
      <c r="T16074" s="26"/>
      <c r="U16074" s="26"/>
    </row>
    <row r="16077">
      <c r="T16077" s="27"/>
      <c r="U16077" s="27"/>
    </row>
    <row r="16079">
      <c r="S16079" s="27"/>
      <c r="T16079" s="27"/>
      <c r="U16079" s="27"/>
    </row>
    <row r="16081">
      <c r="S16081" s="26"/>
      <c r="T16081" s="26"/>
      <c r="U16081" s="26"/>
    </row>
    <row r="16084">
      <c r="S16084" s="27"/>
      <c r="T16084" s="27"/>
      <c r="U16084" s="27"/>
    </row>
    <row r="16087">
      <c r="S16087" s="27"/>
      <c r="T16087" s="27"/>
      <c r="U16087" s="27"/>
    </row>
    <row r="16088">
      <c r="S16088" s="27"/>
      <c r="T16088" s="27"/>
      <c r="U16088" s="27"/>
    </row>
    <row r="16090">
      <c r="S16090" s="27"/>
      <c r="T16090" s="27"/>
      <c r="U16090" s="27"/>
    </row>
    <row r="16091">
      <c r="S16091" s="27"/>
      <c r="T16091" s="27"/>
      <c r="U16091" s="27"/>
    </row>
    <row r="16093">
      <c r="S16093" s="27"/>
      <c r="T16093" s="26"/>
      <c r="U16093" s="27"/>
    </row>
    <row r="16094">
      <c r="U16094" s="27"/>
    </row>
    <row r="16096">
      <c r="S16096" s="27"/>
      <c r="T16096" s="27"/>
    </row>
    <row r="16097">
      <c r="S16097" s="27"/>
      <c r="T16097" s="26"/>
      <c r="U16097" s="27"/>
    </row>
    <row r="16099">
      <c r="S16099" s="27"/>
      <c r="T16099" s="27"/>
      <c r="U16099" s="27"/>
    </row>
    <row r="16100">
      <c r="S16100" s="27"/>
      <c r="T16100" s="27"/>
      <c r="U16100" s="27"/>
    </row>
    <row r="16105">
      <c r="S16105" s="27"/>
      <c r="T16105" s="27"/>
      <c r="U16105" s="27"/>
    </row>
    <row r="16106">
      <c r="S16106" s="27"/>
      <c r="T16106" s="27"/>
      <c r="U16106" s="27"/>
    </row>
    <row r="16108">
      <c r="S16108" s="27"/>
      <c r="T16108" s="27"/>
      <c r="U16108" s="27"/>
    </row>
    <row r="16109">
      <c r="S16109" s="27"/>
      <c r="T16109" s="27"/>
      <c r="U16109" s="27"/>
    </row>
    <row r="16111">
      <c r="S16111" s="27"/>
      <c r="T16111" s="27"/>
      <c r="U16111" s="27"/>
    </row>
    <row r="16112">
      <c r="S16112" s="27"/>
      <c r="T16112" s="27"/>
      <c r="U16112" s="27"/>
    </row>
    <row r="16114">
      <c r="S16114" s="33"/>
      <c r="T16114" s="33"/>
      <c r="U16114" s="27"/>
    </row>
    <row r="16120">
      <c r="S16120" s="27"/>
      <c r="T16120" s="27"/>
      <c r="U16120" s="27"/>
    </row>
    <row r="16124">
      <c r="S16124" s="33"/>
      <c r="T16124" s="33"/>
      <c r="U16124" s="33"/>
    </row>
    <row r="16126">
      <c r="S16126" s="26"/>
    </row>
    <row r="16127">
      <c r="T16127" s="26"/>
      <c r="U16127" s="26"/>
    </row>
    <row r="16129">
      <c r="S16129" s="27"/>
      <c r="T16129" s="27"/>
      <c r="U16129" s="27"/>
    </row>
    <row r="16130">
      <c r="S16130" s="27"/>
      <c r="T16130" s="27"/>
      <c r="U16130" s="27"/>
    </row>
    <row r="16132">
      <c r="S16132" s="27"/>
      <c r="T16132" s="27"/>
      <c r="U16132" s="27"/>
    </row>
    <row r="16133">
      <c r="S16133" s="27"/>
      <c r="T16133" s="27"/>
      <c r="U16133" s="27"/>
    </row>
    <row r="16135">
      <c r="S16135" s="27"/>
      <c r="T16135" s="27"/>
      <c r="U16135" s="27"/>
    </row>
    <row r="16136">
      <c r="S16136" s="27"/>
      <c r="T16136" s="27"/>
      <c r="U16136" s="27"/>
    </row>
    <row r="16138">
      <c r="S16138" s="27"/>
      <c r="T16138" s="27"/>
      <c r="U16138" s="27"/>
    </row>
    <row r="16139">
      <c r="S16139" s="27"/>
      <c r="T16139" s="27"/>
      <c r="U16139" s="27"/>
    </row>
    <row r="16144">
      <c r="S16144" s="27"/>
      <c r="T16144" s="27"/>
      <c r="U16144" s="33"/>
    </row>
    <row r="16145">
      <c r="S16145" s="27"/>
      <c r="T16145" s="27"/>
      <c r="U16145" s="27"/>
    </row>
    <row r="16147">
      <c r="S16147" s="27"/>
      <c r="T16147" s="27"/>
      <c r="U16147" s="27"/>
    </row>
    <row r="16148">
      <c r="S16148" s="27"/>
      <c r="T16148" s="27"/>
      <c r="U16148" s="27"/>
    </row>
    <row r="16150">
      <c r="S16150" s="27"/>
      <c r="T16150" s="27"/>
      <c r="U16150" s="27"/>
    </row>
    <row r="16154">
      <c r="S16154" s="27"/>
      <c r="T16154" s="27"/>
      <c r="U16154" s="27"/>
    </row>
    <row r="16156">
      <c r="S16156" s="27"/>
      <c r="T16156" s="27"/>
      <c r="U16156" s="27"/>
    </row>
    <row r="16157">
      <c r="S16157" s="27"/>
      <c r="T16157" s="27"/>
      <c r="U16157" s="27"/>
    </row>
    <row r="16159">
      <c r="S16159" s="27"/>
      <c r="T16159" s="27"/>
      <c r="U16159" s="27"/>
    </row>
    <row r="16160">
      <c r="S16160" s="27"/>
      <c r="T16160" s="27"/>
      <c r="U16160" s="27"/>
    </row>
    <row r="16162">
      <c r="S16162" s="27"/>
      <c r="T16162" s="27"/>
      <c r="U16162" s="27"/>
    </row>
    <row r="16163">
      <c r="S16163" s="26"/>
    </row>
    <row r="16165">
      <c r="S16165" s="27"/>
      <c r="T16165" s="27"/>
      <c r="U16165" s="27"/>
    </row>
    <row r="16166">
      <c r="S16166" s="27"/>
      <c r="T16166" s="27"/>
      <c r="U16166" s="27"/>
    </row>
    <row r="16168">
      <c r="S16168" s="26"/>
      <c r="T16168" s="26"/>
      <c r="U16168" s="26"/>
    </row>
    <row r="16171">
      <c r="S16171" s="27"/>
      <c r="T16171" s="27"/>
      <c r="U16171" s="27"/>
    </row>
    <row r="16174">
      <c r="S16174" s="27"/>
      <c r="T16174" s="27"/>
      <c r="U16174" s="27"/>
    </row>
    <row r="16175">
      <c r="S16175" s="27"/>
      <c r="T16175" s="27"/>
      <c r="U16175" s="27"/>
    </row>
    <row r="16177">
      <c r="S16177" s="27"/>
      <c r="T16177" s="27"/>
      <c r="U16177" s="27"/>
    </row>
    <row r="16178">
      <c r="S16178" s="27"/>
      <c r="T16178" s="27"/>
      <c r="U16178" s="27"/>
    </row>
    <row r="16180">
      <c r="S16180" s="27"/>
      <c r="T16180" s="27"/>
      <c r="U16180" s="27"/>
    </row>
    <row r="16181">
      <c r="S16181" s="27"/>
      <c r="T16181" s="27"/>
      <c r="U16181" s="27"/>
    </row>
    <row r="16183">
      <c r="S16183" s="26"/>
    </row>
    <row r="16184">
      <c r="T16184" s="26"/>
      <c r="U16184" s="26"/>
    </row>
    <row r="16186">
      <c r="S16186" s="27"/>
      <c r="T16186" s="27"/>
      <c r="U16186" s="27"/>
    </row>
    <row r="16187">
      <c r="S16187" s="27"/>
      <c r="T16187" s="27"/>
      <c r="U16187" s="27"/>
    </row>
    <row r="16189">
      <c r="S16189" s="27"/>
      <c r="T16189" s="27"/>
      <c r="U16189" s="27"/>
    </row>
    <row r="16190">
      <c r="S16190" s="27"/>
      <c r="T16190" s="27"/>
      <c r="U16190" s="27"/>
    </row>
    <row r="16192">
      <c r="S16192" s="27"/>
      <c r="T16192" s="27"/>
      <c r="U16192" s="27"/>
    </row>
    <row r="16193">
      <c r="S16193" s="27"/>
      <c r="T16193" s="27"/>
      <c r="U16193" s="27"/>
    </row>
    <row r="16195">
      <c r="S16195" s="27"/>
      <c r="T16195" s="27"/>
      <c r="U16195" s="27"/>
    </row>
    <row r="16196">
      <c r="S16196" s="27"/>
      <c r="T16196" s="27"/>
      <c r="U16196" s="27"/>
    </row>
    <row r="16198">
      <c r="S16198" s="27"/>
      <c r="T16198" s="27"/>
      <c r="U16198" s="27"/>
    </row>
    <row r="16199">
      <c r="S16199" s="27"/>
      <c r="T16199" s="27"/>
      <c r="U16199" s="27"/>
    </row>
    <row r="16201">
      <c r="S16201" s="27"/>
      <c r="T16201" s="27"/>
      <c r="U16201" s="27"/>
    </row>
    <row r="16202">
      <c r="S16202" s="27"/>
      <c r="T16202" s="27"/>
      <c r="U16202" s="27"/>
    </row>
    <row r="16204">
      <c r="S16204" s="27"/>
      <c r="T16204" s="27"/>
      <c r="U16204" s="27"/>
    </row>
    <row r="16205">
      <c r="S16205" s="27"/>
      <c r="T16205" s="27"/>
      <c r="U16205" s="27"/>
    </row>
    <row r="16207">
      <c r="S16207" s="27"/>
      <c r="T16207" s="27"/>
      <c r="U16207" s="27"/>
    </row>
    <row r="16208">
      <c r="S16208" s="27"/>
      <c r="T16208" s="27"/>
      <c r="U16208" s="27"/>
    </row>
    <row r="16210">
      <c r="S16210" s="27"/>
      <c r="T16210" s="27"/>
      <c r="U16210" s="27"/>
    </row>
    <row r="16211">
      <c r="S16211" s="27"/>
      <c r="T16211" s="27"/>
      <c r="U16211" s="27"/>
    </row>
    <row r="16213">
      <c r="S16213" s="27"/>
      <c r="T16213" s="27"/>
      <c r="U16213" s="27"/>
    </row>
    <row r="16214">
      <c r="S16214" s="27"/>
      <c r="T16214" s="27"/>
      <c r="U16214" s="27"/>
    </row>
    <row r="16216">
      <c r="S16216" s="27"/>
      <c r="T16216" s="27"/>
      <c r="U16216" s="27"/>
    </row>
    <row r="16217">
      <c r="S16217" s="27"/>
      <c r="T16217" s="27"/>
      <c r="U16217" s="27"/>
    </row>
    <row r="16219">
      <c r="S16219" s="27"/>
      <c r="T16219" s="27"/>
      <c r="U16219" s="27"/>
    </row>
    <row r="16220">
      <c r="S16220" s="27"/>
      <c r="T16220" s="27"/>
      <c r="U16220" s="27"/>
    </row>
    <row r="16222">
      <c r="S16222" s="27"/>
      <c r="T16222" s="27"/>
      <c r="U16222" s="27"/>
    </row>
    <row r="16223">
      <c r="S16223" s="27"/>
      <c r="T16223" s="27"/>
      <c r="U16223" s="27"/>
    </row>
    <row r="16225">
      <c r="S16225" s="27"/>
      <c r="T16225" s="27"/>
      <c r="U16225" s="27"/>
    </row>
    <row r="16226">
      <c r="S16226" s="27"/>
      <c r="T16226" s="27"/>
      <c r="U16226" s="27"/>
    </row>
    <row r="16228">
      <c r="S16228" s="27"/>
      <c r="T16228" s="27"/>
      <c r="U16228" s="27"/>
    </row>
    <row r="16229">
      <c r="S16229" s="27"/>
      <c r="T16229" s="27"/>
      <c r="U16229" s="27"/>
    </row>
    <row r="16231">
      <c r="S16231" s="27"/>
      <c r="T16231" s="27"/>
      <c r="U16231" s="27"/>
    </row>
    <row r="16232">
      <c r="S16232" s="27"/>
      <c r="T16232" s="27"/>
      <c r="U16232" s="27"/>
    </row>
    <row r="16234">
      <c r="S16234" s="27"/>
      <c r="T16234" s="27"/>
      <c r="U16234" s="27"/>
    </row>
    <row r="16235">
      <c r="S16235" s="27"/>
      <c r="T16235" s="27"/>
      <c r="U16235" s="27"/>
    </row>
    <row r="16237">
      <c r="S16237" s="27"/>
      <c r="T16237" s="27"/>
      <c r="U16237" s="27"/>
    </row>
    <row r="16238">
      <c r="S16238" s="27"/>
      <c r="T16238" s="27"/>
      <c r="U16238" s="27"/>
    </row>
    <row r="16240">
      <c r="S16240" s="27"/>
      <c r="T16240" s="27"/>
      <c r="U16240" s="27"/>
    </row>
    <row r="16241">
      <c r="S16241" s="27"/>
      <c r="T16241" s="27"/>
      <c r="U16241" s="27"/>
    </row>
    <row r="16243">
      <c r="S16243" s="27"/>
      <c r="T16243" s="27"/>
      <c r="U16243" s="27"/>
    </row>
    <row r="16244">
      <c r="S16244" s="27"/>
      <c r="T16244" s="27"/>
      <c r="U16244" s="27"/>
    </row>
    <row r="16246">
      <c r="S16246" s="27"/>
      <c r="T16246" s="27"/>
      <c r="U16246" s="27"/>
    </row>
    <row r="16247">
      <c r="S16247" s="27"/>
      <c r="T16247" s="27"/>
      <c r="U16247" s="27"/>
    </row>
    <row r="16249">
      <c r="S16249" s="27"/>
      <c r="T16249" s="27"/>
      <c r="U16249" s="27"/>
    </row>
    <row r="16250">
      <c r="S16250" s="27"/>
      <c r="T16250" s="27"/>
      <c r="U16250" s="27"/>
    </row>
    <row r="16252">
      <c r="S16252" s="27"/>
      <c r="T16252" s="27"/>
      <c r="U16252" s="27"/>
    </row>
    <row r="16253">
      <c r="S16253" s="27"/>
      <c r="T16253" s="27"/>
      <c r="U16253" s="27"/>
    </row>
    <row r="16255">
      <c r="S16255" s="27"/>
      <c r="T16255" s="27"/>
      <c r="U16255" s="27"/>
    </row>
    <row r="16256">
      <c r="S16256" s="27"/>
      <c r="T16256" s="27"/>
      <c r="U16256" s="27"/>
    </row>
    <row r="16258">
      <c r="S16258" s="27"/>
      <c r="T16258" s="27"/>
      <c r="U16258" s="27"/>
    </row>
    <row r="16259">
      <c r="S16259" s="27"/>
      <c r="T16259" s="27"/>
      <c r="U16259" s="27"/>
    </row>
    <row r="16261">
      <c r="S16261" s="27"/>
      <c r="T16261" s="27"/>
      <c r="U16261" s="27"/>
    </row>
    <row r="16262">
      <c r="S16262" s="27"/>
      <c r="T16262" s="27"/>
      <c r="U16262" s="27"/>
    </row>
    <row r="16264">
      <c r="S16264" s="27"/>
      <c r="T16264" s="27"/>
      <c r="U16264" s="27"/>
    </row>
    <row r="16265">
      <c r="S16265" s="27"/>
      <c r="T16265" s="27"/>
      <c r="U16265" s="27"/>
    </row>
    <row r="16267">
      <c r="S16267" s="27"/>
      <c r="T16267" s="27"/>
      <c r="U16267" s="27"/>
    </row>
    <row r="16268">
      <c r="S16268" s="27"/>
      <c r="T16268" s="27"/>
      <c r="U16268" s="27"/>
    </row>
    <row r="16270">
      <c r="S16270" s="27"/>
      <c r="T16270" s="27"/>
      <c r="U16270" s="27"/>
    </row>
    <row r="16271">
      <c r="S16271" s="27"/>
      <c r="T16271" s="27"/>
      <c r="U16271" s="27"/>
    </row>
    <row r="16273">
      <c r="S16273" s="27"/>
      <c r="T16273" s="27"/>
      <c r="U16273" s="27"/>
    </row>
    <row r="16274">
      <c r="S16274" s="27"/>
      <c r="T16274" s="27"/>
      <c r="U16274" s="27"/>
    </row>
    <row r="16276">
      <c r="S16276" s="27"/>
      <c r="T16276" s="27"/>
      <c r="U16276" s="27"/>
    </row>
    <row r="16277">
      <c r="S16277" s="27"/>
      <c r="T16277" s="27"/>
      <c r="U16277" s="27"/>
    </row>
    <row r="16279">
      <c r="S16279" s="27"/>
      <c r="T16279" s="27"/>
      <c r="U16279" s="27"/>
    </row>
    <row r="16280">
      <c r="S16280" s="27"/>
      <c r="T16280" s="27"/>
      <c r="U16280" s="27"/>
    </row>
    <row r="16282">
      <c r="S16282" s="27"/>
      <c r="T16282" s="27"/>
      <c r="U16282" s="27"/>
    </row>
    <row r="16284">
      <c r="S16284" s="27"/>
      <c r="T16284" s="27"/>
      <c r="U16284" s="27"/>
    </row>
    <row r="16285">
      <c r="S16285" s="27"/>
      <c r="T16285" s="27"/>
      <c r="U16285" s="27"/>
    </row>
    <row r="16287">
      <c r="S16287" s="27"/>
      <c r="T16287" s="27"/>
      <c r="U16287" s="27"/>
    </row>
    <row r="16288">
      <c r="S16288" s="27"/>
      <c r="T16288" s="27"/>
      <c r="U16288" s="27"/>
    </row>
    <row r="16290">
      <c r="S16290" s="27"/>
      <c r="T16290" s="27"/>
      <c r="U16290" s="27"/>
    </row>
    <row r="16291">
      <c r="S16291" s="27"/>
      <c r="T16291" s="27"/>
      <c r="U16291" s="27"/>
    </row>
    <row r="16293">
      <c r="S16293" s="27"/>
      <c r="T16293" s="27"/>
      <c r="U16293" s="27"/>
    </row>
    <row r="16294">
      <c r="S16294" s="27"/>
      <c r="T16294" s="27"/>
      <c r="U16294" s="27"/>
    </row>
    <row r="16296">
      <c r="S16296" s="27"/>
      <c r="T16296" s="27"/>
      <c r="U16296" s="27"/>
    </row>
    <row r="16297">
      <c r="S16297" s="27"/>
      <c r="T16297" s="27"/>
      <c r="U16297" s="27"/>
    </row>
    <row r="16299">
      <c r="S16299" s="27"/>
      <c r="T16299" s="27"/>
      <c r="U16299" s="27"/>
    </row>
    <row r="16300">
      <c r="S16300" s="27"/>
      <c r="T16300" s="27"/>
      <c r="U16300" s="27"/>
    </row>
    <row r="16302">
      <c r="S16302" s="27"/>
      <c r="T16302" s="27"/>
      <c r="U16302" s="27"/>
    </row>
    <row r="16303">
      <c r="S16303" s="27"/>
      <c r="T16303" s="27"/>
      <c r="U16303" s="27"/>
    </row>
    <row r="16305">
      <c r="S16305" s="27"/>
      <c r="T16305" s="27"/>
      <c r="U16305" s="27"/>
    </row>
    <row r="16307">
      <c r="S16307" s="27"/>
      <c r="T16307" s="27"/>
      <c r="U16307" s="27"/>
    </row>
    <row r="16309">
      <c r="S16309" s="27"/>
      <c r="T16309" s="27"/>
      <c r="U16309" s="27"/>
    </row>
    <row r="16311">
      <c r="S16311" s="27"/>
      <c r="T16311" s="27"/>
      <c r="U16311" s="27"/>
    </row>
    <row r="16313">
      <c r="S16313" s="27"/>
      <c r="T16313" s="27"/>
      <c r="U16313" s="27"/>
    </row>
    <row r="16314">
      <c r="S16314" s="27"/>
      <c r="T16314" s="27"/>
      <c r="U16314" s="27"/>
    </row>
    <row r="16316">
      <c r="S16316" s="27"/>
      <c r="T16316" s="27"/>
      <c r="U16316" s="27"/>
    </row>
    <row r="16317">
      <c r="S16317" s="27"/>
      <c r="T16317" s="27"/>
      <c r="U16317" s="27"/>
    </row>
    <row r="16319">
      <c r="S16319" s="27"/>
      <c r="T16319" s="27"/>
      <c r="U16319" s="27"/>
    </row>
    <row r="16320">
      <c r="S16320" s="27"/>
      <c r="T16320" s="27"/>
      <c r="U16320" s="27"/>
    </row>
    <row r="16322">
      <c r="S16322" s="27"/>
      <c r="T16322" s="27"/>
      <c r="U16322" s="27"/>
    </row>
    <row r="16323">
      <c r="S16323" s="27"/>
      <c r="T16323" s="27"/>
      <c r="U16323" s="27"/>
    </row>
    <row r="16325">
      <c r="S16325" s="27"/>
      <c r="T16325" s="27"/>
      <c r="U16325" s="27"/>
    </row>
    <row r="16326">
      <c r="S16326" s="27"/>
      <c r="T16326" s="27"/>
      <c r="U16326" s="27"/>
    </row>
    <row r="16328">
      <c r="S16328" s="27"/>
      <c r="T16328" s="27"/>
      <c r="U16328" s="27"/>
    </row>
    <row r="16329">
      <c r="S16329" s="27"/>
      <c r="T16329" s="27"/>
      <c r="U16329" s="27"/>
    </row>
    <row r="16331">
      <c r="S16331" s="27"/>
      <c r="T16331" s="27"/>
      <c r="U16331" s="27"/>
    </row>
    <row r="16332">
      <c r="S16332" s="27"/>
      <c r="T16332" s="27"/>
      <c r="U16332" s="27"/>
    </row>
    <row r="16334">
      <c r="T16334" s="27"/>
      <c r="U16334" s="27"/>
    </row>
    <row r="16337">
      <c r="S16337" s="27"/>
      <c r="T16337" s="27"/>
      <c r="U16337" s="27"/>
    </row>
    <row r="16340">
      <c r="S16340" s="27"/>
      <c r="T16340" s="27"/>
      <c r="U16340" s="27"/>
    </row>
    <row r="16341">
      <c r="S16341" s="27"/>
      <c r="T16341" s="27"/>
      <c r="U16341" s="27"/>
    </row>
    <row r="16343">
      <c r="S16343" s="27"/>
      <c r="T16343" s="27"/>
      <c r="U16343" s="27"/>
    </row>
    <row r="16344">
      <c r="S16344" s="27"/>
      <c r="T16344" s="27"/>
      <c r="U16344" s="27"/>
    </row>
    <row r="16346">
      <c r="S16346" s="27"/>
      <c r="T16346" s="27"/>
      <c r="U16346" s="27"/>
    </row>
    <row r="16347">
      <c r="S16347" s="27"/>
      <c r="T16347" s="27"/>
      <c r="U16347" s="27"/>
    </row>
    <row r="16349">
      <c r="U16349" s="26"/>
    </row>
    <row r="16352">
      <c r="S16352" s="27"/>
      <c r="T16352" s="27"/>
      <c r="U16352" s="27"/>
    </row>
    <row r="16353">
      <c r="S16353" s="27"/>
      <c r="T16353" s="27"/>
      <c r="U16353" s="27"/>
    </row>
    <row r="16355">
      <c r="S16355" s="27"/>
      <c r="T16355" s="27"/>
      <c r="U16355" s="27"/>
    </row>
    <row r="16356">
      <c r="S16356" s="27"/>
      <c r="T16356" s="27"/>
      <c r="U16356" s="27"/>
    </row>
    <row r="16358">
      <c r="T16358" s="27"/>
      <c r="U16358" s="26"/>
    </row>
    <row r="16359">
      <c r="S16359" s="27"/>
      <c r="T16359" s="27"/>
    </row>
    <row r="16364">
      <c r="S16364" s="26"/>
      <c r="T16364" s="26"/>
      <c r="U16364" s="26"/>
    </row>
    <row r="16367">
      <c r="S16367" s="27"/>
      <c r="T16367" s="27"/>
      <c r="U16367" s="27"/>
    </row>
    <row r="16368">
      <c r="S16368" s="27"/>
      <c r="T16368" s="27"/>
      <c r="U16368" s="27"/>
    </row>
    <row r="16370">
      <c r="S16370" s="27"/>
      <c r="T16370" s="27"/>
      <c r="U16370" s="27"/>
    </row>
    <row r="16371">
      <c r="S16371" s="27"/>
      <c r="T16371" s="27"/>
      <c r="U16371" s="27"/>
    </row>
    <row r="16373">
      <c r="S16373" s="26"/>
      <c r="T16373" s="26"/>
      <c r="U16373" s="26"/>
    </row>
    <row r="16379">
      <c r="S16379" s="27"/>
      <c r="T16379" s="27"/>
      <c r="U16379" s="27"/>
    </row>
    <row r="16382">
      <c r="S16382" s="27"/>
      <c r="T16382" s="27"/>
      <c r="U16382" s="27"/>
    </row>
    <row r="16383">
      <c r="S16383" s="27"/>
      <c r="T16383" s="27"/>
      <c r="U16383" s="27"/>
    </row>
    <row r="16385">
      <c r="S16385" s="27"/>
      <c r="T16385" s="27"/>
      <c r="U16385" s="27"/>
    </row>
    <row r="16386">
      <c r="S16386" s="27"/>
      <c r="T16386" s="27"/>
      <c r="U16386" s="27"/>
    </row>
    <row r="16388">
      <c r="S16388" s="27"/>
      <c r="T16388" s="27"/>
      <c r="U16388" s="27"/>
    </row>
    <row r="16389">
      <c r="S16389" s="27"/>
      <c r="T16389" s="27"/>
      <c r="U16389" s="27"/>
    </row>
    <row r="16391">
      <c r="S16391" s="27"/>
      <c r="T16391" s="27"/>
      <c r="U16391" s="27"/>
    </row>
    <row r="16392">
      <c r="S16392" s="27"/>
      <c r="T16392" s="27"/>
      <c r="U16392" s="27"/>
    </row>
    <row r="16394">
      <c r="S16394" s="27"/>
      <c r="T16394" s="27"/>
      <c r="U16394" s="27"/>
    </row>
    <row r="16395">
      <c r="S16395" s="27"/>
      <c r="T16395" s="27"/>
      <c r="U16395" s="27"/>
    </row>
    <row r="16397">
      <c r="S16397" s="27"/>
      <c r="T16397" s="27"/>
      <c r="U16397" s="27"/>
    </row>
    <row r="16398">
      <c r="S16398" s="27"/>
      <c r="T16398" s="27"/>
      <c r="U16398" s="27"/>
    </row>
    <row r="16400">
      <c r="S16400" s="27"/>
      <c r="T16400" s="27"/>
      <c r="U16400" s="27"/>
    </row>
    <row r="16401">
      <c r="S16401" s="27"/>
      <c r="T16401" s="27"/>
      <c r="U16401" s="27"/>
    </row>
    <row r="16403">
      <c r="S16403" s="27"/>
      <c r="T16403" s="27"/>
      <c r="U16403" s="27"/>
    </row>
    <row r="16404">
      <c r="S16404" s="27"/>
      <c r="T16404" s="27"/>
      <c r="U16404" s="27"/>
    </row>
    <row r="16406">
      <c r="S16406" s="27"/>
      <c r="T16406" s="27"/>
      <c r="U16406" s="27"/>
    </row>
    <row r="16407">
      <c r="S16407" s="27"/>
      <c r="T16407" s="27"/>
      <c r="U16407" s="27"/>
    </row>
    <row r="16409">
      <c r="S16409" s="27"/>
      <c r="T16409" s="27"/>
      <c r="U16409" s="27"/>
    </row>
    <row r="16410">
      <c r="S16410" s="27"/>
      <c r="T16410" s="27"/>
      <c r="U16410" s="27"/>
    </row>
    <row r="16412">
      <c r="S16412" s="27"/>
      <c r="T16412" s="27"/>
      <c r="U16412" s="27"/>
    </row>
    <row r="16413">
      <c r="S16413" s="27"/>
      <c r="T16413" s="27"/>
      <c r="U16413" s="27"/>
    </row>
    <row r="16415">
      <c r="S16415" s="27"/>
      <c r="T16415" s="27"/>
      <c r="U16415" s="27"/>
    </row>
    <row r="16416">
      <c r="S16416" s="27"/>
      <c r="T16416" s="27"/>
      <c r="U16416" s="27"/>
    </row>
    <row r="16418">
      <c r="S16418" s="27"/>
      <c r="T16418" s="27"/>
      <c r="U16418" s="27"/>
    </row>
    <row r="16419">
      <c r="S16419" s="27"/>
      <c r="T16419" s="27"/>
      <c r="U16419" s="27"/>
    </row>
    <row r="16421">
      <c r="S16421" s="27"/>
      <c r="T16421" s="27"/>
      <c r="U16421" s="27"/>
    </row>
    <row r="16422">
      <c r="S16422" s="27"/>
      <c r="T16422" s="27"/>
      <c r="U16422" s="27"/>
    </row>
    <row r="16424">
      <c r="S16424" s="27"/>
      <c r="T16424" s="27"/>
      <c r="U16424" s="27"/>
    </row>
    <row r="16425">
      <c r="S16425" s="27"/>
      <c r="T16425" s="27"/>
      <c r="U16425" s="27"/>
    </row>
    <row r="16427">
      <c r="S16427" s="27"/>
      <c r="T16427" s="27"/>
      <c r="U16427" s="27"/>
    </row>
    <row r="16428">
      <c r="S16428" s="27"/>
      <c r="T16428" s="27"/>
      <c r="U16428" s="27"/>
    </row>
    <row r="16430">
      <c r="S16430" s="27"/>
      <c r="T16430" s="27"/>
      <c r="U16430" s="27"/>
    </row>
    <row r="16431">
      <c r="S16431" s="27"/>
      <c r="T16431" s="27"/>
      <c r="U16431" s="27"/>
    </row>
    <row r="16433">
      <c r="S16433" s="27"/>
      <c r="T16433" s="27"/>
      <c r="U16433" s="27"/>
    </row>
    <row r="16434">
      <c r="S16434" s="27"/>
      <c r="T16434" s="27"/>
      <c r="U16434" s="27"/>
    </row>
    <row r="16436">
      <c r="S16436" s="27"/>
      <c r="T16436" s="27"/>
      <c r="U16436" s="27"/>
    </row>
    <row r="16437">
      <c r="S16437" s="27"/>
      <c r="T16437" s="27"/>
      <c r="U16437" s="27"/>
    </row>
    <row r="16439">
      <c r="S16439" s="27"/>
      <c r="T16439" s="27"/>
      <c r="U16439" s="27"/>
    </row>
    <row r="16440">
      <c r="S16440" s="27"/>
      <c r="T16440" s="27"/>
      <c r="U16440" s="27"/>
    </row>
    <row r="16442">
      <c r="S16442" s="27"/>
      <c r="T16442" s="27"/>
      <c r="U16442" s="27"/>
    </row>
    <row r="16443">
      <c r="S16443" s="27"/>
      <c r="T16443" s="27"/>
      <c r="U16443" s="27"/>
    </row>
    <row r="16445">
      <c r="S16445" s="27"/>
      <c r="T16445" s="27"/>
      <c r="U16445" s="27"/>
    </row>
    <row r="16446">
      <c r="S16446" s="27"/>
      <c r="T16446" s="27"/>
      <c r="U16446" s="27"/>
    </row>
    <row r="16448">
      <c r="S16448" s="27"/>
      <c r="T16448" s="27"/>
      <c r="U16448" s="27"/>
    </row>
    <row r="16449">
      <c r="S16449" s="27"/>
      <c r="T16449" s="27"/>
      <c r="U16449" s="27"/>
    </row>
    <row r="16451">
      <c r="S16451" s="27"/>
      <c r="T16451" s="27"/>
      <c r="U16451" s="27"/>
    </row>
    <row r="16452">
      <c r="S16452" s="27"/>
      <c r="T16452" s="27"/>
      <c r="U16452" s="27"/>
    </row>
    <row r="16457">
      <c r="S16457" s="27"/>
      <c r="T16457" s="27"/>
      <c r="U16457" s="27"/>
    </row>
    <row r="16458">
      <c r="S16458" s="27"/>
      <c r="T16458" s="27"/>
      <c r="U16458" s="27"/>
    </row>
    <row r="16460">
      <c r="S16460" s="27"/>
      <c r="T16460" s="27"/>
      <c r="U16460" s="27"/>
    </row>
    <row r="16463">
      <c r="S16463" s="33"/>
      <c r="T16463" s="33"/>
    </row>
    <row r="16464">
      <c r="S16464" s="27"/>
      <c r="T16464" s="27"/>
    </row>
    <row r="16466">
      <c r="S16466" s="27"/>
      <c r="T16466" s="27"/>
      <c r="U16466" s="27"/>
    </row>
    <row r="16467">
      <c r="S16467" s="27"/>
      <c r="T16467" s="27"/>
      <c r="U16467" s="27"/>
    </row>
    <row r="16472">
      <c r="S16472" s="27"/>
      <c r="T16472" s="27"/>
      <c r="U16472" s="27"/>
    </row>
    <row r="16473">
      <c r="S16473" s="27"/>
      <c r="T16473" s="27"/>
      <c r="U16473" s="27"/>
    </row>
    <row r="16475">
      <c r="S16475" s="27"/>
      <c r="T16475" s="27"/>
      <c r="U16475" s="27"/>
    </row>
    <row r="16476">
      <c r="S16476" s="27"/>
      <c r="T16476" s="27"/>
      <c r="U16476" s="27"/>
    </row>
    <row r="16478">
      <c r="S16478" s="27"/>
      <c r="T16478" s="27"/>
      <c r="U16478" s="27"/>
    </row>
    <row r="16479">
      <c r="S16479" s="27"/>
      <c r="T16479" s="27"/>
      <c r="U16479" s="27"/>
    </row>
    <row r="16481">
      <c r="T16481" s="27"/>
    </row>
    <row r="16489">
      <c r="U16489" s="27"/>
    </row>
    <row r="16491">
      <c r="S16491" s="26"/>
      <c r="T16491" s="26"/>
      <c r="U16491" s="26"/>
    </row>
    <row r="16494">
      <c r="S16494" s="27"/>
      <c r="T16494" s="27"/>
      <c r="U16494" s="27"/>
    </row>
    <row r="16497">
      <c r="S16497" s="27"/>
      <c r="T16497" s="27"/>
      <c r="U16497" s="27"/>
    </row>
    <row r="16498">
      <c r="S16498" s="27"/>
      <c r="T16498" s="27"/>
      <c r="U16498" s="27"/>
    </row>
    <row r="16500">
      <c r="S16500" s="27"/>
      <c r="T16500" s="27"/>
      <c r="U16500" s="27"/>
    </row>
    <row r="16501">
      <c r="S16501" s="27"/>
      <c r="T16501" s="27"/>
      <c r="U16501" s="27"/>
    </row>
    <row r="16503">
      <c r="S16503" s="27"/>
      <c r="T16503" s="33"/>
      <c r="U16503" s="27"/>
    </row>
    <row r="16504">
      <c r="S16504" s="27"/>
      <c r="T16504" s="27"/>
    </row>
    <row r="16506">
      <c r="S16506" s="27"/>
      <c r="T16506" s="27"/>
      <c r="U16506" s="27"/>
    </row>
    <row r="16507">
      <c r="S16507" s="26"/>
      <c r="T16507" s="26"/>
      <c r="U16507" s="26"/>
    </row>
    <row r="16509">
      <c r="S16509" s="27"/>
      <c r="T16509" s="27"/>
      <c r="U16509" s="27"/>
    </row>
    <row r="16510">
      <c r="S16510" s="27"/>
      <c r="T16510" s="27"/>
      <c r="U16510" s="27"/>
    </row>
    <row r="16515">
      <c r="S16515" s="27"/>
      <c r="T16515" s="27"/>
      <c r="U16515" s="27"/>
    </row>
    <row r="16516">
      <c r="S16516" s="27"/>
      <c r="T16516" s="27"/>
      <c r="U16516" s="27"/>
    </row>
    <row r="16518">
      <c r="S16518" s="27"/>
      <c r="T16518" s="27"/>
      <c r="U16518" s="27"/>
    </row>
    <row r="16519">
      <c r="S16519" s="27"/>
      <c r="T16519" s="27"/>
    </row>
    <row r="16521">
      <c r="S16521" s="27"/>
      <c r="T16521" s="27"/>
      <c r="U16521" s="27"/>
    </row>
    <row r="16522">
      <c r="S16522" s="27"/>
      <c r="T16522" s="27"/>
      <c r="U16522" s="27"/>
    </row>
    <row r="16524">
      <c r="S16524" s="33"/>
      <c r="T16524" s="33"/>
      <c r="U16524" s="33"/>
    </row>
    <row r="16527">
      <c r="U16527" s="27"/>
    </row>
    <row r="16528">
      <c r="U16528" s="27"/>
    </row>
    <row r="16530">
      <c r="S16530" s="27"/>
      <c r="T16530" s="27"/>
      <c r="U16530" s="27"/>
    </row>
    <row r="16533">
      <c r="S16533" s="27"/>
      <c r="T16533" s="27"/>
      <c r="U16533" s="27"/>
    </row>
    <row r="16534">
      <c r="S16534" s="27"/>
      <c r="T16534" s="27"/>
      <c r="U16534" s="27"/>
    </row>
    <row r="16539">
      <c r="S16539" s="27"/>
      <c r="T16539" s="27"/>
      <c r="U16539" s="27"/>
    </row>
    <row r="16540">
      <c r="S16540" s="27"/>
      <c r="T16540" s="27"/>
      <c r="U16540" s="27"/>
    </row>
    <row r="16542">
      <c r="S16542" s="27"/>
      <c r="T16542" s="27"/>
      <c r="U16542" s="27"/>
    </row>
    <row r="16543">
      <c r="S16543" s="27"/>
      <c r="T16543" s="27"/>
      <c r="U16543" s="27"/>
    </row>
    <row r="16545">
      <c r="S16545" s="27"/>
      <c r="T16545" s="27"/>
      <c r="U16545" s="27"/>
    </row>
    <row r="16546">
      <c r="S16546" s="27"/>
      <c r="T16546" s="27"/>
      <c r="U16546" s="27"/>
    </row>
    <row r="16548">
      <c r="S16548" s="27"/>
      <c r="T16548" s="27"/>
      <c r="U16548" s="27"/>
    </row>
    <row r="16549">
      <c r="S16549" s="27"/>
      <c r="T16549" s="27"/>
      <c r="U16549" s="27"/>
    </row>
    <row r="16551">
      <c r="U16551" s="27"/>
    </row>
    <row r="16554">
      <c r="S16554" s="33"/>
      <c r="T16554" s="33"/>
      <c r="U16554" s="27"/>
    </row>
    <row r="16555">
      <c r="S16555" s="27"/>
      <c r="T16555" s="27"/>
      <c r="U16555" s="27"/>
    </row>
    <row r="16557">
      <c r="S16557" s="27"/>
      <c r="T16557" s="27"/>
      <c r="U16557" s="27"/>
    </row>
    <row r="16558">
      <c r="S16558" s="27"/>
      <c r="T16558" s="27"/>
      <c r="U16558" s="27"/>
    </row>
    <row r="16560">
      <c r="S16560" s="27"/>
      <c r="T16560" s="27"/>
      <c r="U16560" s="27"/>
    </row>
    <row r="16563">
      <c r="S16563" s="27"/>
      <c r="T16563" s="27"/>
      <c r="U16563" s="27"/>
    </row>
    <row r="16564">
      <c r="S16564" s="27"/>
      <c r="T16564" s="27"/>
    </row>
    <row r="16566">
      <c r="S16566" s="27"/>
      <c r="T16566" s="27"/>
      <c r="U16566" s="27"/>
    </row>
    <row r="16567">
      <c r="S16567" s="27"/>
      <c r="T16567" s="27"/>
      <c r="U16567" s="27"/>
    </row>
    <row r="16569">
      <c r="S16569" s="27"/>
      <c r="T16569" s="27"/>
      <c r="U16569" s="27"/>
    </row>
    <row r="16570">
      <c r="S16570" s="27"/>
      <c r="T16570" s="27"/>
      <c r="U16570" s="27"/>
    </row>
    <row r="16572">
      <c r="S16572" s="27"/>
      <c r="T16572" s="27"/>
      <c r="U16572" s="27"/>
    </row>
    <row r="16573">
      <c r="S16573" s="26"/>
      <c r="T16573" s="26"/>
      <c r="U16573" s="26"/>
    </row>
    <row r="16575">
      <c r="S16575" s="27"/>
      <c r="T16575" s="27"/>
      <c r="U16575" s="27"/>
    </row>
    <row r="16576">
      <c r="S16576" s="27"/>
      <c r="T16576" s="27"/>
      <c r="U16576" s="27"/>
    </row>
    <row r="16578">
      <c r="S16578" s="26"/>
      <c r="T16578" s="26"/>
      <c r="U16578" s="26"/>
    </row>
    <row r="16581">
      <c r="S16581" s="27"/>
      <c r="T16581" s="27"/>
      <c r="U16581" s="27"/>
    </row>
    <row r="16584">
      <c r="S16584" s="27"/>
      <c r="T16584" s="27"/>
      <c r="U16584" s="27"/>
    </row>
    <row r="16585">
      <c r="S16585" s="27"/>
      <c r="T16585" s="27"/>
      <c r="U16585" s="27"/>
    </row>
    <row r="16587">
      <c r="S16587" s="27"/>
      <c r="T16587" s="27"/>
      <c r="U16587" s="27"/>
    </row>
    <row r="16588">
      <c r="S16588" s="27"/>
      <c r="T16588" s="27"/>
      <c r="U16588" s="27"/>
    </row>
    <row r="16590">
      <c r="S16590" s="27"/>
      <c r="T16590" s="27"/>
      <c r="U16590" s="27"/>
    </row>
    <row r="16591">
      <c r="S16591" s="27"/>
      <c r="T16591" s="27"/>
      <c r="U16591" s="27"/>
    </row>
    <row r="16593">
      <c r="S16593" s="26"/>
      <c r="T16593" s="26"/>
      <c r="U16593" s="26"/>
    </row>
    <row r="16594">
      <c r="S16594" s="26"/>
      <c r="T16594" s="26"/>
      <c r="U16594" s="26"/>
    </row>
    <row r="16596">
      <c r="S16596" s="27"/>
      <c r="T16596" s="27"/>
      <c r="U16596" s="27"/>
    </row>
    <row r="16597">
      <c r="S16597" s="27"/>
      <c r="T16597" s="27"/>
      <c r="U16597" s="27"/>
    </row>
    <row r="16599">
      <c r="S16599" s="27"/>
      <c r="T16599" s="27"/>
      <c r="U16599" s="27"/>
    </row>
    <row r="16600">
      <c r="S16600" s="27"/>
      <c r="T16600" s="27"/>
      <c r="U16600" s="27"/>
    </row>
    <row r="16602">
      <c r="S16602" s="27"/>
      <c r="T16602" s="27"/>
      <c r="U16602" s="27"/>
    </row>
    <row r="16603">
      <c r="S16603" s="27"/>
      <c r="T16603" s="27"/>
      <c r="U16603" s="27"/>
    </row>
    <row r="16605">
      <c r="S16605" s="27"/>
      <c r="T16605" s="27"/>
      <c r="U16605" s="27"/>
    </row>
    <row r="16606">
      <c r="S16606" s="27"/>
      <c r="T16606" s="27"/>
      <c r="U16606" s="27"/>
    </row>
    <row r="16608">
      <c r="S16608" s="27"/>
      <c r="T16608" s="27"/>
      <c r="U16608" s="27"/>
    </row>
    <row r="16609">
      <c r="S16609" s="27"/>
      <c r="T16609" s="27"/>
      <c r="U16609" s="27"/>
    </row>
    <row r="16611">
      <c r="S16611" s="27"/>
      <c r="T16611" s="27"/>
      <c r="U16611" s="27"/>
    </row>
    <row r="16612">
      <c r="S16612" s="27"/>
      <c r="T16612" s="27"/>
      <c r="U16612" s="27"/>
    </row>
    <row r="16614">
      <c r="S16614" s="27"/>
      <c r="T16614" s="27"/>
      <c r="U16614" s="27"/>
    </row>
    <row r="16615">
      <c r="S16615" s="27"/>
      <c r="T16615" s="27"/>
      <c r="U16615" s="27"/>
    </row>
    <row r="16617">
      <c r="S16617" s="27"/>
      <c r="T16617" s="27"/>
      <c r="U16617" s="27"/>
    </row>
    <row r="16618">
      <c r="S16618" s="27"/>
      <c r="T16618" s="27"/>
      <c r="U16618" s="27"/>
    </row>
    <row r="16620">
      <c r="S16620" s="27"/>
      <c r="T16620" s="27"/>
      <c r="U16620" s="27"/>
    </row>
    <row r="16621">
      <c r="S16621" s="27"/>
      <c r="T16621" s="27"/>
      <c r="U16621" s="27"/>
    </row>
    <row r="16623">
      <c r="S16623" s="27"/>
      <c r="T16623" s="27"/>
      <c r="U16623" s="27"/>
    </row>
    <row r="16624">
      <c r="S16624" s="27"/>
      <c r="T16624" s="27"/>
      <c r="U16624" s="27"/>
    </row>
    <row r="16626">
      <c r="S16626" s="27"/>
      <c r="T16626" s="27"/>
      <c r="U16626" s="27"/>
    </row>
    <row r="16627">
      <c r="S16627" s="27"/>
      <c r="T16627" s="27"/>
      <c r="U16627" s="27"/>
    </row>
    <row r="16629">
      <c r="S16629" s="27"/>
      <c r="T16629" s="27"/>
      <c r="U16629" s="27"/>
    </row>
    <row r="16630">
      <c r="S16630" s="27"/>
      <c r="T16630" s="27"/>
      <c r="U16630" s="27"/>
    </row>
    <row r="16632">
      <c r="S16632" s="27"/>
      <c r="T16632" s="27"/>
      <c r="U16632" s="27"/>
    </row>
    <row r="16633">
      <c r="S16633" s="27"/>
      <c r="T16633" s="27"/>
      <c r="U16633" s="27"/>
    </row>
    <row r="16635">
      <c r="S16635" s="27"/>
      <c r="T16635" s="27"/>
      <c r="U16635" s="27"/>
    </row>
    <row r="16636">
      <c r="S16636" s="27"/>
      <c r="T16636" s="27"/>
      <c r="U16636" s="27"/>
    </row>
    <row r="16638">
      <c r="S16638" s="27"/>
      <c r="T16638" s="27"/>
      <c r="U16638" s="27"/>
    </row>
    <row r="16639">
      <c r="S16639" s="27"/>
      <c r="T16639" s="27"/>
      <c r="U16639" s="27"/>
    </row>
    <row r="16641">
      <c r="S16641" s="27"/>
      <c r="T16641" s="27"/>
      <c r="U16641" s="27"/>
    </row>
    <row r="16642">
      <c r="S16642" s="27"/>
      <c r="T16642" s="27"/>
      <c r="U16642" s="27"/>
    </row>
    <row r="16644">
      <c r="S16644" s="27"/>
      <c r="T16644" s="27"/>
      <c r="U16644" s="27"/>
    </row>
    <row r="16645">
      <c r="S16645" s="27"/>
      <c r="T16645" s="27"/>
      <c r="U16645" s="27"/>
    </row>
    <row r="16647">
      <c r="S16647" s="27"/>
      <c r="T16647" s="27"/>
      <c r="U16647" s="27"/>
    </row>
    <row r="16648">
      <c r="S16648" s="27"/>
      <c r="T16648" s="27"/>
      <c r="U16648" s="27"/>
    </row>
    <row r="16650">
      <c r="S16650" s="27"/>
      <c r="T16650" s="27"/>
      <c r="U16650" s="27"/>
    </row>
    <row r="16651">
      <c r="S16651" s="27"/>
      <c r="T16651" s="27"/>
      <c r="U16651" s="27"/>
    </row>
    <row r="16653">
      <c r="S16653" s="27"/>
      <c r="T16653" s="27"/>
      <c r="U16653" s="27"/>
    </row>
    <row r="16654">
      <c r="S16654" s="27"/>
      <c r="T16654" s="27"/>
      <c r="U16654" s="27"/>
    </row>
    <row r="16656">
      <c r="S16656" s="27"/>
      <c r="T16656" s="27"/>
      <c r="U16656" s="27"/>
    </row>
    <row r="16657">
      <c r="S16657" s="27"/>
      <c r="T16657" s="27"/>
      <c r="U16657" s="27"/>
    </row>
    <row r="16659">
      <c r="S16659" s="27"/>
      <c r="T16659" s="27"/>
      <c r="U16659" s="27"/>
    </row>
    <row r="16660">
      <c r="S16660" s="27"/>
      <c r="T16660" s="27"/>
      <c r="U16660" s="27"/>
    </row>
    <row r="16662">
      <c r="S16662" s="27"/>
      <c r="T16662" s="27"/>
      <c r="U16662" s="27"/>
    </row>
    <row r="16663">
      <c r="S16663" s="27"/>
      <c r="T16663" s="27"/>
      <c r="U16663" s="27"/>
    </row>
    <row r="16665">
      <c r="S16665" s="27"/>
      <c r="T16665" s="27"/>
      <c r="U16665" s="27"/>
    </row>
    <row r="16666">
      <c r="S16666" s="27"/>
      <c r="T16666" s="27"/>
      <c r="U16666" s="27"/>
    </row>
    <row r="16668">
      <c r="S16668" s="27"/>
      <c r="T16668" s="27"/>
      <c r="U16668" s="27"/>
    </row>
    <row r="16669">
      <c r="S16669" s="27"/>
      <c r="T16669" s="27"/>
      <c r="U16669" s="27"/>
    </row>
    <row r="16671">
      <c r="S16671" s="27"/>
      <c r="T16671" s="27"/>
      <c r="U16671" s="27"/>
    </row>
    <row r="16672">
      <c r="S16672" s="27"/>
      <c r="T16672" s="27"/>
      <c r="U16672" s="27"/>
    </row>
    <row r="16674">
      <c r="S16674" s="27"/>
      <c r="T16674" s="27"/>
      <c r="U16674" s="27"/>
    </row>
    <row r="16675">
      <c r="S16675" s="27"/>
      <c r="T16675" s="27"/>
      <c r="U16675" s="27"/>
    </row>
    <row r="16677">
      <c r="S16677" s="27"/>
      <c r="T16677" s="27"/>
      <c r="U16677" s="27"/>
    </row>
    <row r="16678">
      <c r="S16678" s="27"/>
      <c r="T16678" s="27"/>
      <c r="U16678" s="27"/>
    </row>
    <row r="16680">
      <c r="S16680" s="27"/>
      <c r="T16680" s="27"/>
      <c r="U16680" s="27"/>
    </row>
    <row r="16681">
      <c r="S16681" s="27"/>
      <c r="T16681" s="27"/>
      <c r="U16681" s="27"/>
    </row>
    <row r="16683">
      <c r="S16683" s="27"/>
      <c r="T16683" s="27"/>
      <c r="U16683" s="27"/>
    </row>
    <row r="16684">
      <c r="S16684" s="27"/>
      <c r="T16684" s="27"/>
      <c r="U16684" s="27"/>
    </row>
    <row r="16686">
      <c r="S16686" s="27"/>
      <c r="T16686" s="27"/>
      <c r="U16686" s="27"/>
    </row>
    <row r="16687">
      <c r="S16687" s="27"/>
      <c r="T16687" s="27"/>
      <c r="U16687" s="27"/>
    </row>
    <row r="16689">
      <c r="S16689" s="27"/>
      <c r="T16689" s="27"/>
      <c r="U16689" s="27"/>
    </row>
    <row r="16691">
      <c r="S16691" s="27"/>
      <c r="T16691" s="27"/>
      <c r="U16691" s="27"/>
    </row>
    <row r="16692">
      <c r="S16692" s="27"/>
      <c r="T16692" s="27"/>
      <c r="U16692" s="27"/>
    </row>
    <row r="16694">
      <c r="S16694" s="27"/>
      <c r="T16694" s="27"/>
      <c r="U16694" s="27"/>
    </row>
    <row r="16695">
      <c r="S16695" s="27"/>
      <c r="T16695" s="27"/>
      <c r="U16695" s="27"/>
    </row>
    <row r="16697">
      <c r="S16697" s="27"/>
      <c r="T16697" s="27"/>
      <c r="U16697" s="27"/>
    </row>
    <row r="16698">
      <c r="S16698" s="27"/>
      <c r="T16698" s="27"/>
      <c r="U16698" s="27"/>
    </row>
    <row r="16700">
      <c r="S16700" s="27"/>
      <c r="T16700" s="27"/>
      <c r="U16700" s="27"/>
    </row>
    <row r="16701">
      <c r="S16701" s="27"/>
      <c r="T16701" s="27"/>
      <c r="U16701" s="27"/>
    </row>
    <row r="16703">
      <c r="S16703" s="27"/>
      <c r="T16703" s="27"/>
      <c r="U16703" s="27"/>
    </row>
    <row r="16704">
      <c r="S16704" s="27"/>
      <c r="T16704" s="27"/>
      <c r="U16704" s="27"/>
    </row>
    <row r="16706">
      <c r="S16706" s="27"/>
      <c r="T16706" s="27"/>
      <c r="U16706" s="27"/>
    </row>
    <row r="16707">
      <c r="S16707" s="27"/>
      <c r="T16707" s="33"/>
      <c r="U16707" s="27"/>
    </row>
    <row r="16709">
      <c r="S16709" s="27"/>
      <c r="T16709" s="27"/>
      <c r="U16709" s="27"/>
    </row>
    <row r="16710">
      <c r="S16710" s="27"/>
      <c r="T16710" s="27"/>
      <c r="U16710" s="27"/>
    </row>
    <row r="16712">
      <c r="S16712" s="27"/>
      <c r="T16712" s="27"/>
      <c r="U16712" s="27"/>
    </row>
    <row r="16714">
      <c r="S16714" s="27"/>
      <c r="T16714" s="27"/>
      <c r="U16714" s="27"/>
    </row>
    <row r="16716">
      <c r="S16716" s="27"/>
      <c r="T16716" s="27"/>
      <c r="U16716" s="27"/>
    </row>
    <row r="16718">
      <c r="S16718" s="27"/>
      <c r="T16718" s="27"/>
      <c r="U16718" s="27"/>
    </row>
    <row r="16720">
      <c r="S16720" s="27"/>
      <c r="T16720" s="27"/>
      <c r="U16720" s="27"/>
    </row>
    <row r="16721">
      <c r="S16721" s="27"/>
      <c r="T16721" s="27"/>
      <c r="U16721" s="27"/>
    </row>
    <row r="16723">
      <c r="S16723" s="27"/>
      <c r="T16723" s="27"/>
      <c r="U16723" s="27"/>
    </row>
    <row r="16724">
      <c r="S16724" s="27"/>
      <c r="T16724" s="27"/>
      <c r="U16724" s="27"/>
    </row>
    <row r="16726">
      <c r="S16726" s="27"/>
      <c r="T16726" s="27"/>
      <c r="U16726" s="27"/>
    </row>
    <row r="16727">
      <c r="S16727" s="26"/>
      <c r="T16727" s="26"/>
      <c r="U16727" s="27"/>
    </row>
    <row r="16729">
      <c r="S16729" s="27"/>
      <c r="T16729" s="27"/>
      <c r="U16729" s="27"/>
    </row>
    <row r="16730">
      <c r="S16730" s="27"/>
      <c r="T16730" s="27"/>
      <c r="U16730" s="27"/>
    </row>
    <row r="16732">
      <c r="S16732" s="27"/>
      <c r="T16732" s="27"/>
      <c r="U16732" s="27"/>
    </row>
    <row r="16733">
      <c r="S16733" s="27"/>
      <c r="T16733" s="27"/>
      <c r="U16733" s="27"/>
    </row>
    <row r="16735">
      <c r="S16735" s="27"/>
      <c r="T16735" s="27"/>
      <c r="U16735" s="27"/>
    </row>
    <row r="16736">
      <c r="S16736" s="27"/>
      <c r="T16736" s="27"/>
      <c r="U16736" s="27"/>
    </row>
    <row r="16738">
      <c r="S16738" s="27"/>
      <c r="T16738" s="27"/>
      <c r="U16738" s="27"/>
    </row>
    <row r="16739">
      <c r="S16739" s="27"/>
      <c r="T16739" s="27"/>
      <c r="U16739" s="27"/>
    </row>
    <row r="16744">
      <c r="S16744" s="27"/>
      <c r="T16744" s="27"/>
      <c r="U16744" s="27"/>
    </row>
    <row r="16747">
      <c r="S16747" s="27"/>
      <c r="T16747" s="27"/>
      <c r="U16747" s="27"/>
    </row>
    <row r="16748">
      <c r="S16748" s="27"/>
      <c r="T16748" s="27"/>
      <c r="U16748" s="27"/>
    </row>
    <row r="16750">
      <c r="S16750" s="27"/>
      <c r="T16750" s="27"/>
      <c r="U16750" s="27"/>
    </row>
    <row r="16751">
      <c r="S16751" s="27"/>
      <c r="T16751" s="27"/>
      <c r="U16751" s="27"/>
    </row>
    <row r="16753">
      <c r="S16753" s="27"/>
      <c r="T16753" s="27"/>
      <c r="U16753" s="27"/>
    </row>
    <row r="16754">
      <c r="S16754" s="27"/>
      <c r="T16754" s="27"/>
      <c r="U16754" s="27"/>
    </row>
    <row r="16756">
      <c r="S16756" s="26"/>
      <c r="T16756" s="26"/>
    </row>
    <row r="16759">
      <c r="S16759" s="27"/>
      <c r="T16759" s="27"/>
      <c r="U16759" s="27"/>
    </row>
    <row r="16760">
      <c r="S16760" s="27"/>
      <c r="T16760" s="27"/>
      <c r="U16760" s="27"/>
    </row>
    <row r="16762">
      <c r="S16762" s="27"/>
      <c r="T16762" s="27"/>
      <c r="U16762" s="27"/>
    </row>
    <row r="16763">
      <c r="S16763" s="27"/>
      <c r="T16763" s="27"/>
      <c r="U16763" s="27"/>
    </row>
    <row r="16765">
      <c r="T16765" s="27"/>
    </row>
    <row r="16766">
      <c r="S16766" s="27"/>
      <c r="T16766" s="27"/>
      <c r="U16766" s="27"/>
    </row>
    <row r="16768">
      <c r="U16768" s="27"/>
    </row>
    <row r="16771">
      <c r="S16771" s="26"/>
      <c r="T16771" s="26"/>
      <c r="U16771" s="26"/>
    </row>
    <row r="16774">
      <c r="S16774" s="27"/>
      <c r="T16774" s="27"/>
      <c r="U16774" s="27"/>
    </row>
    <row r="16775">
      <c r="S16775" s="27"/>
      <c r="T16775" s="27"/>
      <c r="U16775" s="27"/>
    </row>
    <row r="16777">
      <c r="S16777" s="27"/>
      <c r="T16777" s="27"/>
      <c r="U16777" s="27"/>
    </row>
    <row r="16778">
      <c r="S16778" s="27"/>
      <c r="T16778" s="27"/>
      <c r="U16778" s="27"/>
    </row>
    <row r="16780">
      <c r="S16780" s="26"/>
      <c r="T16780" s="26"/>
      <c r="U16780" s="26"/>
    </row>
    <row r="16783">
      <c r="S16783" s="26"/>
      <c r="T16783" s="26"/>
      <c r="U16783" s="26"/>
    </row>
    <row r="16786">
      <c r="S16786" s="27"/>
      <c r="T16786" s="27"/>
      <c r="U16786" s="27"/>
    </row>
    <row r="16789">
      <c r="S16789" s="27"/>
      <c r="T16789" s="27"/>
      <c r="U16789" s="27"/>
    </row>
    <row r="16790">
      <c r="S16790" s="27"/>
      <c r="T16790" s="27"/>
      <c r="U16790" s="27"/>
    </row>
    <row r="16792">
      <c r="S16792" s="27"/>
      <c r="T16792" s="27"/>
      <c r="U16792" s="27"/>
    </row>
    <row r="16793">
      <c r="S16793" s="27"/>
      <c r="T16793" s="27"/>
      <c r="U16793" s="27"/>
    </row>
    <row r="16795">
      <c r="S16795" s="27"/>
      <c r="T16795" s="27"/>
      <c r="U16795" s="27"/>
    </row>
    <row r="16796">
      <c r="S16796" s="27"/>
      <c r="T16796" s="27"/>
      <c r="U16796" s="27"/>
    </row>
    <row r="16798">
      <c r="S16798" s="27"/>
      <c r="T16798" s="27"/>
      <c r="U16798" s="27"/>
    </row>
    <row r="16799">
      <c r="S16799" s="27"/>
      <c r="T16799" s="27"/>
      <c r="U16799" s="27"/>
    </row>
    <row r="16801">
      <c r="S16801" s="27"/>
      <c r="T16801" s="27"/>
      <c r="U16801" s="27"/>
    </row>
    <row r="16802">
      <c r="S16802" s="27"/>
      <c r="T16802" s="27"/>
      <c r="U16802" s="27"/>
    </row>
    <row r="16804">
      <c r="S16804" s="27"/>
      <c r="T16804" s="27"/>
      <c r="U16804" s="27"/>
    </row>
    <row r="16805">
      <c r="S16805" s="27"/>
      <c r="T16805" s="27"/>
      <c r="U16805" s="27"/>
    </row>
    <row r="16807">
      <c r="S16807" s="27"/>
      <c r="T16807" s="27"/>
      <c r="U16807" s="27"/>
    </row>
    <row r="16808">
      <c r="S16808" s="27"/>
      <c r="T16808" s="27"/>
      <c r="U16808" s="27"/>
    </row>
    <row r="16810">
      <c r="S16810" s="27"/>
      <c r="T16810" s="27"/>
      <c r="U16810" s="27"/>
    </row>
    <row r="16811">
      <c r="S16811" s="27"/>
      <c r="T16811" s="27"/>
      <c r="U16811" s="27"/>
    </row>
    <row r="16813">
      <c r="S16813" s="27"/>
      <c r="T16813" s="27"/>
      <c r="U16813" s="27"/>
    </row>
    <row r="16814">
      <c r="S16814" s="27"/>
      <c r="T16814" s="27"/>
      <c r="U16814" s="27"/>
    </row>
    <row r="16816">
      <c r="S16816" s="27"/>
      <c r="T16816" s="27"/>
      <c r="U16816" s="27"/>
    </row>
    <row r="16817">
      <c r="S16817" s="27"/>
      <c r="T16817" s="27"/>
      <c r="U16817" s="27"/>
    </row>
    <row r="16819">
      <c r="S16819" s="27"/>
      <c r="T16819" s="27"/>
      <c r="U16819" s="27"/>
    </row>
    <row r="16820">
      <c r="S16820" s="27"/>
      <c r="T16820" s="27"/>
      <c r="U16820" s="27"/>
    </row>
    <row r="16822">
      <c r="S16822" s="27"/>
      <c r="T16822" s="27"/>
      <c r="U16822" s="27"/>
    </row>
    <row r="16823">
      <c r="S16823" s="27"/>
      <c r="T16823" s="27"/>
      <c r="U16823" s="27"/>
    </row>
    <row r="16825">
      <c r="U16825" s="27"/>
    </row>
    <row r="16826">
      <c r="U16826" s="27"/>
    </row>
    <row r="16828">
      <c r="S16828" s="27"/>
      <c r="T16828" s="27"/>
      <c r="U16828" s="27"/>
    </row>
    <row r="16829">
      <c r="S16829" s="27"/>
      <c r="T16829" s="27"/>
      <c r="U16829" s="27"/>
    </row>
    <row r="16831">
      <c r="S16831" s="27"/>
      <c r="T16831" s="27"/>
      <c r="U16831" s="27"/>
    </row>
    <row r="16832">
      <c r="S16832" s="27"/>
      <c r="T16832" s="27"/>
      <c r="U16832" s="27"/>
    </row>
    <row r="16834">
      <c r="S16834" s="27"/>
      <c r="T16834" s="27"/>
      <c r="U16834" s="27"/>
    </row>
    <row r="16835">
      <c r="S16835" s="27"/>
      <c r="T16835" s="27"/>
      <c r="U16835" s="27"/>
    </row>
    <row r="16837">
      <c r="S16837" s="27"/>
      <c r="T16837" s="27"/>
      <c r="U16837" s="27"/>
    </row>
    <row r="16838">
      <c r="S16838" s="27"/>
      <c r="T16838" s="27"/>
      <c r="U16838" s="27"/>
    </row>
    <row r="16840">
      <c r="S16840" s="27"/>
      <c r="T16840" s="27"/>
      <c r="U16840" s="27"/>
    </row>
    <row r="16841">
      <c r="S16841" s="27"/>
      <c r="T16841" s="27"/>
      <c r="U16841" s="27"/>
    </row>
    <row r="16843">
      <c r="S16843" s="27"/>
      <c r="T16843" s="27"/>
      <c r="U16843" s="27"/>
    </row>
    <row r="16844">
      <c r="S16844" s="27"/>
      <c r="T16844" s="27"/>
      <c r="U16844" s="27"/>
    </row>
    <row r="16846">
      <c r="S16846" s="27"/>
      <c r="T16846" s="27"/>
      <c r="U16846" s="27"/>
    </row>
    <row r="16847">
      <c r="S16847" s="27"/>
      <c r="T16847" s="27"/>
      <c r="U16847" s="27"/>
    </row>
    <row r="16849">
      <c r="S16849" s="27"/>
      <c r="T16849" s="27"/>
      <c r="U16849" s="27"/>
    </row>
    <row r="16850">
      <c r="S16850" s="27"/>
      <c r="T16850" s="27"/>
      <c r="U16850" s="27"/>
    </row>
    <row r="16852">
      <c r="S16852" s="27"/>
      <c r="T16852" s="27"/>
      <c r="U16852" s="27"/>
    </row>
    <row r="16853">
      <c r="S16853" s="27"/>
      <c r="T16853" s="27"/>
      <c r="U16853" s="27"/>
    </row>
    <row r="16855">
      <c r="S16855" s="27"/>
      <c r="T16855" s="27"/>
      <c r="U16855" s="27"/>
    </row>
    <row r="16856">
      <c r="S16856" s="27"/>
      <c r="T16856" s="27"/>
      <c r="U16856" s="27"/>
    </row>
    <row r="16858">
      <c r="S16858" s="27"/>
      <c r="T16858" s="27"/>
      <c r="U16858" s="27"/>
    </row>
    <row r="16859">
      <c r="S16859" s="27"/>
      <c r="T16859" s="27"/>
      <c r="U16859" s="27"/>
    </row>
    <row r="16861">
      <c r="S16861" s="27"/>
      <c r="T16861" s="27"/>
      <c r="U16861" s="27"/>
    </row>
    <row r="16862">
      <c r="S16862" s="27"/>
      <c r="T16862" s="27"/>
      <c r="U16862" s="27"/>
    </row>
    <row r="16864">
      <c r="S16864" s="27"/>
      <c r="T16864" s="27"/>
      <c r="U16864" s="27"/>
    </row>
    <row r="16865">
      <c r="S16865" s="27"/>
      <c r="T16865" s="27"/>
      <c r="U16865" s="27"/>
    </row>
    <row r="16867">
      <c r="S16867" s="27"/>
      <c r="T16867" s="27"/>
      <c r="U16867" s="27"/>
    </row>
    <row r="16870">
      <c r="S16870" s="33"/>
      <c r="T16870" s="33"/>
      <c r="U16870" s="33"/>
    </row>
    <row r="16871">
      <c r="S16871" s="27"/>
      <c r="T16871" s="27"/>
      <c r="U16871" s="27"/>
    </row>
    <row r="16873">
      <c r="S16873" s="27"/>
      <c r="T16873" s="27"/>
      <c r="U16873" s="27"/>
    </row>
    <row r="16874">
      <c r="S16874" s="27"/>
      <c r="T16874" s="27"/>
      <c r="U16874" s="27"/>
    </row>
    <row r="16876">
      <c r="S16876" s="26"/>
      <c r="T16876" s="26"/>
      <c r="U16876" s="26"/>
    </row>
    <row r="16879">
      <c r="S16879" s="27"/>
      <c r="T16879" s="27"/>
      <c r="U16879" s="27"/>
    </row>
    <row r="16880">
      <c r="S16880" s="27"/>
      <c r="T16880" s="27"/>
      <c r="U16880" s="27"/>
    </row>
    <row r="16883">
      <c r="S16883" s="27"/>
      <c r="T16883" s="27"/>
      <c r="U16883" s="27"/>
    </row>
    <row r="16885">
      <c r="S16885" s="27"/>
      <c r="T16885" s="27"/>
      <c r="U16885" s="27"/>
    </row>
    <row r="16886">
      <c r="S16886" s="27"/>
      <c r="T16886" s="27"/>
      <c r="U16886" s="27"/>
    </row>
    <row r="16891">
      <c r="S16891" s="27"/>
      <c r="T16891" s="26"/>
    </row>
    <row r="16894">
      <c r="S16894" s="27"/>
      <c r="T16894" s="27"/>
      <c r="U16894" s="27"/>
    </row>
    <row r="16896">
      <c r="S16896" s="27"/>
      <c r="T16896" s="27"/>
      <c r="U16896" s="27"/>
    </row>
    <row r="16898">
      <c r="S16898" s="26"/>
      <c r="T16898" s="27"/>
      <c r="U16898" s="27"/>
    </row>
    <row r="16901">
      <c r="S16901" s="27"/>
      <c r="T16901" s="27"/>
      <c r="U16901" s="27"/>
    </row>
    <row r="16904">
      <c r="S16904" s="27"/>
      <c r="T16904" s="27"/>
      <c r="U16904" s="27"/>
    </row>
    <row r="16905">
      <c r="S16905" s="27"/>
      <c r="T16905" s="27"/>
      <c r="U16905" s="27"/>
    </row>
    <row r="16907">
      <c r="S16907" s="27"/>
      <c r="T16907" s="27"/>
      <c r="U16907" s="27"/>
    </row>
    <row r="16908">
      <c r="S16908" s="27"/>
      <c r="T16908" s="27"/>
      <c r="U16908" s="27"/>
    </row>
    <row r="16910">
      <c r="S16910" s="27"/>
      <c r="T16910" s="27"/>
      <c r="U16910" s="27"/>
    </row>
    <row r="16911">
      <c r="S16911" s="27"/>
      <c r="T16911" s="27"/>
    </row>
    <row r="16913">
      <c r="S16913" s="27"/>
      <c r="T16913" s="27"/>
      <c r="U16913" s="26"/>
    </row>
    <row r="16914">
      <c r="S16914" s="27"/>
      <c r="T16914" s="27"/>
      <c r="U16914" s="27"/>
    </row>
    <row r="16916">
      <c r="S16916" s="27"/>
      <c r="T16916" s="27"/>
      <c r="U16916" s="27"/>
    </row>
    <row r="16917">
      <c r="S16917" s="27"/>
      <c r="T16917" s="27"/>
      <c r="U16917" s="27"/>
    </row>
    <row r="16922">
      <c r="S16922" s="27"/>
      <c r="T16922" s="27"/>
      <c r="U16922" s="27"/>
    </row>
    <row r="16923">
      <c r="S16923" s="27"/>
      <c r="T16923" s="27"/>
      <c r="U16923" s="27"/>
    </row>
    <row r="16925">
      <c r="S16925" s="27"/>
      <c r="T16925" s="27"/>
      <c r="U16925" s="27"/>
    </row>
    <row r="16926">
      <c r="S16926" s="27"/>
      <c r="T16926" s="27"/>
      <c r="U16926" s="27"/>
    </row>
    <row r="16928">
      <c r="S16928" s="27"/>
      <c r="T16928" s="27"/>
      <c r="U16928" s="27"/>
    </row>
    <row r="16929">
      <c r="S16929" s="27"/>
      <c r="T16929" s="27"/>
      <c r="U16929" s="27"/>
    </row>
    <row r="16931">
      <c r="S16931" s="27"/>
      <c r="T16931" s="27"/>
      <c r="U16931" s="33"/>
    </row>
    <row r="16937">
      <c r="S16937" s="27"/>
      <c r="T16937" s="27"/>
      <c r="U16937" s="27"/>
    </row>
    <row r="16941">
      <c r="S16941" s="27"/>
      <c r="T16941" s="27"/>
      <c r="U16941" s="27"/>
    </row>
    <row r="16943">
      <c r="S16943" s="26"/>
      <c r="T16943" s="27"/>
      <c r="U16943" s="27"/>
    </row>
    <row r="16944">
      <c r="S16944" s="26"/>
      <c r="T16944" s="26"/>
      <c r="U16944" s="26"/>
    </row>
    <row r="16946">
      <c r="S16946" s="27"/>
      <c r="T16946" s="27"/>
      <c r="U16946" s="27"/>
    </row>
    <row r="16947">
      <c r="S16947" s="27"/>
      <c r="T16947" s="27"/>
      <c r="U16947" s="27"/>
    </row>
    <row r="16949">
      <c r="S16949" s="27"/>
      <c r="T16949" s="27"/>
      <c r="U16949" s="27"/>
    </row>
    <row r="16950">
      <c r="S16950" s="27"/>
      <c r="T16950" s="27"/>
      <c r="U16950" s="27"/>
    </row>
    <row r="16952">
      <c r="S16952" s="27"/>
      <c r="T16952" s="27"/>
      <c r="U16952" s="27"/>
    </row>
    <row r="16953">
      <c r="S16953" s="27"/>
      <c r="T16953" s="27"/>
      <c r="U16953" s="27"/>
    </row>
    <row r="16955">
      <c r="S16955" s="27"/>
      <c r="T16955" s="27"/>
      <c r="U16955" s="27"/>
    </row>
    <row r="16956">
      <c r="S16956" s="27"/>
      <c r="T16956" s="27"/>
      <c r="U16956" s="27"/>
    </row>
    <row r="16961">
      <c r="S16961" s="33"/>
      <c r="T16961" s="27"/>
      <c r="U16961" s="27"/>
    </row>
    <row r="16962">
      <c r="S16962" s="27"/>
      <c r="T16962" s="27"/>
      <c r="U16962" s="27"/>
    </row>
    <row r="16964">
      <c r="S16964" s="27"/>
      <c r="T16964" s="27"/>
      <c r="U16964" s="27"/>
    </row>
    <row r="16965">
      <c r="S16965" s="27"/>
      <c r="T16965" s="27"/>
      <c r="U16965" s="27"/>
    </row>
    <row r="16967">
      <c r="T16967" s="27"/>
    </row>
    <row r="16970">
      <c r="S16970" s="26"/>
      <c r="T16970" s="27"/>
      <c r="U16970" s="27"/>
    </row>
    <row r="16971">
      <c r="T16971" s="27"/>
      <c r="U16971" s="27"/>
    </row>
    <row r="16973">
      <c r="S16973" s="27"/>
      <c r="T16973" s="27"/>
    </row>
    <row r="16974">
      <c r="S16974" s="27"/>
      <c r="T16974" s="27"/>
    </row>
    <row r="16976">
      <c r="S16976" s="27"/>
      <c r="T16976" s="27"/>
      <c r="U16976" s="27"/>
    </row>
    <row r="16977">
      <c r="S16977" s="27"/>
      <c r="T16977" s="27"/>
      <c r="U16977" s="27"/>
    </row>
    <row r="16979">
      <c r="S16979" s="27"/>
      <c r="T16979" s="27"/>
      <c r="U16979" s="27"/>
    </row>
    <row r="16982">
      <c r="S16982" s="27"/>
      <c r="T16982" s="27"/>
      <c r="U16982" s="27"/>
    </row>
    <row r="16983">
      <c r="S16983" s="27"/>
      <c r="T16983" s="27"/>
      <c r="U16983" s="27"/>
    </row>
    <row r="16985">
      <c r="S16985" s="26"/>
      <c r="T16985" s="26"/>
      <c r="U16985" s="26"/>
    </row>
    <row r="16988">
      <c r="S16988" s="27"/>
      <c r="T16988" s="27"/>
      <c r="U16988" s="27"/>
    </row>
    <row r="16992">
      <c r="S16992" s="27"/>
      <c r="T16992" s="27"/>
      <c r="U16992" s="27"/>
    </row>
    <row r="16994">
      <c r="S16994" s="27"/>
      <c r="T16994" s="27"/>
      <c r="U16994" s="27"/>
    </row>
    <row r="16995">
      <c r="S16995" s="27"/>
      <c r="T16995" s="27"/>
      <c r="U16995" s="27"/>
    </row>
    <row r="16997">
      <c r="S16997" s="27"/>
      <c r="T16997" s="27"/>
      <c r="U16997" s="27"/>
    </row>
    <row r="16998">
      <c r="S16998" s="27"/>
      <c r="T16998" s="27"/>
      <c r="U16998" s="27"/>
    </row>
    <row r="17000">
      <c r="S17000" s="26"/>
    </row>
    <row r="17001">
      <c r="S17001" s="26"/>
      <c r="T17001" s="26"/>
      <c r="U17001" s="26"/>
    </row>
    <row r="17003">
      <c r="T17003" s="27"/>
      <c r="U17003" s="27"/>
    </row>
    <row r="17004">
      <c r="S17004" s="27"/>
      <c r="T17004" s="27"/>
      <c r="U17004" s="27"/>
    </row>
    <row r="17006">
      <c r="S17006" s="27"/>
      <c r="T17006" s="27"/>
      <c r="U17006" s="27"/>
    </row>
    <row r="17007">
      <c r="S17007" s="27"/>
      <c r="T17007" s="27"/>
      <c r="U17007" s="27"/>
    </row>
    <row r="17009">
      <c r="S17009" s="27"/>
      <c r="T17009" s="27"/>
      <c r="U17009" s="27"/>
    </row>
    <row r="17012">
      <c r="S17012" s="27"/>
      <c r="T17012" s="27"/>
      <c r="U17012" s="27"/>
    </row>
    <row r="17013">
      <c r="S17013" s="27"/>
      <c r="T17013" s="27"/>
      <c r="U17013" s="27"/>
    </row>
    <row r="17015">
      <c r="S17015" s="27"/>
      <c r="T17015" s="27"/>
      <c r="U17015" s="27"/>
    </row>
    <row r="17016">
      <c r="S17016" s="27"/>
      <c r="T17016" s="27"/>
      <c r="U17016" s="27"/>
    </row>
    <row r="17018">
      <c r="S17018" s="27"/>
      <c r="T17018" s="27"/>
      <c r="U17018" s="27"/>
    </row>
    <row r="17019">
      <c r="S17019" s="27"/>
      <c r="T17019" s="27"/>
      <c r="U17019" s="27"/>
    </row>
    <row r="17021">
      <c r="S17021" s="27"/>
      <c r="T17021" s="27"/>
      <c r="U17021" s="27"/>
    </row>
    <row r="17022">
      <c r="S17022" s="27"/>
      <c r="T17022" s="27"/>
      <c r="U17022" s="27"/>
    </row>
    <row r="17024">
      <c r="S17024" s="27"/>
      <c r="T17024" s="27"/>
      <c r="U17024" s="27"/>
    </row>
    <row r="17025">
      <c r="S17025" s="27"/>
      <c r="T17025" s="27"/>
      <c r="U17025" s="27"/>
    </row>
    <row r="17027">
      <c r="S17027" s="27"/>
      <c r="T17027" s="27"/>
      <c r="U17027" s="27"/>
    </row>
    <row r="17028">
      <c r="S17028" s="27"/>
      <c r="T17028" s="27"/>
      <c r="U17028" s="27"/>
    </row>
    <row r="17030">
      <c r="S17030" s="27"/>
      <c r="T17030" s="27"/>
      <c r="U17030" s="27"/>
    </row>
    <row r="17031">
      <c r="S17031" s="27"/>
      <c r="T17031" s="27"/>
      <c r="U17031" s="27"/>
    </row>
    <row r="17033">
      <c r="S17033" s="27"/>
      <c r="T17033" s="27"/>
      <c r="U17033" s="27"/>
    </row>
    <row r="17034">
      <c r="S17034" s="27"/>
      <c r="T17034" s="27"/>
      <c r="U17034" s="27"/>
    </row>
    <row r="17036">
      <c r="S17036" s="27"/>
      <c r="T17036" s="27"/>
      <c r="U17036" s="27"/>
    </row>
    <row r="17037">
      <c r="S17037" s="27"/>
      <c r="T17037" s="27"/>
      <c r="U17037" s="27"/>
    </row>
    <row r="17039">
      <c r="S17039" s="27"/>
      <c r="T17039" s="27"/>
      <c r="U17039" s="27"/>
    </row>
    <row r="17040">
      <c r="S17040" s="27"/>
      <c r="T17040" s="27"/>
      <c r="U17040" s="27"/>
    </row>
    <row r="17042">
      <c r="S17042" s="27"/>
      <c r="T17042" s="27"/>
      <c r="U17042" s="27"/>
    </row>
    <row r="17043">
      <c r="S17043" s="27"/>
      <c r="T17043" s="27"/>
      <c r="U17043" s="27"/>
    </row>
    <row r="17045">
      <c r="S17045" s="27"/>
      <c r="T17045" s="27"/>
      <c r="U17045" s="27"/>
    </row>
    <row r="17046">
      <c r="S17046" s="27"/>
      <c r="T17046" s="27"/>
      <c r="U17046" s="27"/>
    </row>
    <row r="17048">
      <c r="S17048" s="27"/>
      <c r="T17048" s="27"/>
      <c r="U17048" s="27"/>
    </row>
    <row r="17049">
      <c r="S17049" s="27"/>
      <c r="T17049" s="27"/>
      <c r="U17049" s="27"/>
    </row>
    <row r="17051">
      <c r="S17051" s="27"/>
      <c r="T17051" s="27"/>
      <c r="U17051" s="27"/>
    </row>
    <row r="17052">
      <c r="S17052" s="27"/>
      <c r="T17052" s="27"/>
      <c r="U17052" s="27"/>
    </row>
    <row r="17054">
      <c r="S17054" s="27"/>
      <c r="T17054" s="27"/>
      <c r="U17054" s="27"/>
    </row>
    <row r="17055">
      <c r="S17055" s="27"/>
      <c r="T17055" s="27"/>
      <c r="U17055" s="27"/>
    </row>
    <row r="17057">
      <c r="S17057" s="27"/>
      <c r="T17057" s="27"/>
      <c r="U17057" s="27"/>
    </row>
    <row r="17058">
      <c r="S17058" s="27"/>
      <c r="T17058" s="27"/>
      <c r="U17058" s="27"/>
    </row>
    <row r="17060">
      <c r="S17060" s="27"/>
      <c r="T17060" s="27"/>
      <c r="U17060" s="27"/>
    </row>
    <row r="17061">
      <c r="S17061" s="27"/>
      <c r="T17061" s="27"/>
      <c r="U17061" s="27"/>
    </row>
    <row r="17063">
      <c r="S17063" s="27"/>
      <c r="T17063" s="27"/>
      <c r="U17063" s="27"/>
    </row>
    <row r="17064">
      <c r="S17064" s="27"/>
      <c r="T17064" s="27"/>
      <c r="U17064" s="27"/>
    </row>
    <row r="17066">
      <c r="S17066" s="27"/>
      <c r="T17066" s="27"/>
      <c r="U17066" s="27"/>
    </row>
    <row r="17067">
      <c r="S17067" s="27"/>
      <c r="T17067" s="27"/>
      <c r="U17067" s="27"/>
    </row>
    <row r="17069">
      <c r="S17069" s="27"/>
      <c r="T17069" s="27"/>
      <c r="U17069" s="27"/>
    </row>
    <row r="17070">
      <c r="S17070" s="27"/>
      <c r="T17070" s="27"/>
      <c r="U17070" s="27"/>
    </row>
    <row r="17072">
      <c r="S17072" s="27"/>
      <c r="T17072" s="27"/>
      <c r="U17072" s="27"/>
    </row>
    <row r="17073">
      <c r="S17073" s="27"/>
      <c r="T17073" s="27"/>
      <c r="U17073" s="27"/>
    </row>
    <row r="17075">
      <c r="S17075" s="27"/>
      <c r="T17075" s="27"/>
      <c r="U17075" s="27"/>
    </row>
    <row r="17076">
      <c r="S17076" s="27"/>
      <c r="T17076" s="27"/>
      <c r="U17076" s="27"/>
    </row>
    <row r="17078">
      <c r="S17078" s="27"/>
      <c r="T17078" s="27"/>
      <c r="U17078" s="27"/>
    </row>
    <row r="17079">
      <c r="S17079" s="27"/>
      <c r="T17079" s="27"/>
      <c r="U17079" s="27"/>
    </row>
    <row r="17081">
      <c r="S17081" s="27"/>
      <c r="T17081" s="27"/>
      <c r="U17081" s="27"/>
    </row>
    <row r="17082">
      <c r="S17082" s="27"/>
      <c r="T17082" s="27"/>
      <c r="U17082" s="27"/>
    </row>
    <row r="17084">
      <c r="S17084" s="27"/>
      <c r="T17084" s="27"/>
      <c r="U17084" s="27"/>
    </row>
    <row r="17085">
      <c r="S17085" s="27"/>
      <c r="T17085" s="27"/>
      <c r="U17085" s="27"/>
    </row>
    <row r="17087">
      <c r="S17087" s="27"/>
      <c r="T17087" s="27"/>
      <c r="U17087" s="27"/>
    </row>
    <row r="17088">
      <c r="S17088" s="27"/>
      <c r="T17088" s="27"/>
      <c r="U17088" s="27"/>
    </row>
    <row r="17090">
      <c r="S17090" s="27"/>
      <c r="T17090" s="27"/>
      <c r="U17090" s="27"/>
    </row>
    <row r="17091">
      <c r="S17091" s="27"/>
      <c r="T17091" s="27"/>
      <c r="U17091" s="27"/>
    </row>
    <row r="17093">
      <c r="S17093" s="27"/>
      <c r="T17093" s="27"/>
      <c r="U17093" s="27"/>
    </row>
    <row r="17094">
      <c r="S17094" s="27"/>
      <c r="T17094" s="27"/>
      <c r="U17094" s="27"/>
    </row>
    <row r="17096">
      <c r="S17096" s="27"/>
      <c r="T17096" s="27"/>
      <c r="U17096" s="27"/>
    </row>
    <row r="17097">
      <c r="S17097" s="27"/>
      <c r="T17097" s="27"/>
      <c r="U17097" s="27"/>
    </row>
    <row r="17099">
      <c r="S17099" s="27"/>
      <c r="T17099" s="27"/>
      <c r="U17099" s="27"/>
    </row>
    <row r="17101">
      <c r="S17101" s="27"/>
      <c r="T17101" s="27"/>
      <c r="U17101" s="27"/>
    </row>
    <row r="17102">
      <c r="S17102" s="27"/>
      <c r="T17102" s="27"/>
      <c r="U17102" s="27"/>
    </row>
    <row r="17104">
      <c r="S17104" s="27"/>
      <c r="T17104" s="27"/>
      <c r="U17104" s="27"/>
    </row>
    <row r="17105">
      <c r="S17105" s="27"/>
      <c r="T17105" s="27"/>
      <c r="U17105" s="27"/>
    </row>
    <row r="17107">
      <c r="S17107" s="27"/>
      <c r="T17107" s="27"/>
      <c r="U17107" s="27"/>
    </row>
    <row r="17108">
      <c r="S17108" s="27"/>
      <c r="T17108" s="27"/>
      <c r="U17108" s="27"/>
    </row>
    <row r="17110">
      <c r="S17110" s="27"/>
      <c r="T17110" s="27"/>
      <c r="U17110" s="27"/>
    </row>
    <row r="17111">
      <c r="S17111" s="27"/>
      <c r="T17111" s="27"/>
      <c r="U17111" s="27"/>
    </row>
    <row r="17113">
      <c r="S17113" s="27"/>
      <c r="T17113" s="27"/>
      <c r="U17113" s="27"/>
    </row>
    <row r="17114">
      <c r="S17114" s="27"/>
      <c r="T17114" s="27"/>
      <c r="U17114" s="27"/>
    </row>
    <row r="17116">
      <c r="S17116" s="27"/>
      <c r="T17116" s="27"/>
      <c r="U17116" s="27"/>
    </row>
    <row r="17117">
      <c r="S17117" s="27"/>
      <c r="T17117" s="27"/>
      <c r="U17117" s="27"/>
    </row>
    <row r="17119">
      <c r="S17119" s="27"/>
      <c r="T17119" s="27"/>
      <c r="U17119" s="27"/>
    </row>
    <row r="17120">
      <c r="S17120" s="27"/>
      <c r="T17120" s="27"/>
      <c r="U17120" s="27"/>
    </row>
    <row r="17122">
      <c r="S17122" s="27"/>
      <c r="T17122" s="27"/>
      <c r="U17122" s="27"/>
    </row>
    <row r="17124">
      <c r="S17124" s="27"/>
      <c r="T17124" s="27"/>
      <c r="U17124" s="27"/>
    </row>
    <row r="17126">
      <c r="T17126" s="27"/>
      <c r="U17126" s="27"/>
    </row>
    <row r="17128">
      <c r="S17128" s="27"/>
      <c r="T17128" s="27"/>
      <c r="U17128" s="27"/>
    </row>
    <row r="17130">
      <c r="S17130" s="27"/>
      <c r="T17130" s="27"/>
      <c r="U17130" s="27"/>
    </row>
    <row r="17131">
      <c r="S17131" s="27"/>
      <c r="T17131" s="27"/>
      <c r="U17131" s="27"/>
    </row>
    <row r="17133">
      <c r="S17133" s="27"/>
      <c r="T17133" s="27"/>
      <c r="U17133" s="27"/>
    </row>
    <row r="17134">
      <c r="S17134" s="27"/>
      <c r="T17134" s="27"/>
      <c r="U17134" s="27"/>
    </row>
    <row r="17136">
      <c r="S17136" s="27"/>
      <c r="T17136" s="27"/>
      <c r="U17136" s="27"/>
    </row>
    <row r="17137">
      <c r="S17137" s="33"/>
      <c r="T17137" s="33"/>
      <c r="U17137" s="33"/>
    </row>
    <row r="17139">
      <c r="S17139" s="27"/>
      <c r="T17139" s="27"/>
      <c r="U17139" s="27"/>
    </row>
    <row r="17140">
      <c r="S17140" s="27"/>
      <c r="T17140" s="27"/>
      <c r="U17140" s="27"/>
    </row>
    <row r="17142">
      <c r="S17142" s="27"/>
      <c r="T17142" s="27"/>
      <c r="U17142" s="27"/>
    </row>
    <row r="17143">
      <c r="S17143" s="27"/>
      <c r="T17143" s="27"/>
      <c r="U17143" s="27"/>
    </row>
    <row r="17145">
      <c r="S17145" s="27"/>
      <c r="T17145" s="27"/>
      <c r="U17145" s="27"/>
    </row>
    <row r="17146">
      <c r="S17146" s="27"/>
      <c r="T17146" s="27"/>
      <c r="U17146" s="27"/>
    </row>
    <row r="17151">
      <c r="S17151" s="26"/>
      <c r="T17151" s="26"/>
      <c r="U17151" s="26"/>
    </row>
    <row r="17154">
      <c r="S17154" s="33"/>
      <c r="T17154" s="33"/>
      <c r="U17154" s="33"/>
    </row>
    <row r="17155">
      <c r="S17155" s="26"/>
      <c r="T17155" s="26"/>
      <c r="U17155" s="26"/>
    </row>
    <row r="17157">
      <c r="S17157" s="27"/>
      <c r="T17157" s="27"/>
      <c r="U17157" s="27"/>
    </row>
    <row r="17158">
      <c r="S17158" s="27"/>
      <c r="T17158" s="27"/>
      <c r="U17158" s="27"/>
    </row>
    <row r="17160">
      <c r="S17160" s="27"/>
      <c r="T17160" s="27"/>
      <c r="U17160" s="27"/>
    </row>
    <row r="17161">
      <c r="S17161" s="27"/>
      <c r="T17161" s="27"/>
      <c r="U17161" s="27"/>
    </row>
    <row r="17163">
      <c r="S17163" s="27"/>
      <c r="T17163" s="27"/>
      <c r="U17163" s="27"/>
    </row>
    <row r="17164">
      <c r="S17164" s="27"/>
      <c r="T17164" s="27"/>
      <c r="U17164" s="27"/>
    </row>
    <row r="17166">
      <c r="S17166" s="26"/>
      <c r="T17166" s="26"/>
      <c r="U17166" s="26"/>
    </row>
    <row r="17169">
      <c r="S17169" s="27"/>
      <c r="T17169" s="27"/>
      <c r="U17169" s="27"/>
    </row>
    <row r="17170">
      <c r="S17170" s="27"/>
      <c r="T17170" s="27"/>
      <c r="U17170" s="27"/>
    </row>
    <row r="17172">
      <c r="S17172" s="27"/>
      <c r="T17172" s="27"/>
      <c r="U17172" s="27"/>
    </row>
    <row r="17173">
      <c r="S17173" s="27"/>
      <c r="T17173" s="27"/>
      <c r="U17173" s="27"/>
    </row>
    <row r="17175">
      <c r="S17175" s="26"/>
    </row>
    <row r="17176">
      <c r="T17176" s="27"/>
      <c r="U17176" s="27"/>
    </row>
    <row r="17181">
      <c r="S17181" s="26"/>
      <c r="T17181" s="26"/>
      <c r="U17181" s="26"/>
    </row>
    <row r="17182">
      <c r="S17182" s="26"/>
      <c r="T17182" s="26"/>
      <c r="U17182" s="26"/>
    </row>
    <row r="17184">
      <c r="S17184" s="27"/>
      <c r="T17184" s="27"/>
      <c r="U17184" s="27"/>
    </row>
    <row r="17185">
      <c r="S17185" s="27"/>
      <c r="T17185" s="27"/>
      <c r="U17185" s="27"/>
    </row>
    <row r="17187">
      <c r="S17187" s="27"/>
      <c r="T17187" s="27"/>
      <c r="U17187" s="27"/>
    </row>
    <row r="17188">
      <c r="S17188" s="27"/>
      <c r="T17188" s="27"/>
      <c r="U17188" s="27"/>
    </row>
    <row r="17190">
      <c r="S17190" s="26"/>
      <c r="T17190" s="26"/>
      <c r="U17190" s="26"/>
    </row>
    <row r="17193">
      <c r="S17193" s="26"/>
    </row>
    <row r="17196">
      <c r="S17196" s="27"/>
      <c r="T17196" s="27"/>
      <c r="U17196" s="27"/>
    </row>
    <row r="17199">
      <c r="S17199" s="27"/>
      <c r="T17199" s="27"/>
      <c r="U17199" s="27"/>
    </row>
    <row r="17200">
      <c r="S17200" s="27"/>
      <c r="T17200" s="27"/>
      <c r="U17200" s="27"/>
    </row>
    <row r="17202">
      <c r="S17202" s="27"/>
      <c r="T17202" s="27"/>
      <c r="U17202" s="27"/>
    </row>
    <row r="17203">
      <c r="S17203" s="27"/>
      <c r="T17203" s="27"/>
      <c r="U17203" s="27"/>
    </row>
    <row r="17205">
      <c r="S17205" s="27"/>
      <c r="T17205" s="27"/>
      <c r="U17205" s="27"/>
    </row>
    <row r="17206">
      <c r="S17206" s="27"/>
      <c r="T17206" s="27"/>
      <c r="U17206" s="27"/>
    </row>
    <row r="17208">
      <c r="S17208" s="27"/>
      <c r="T17208" s="27"/>
      <c r="U17208" s="27"/>
    </row>
    <row r="17209">
      <c r="S17209" s="27"/>
      <c r="T17209" s="27"/>
      <c r="U17209" s="27"/>
    </row>
    <row r="17211">
      <c r="S17211" s="27"/>
      <c r="T17211" s="27"/>
      <c r="U17211" s="27"/>
    </row>
    <row r="17212">
      <c r="S17212" s="27"/>
      <c r="T17212" s="27"/>
      <c r="U17212" s="27"/>
    </row>
    <row r="17214">
      <c r="S17214" s="27"/>
      <c r="T17214" s="27"/>
      <c r="U17214" s="27"/>
    </row>
    <row r="17215">
      <c r="S17215" s="27"/>
      <c r="T17215" s="27"/>
      <c r="U17215" s="27"/>
    </row>
    <row r="17217">
      <c r="S17217" s="27"/>
      <c r="T17217" s="27"/>
      <c r="U17217" s="27"/>
    </row>
    <row r="17218">
      <c r="S17218" s="27"/>
      <c r="T17218" s="27"/>
      <c r="U17218" s="27"/>
    </row>
    <row r="17220">
      <c r="S17220" s="27"/>
      <c r="T17220" s="27"/>
      <c r="U17220" s="27"/>
    </row>
    <row r="17221">
      <c r="S17221" s="27"/>
      <c r="T17221" s="27"/>
      <c r="U17221" s="27"/>
    </row>
    <row r="17223">
      <c r="S17223" s="27"/>
      <c r="T17223" s="27"/>
      <c r="U17223" s="27"/>
    </row>
    <row r="17224">
      <c r="S17224" s="27"/>
      <c r="T17224" s="27"/>
      <c r="U17224" s="27"/>
    </row>
    <row r="17226">
      <c r="S17226" s="27"/>
      <c r="T17226" s="27"/>
      <c r="U17226" s="27"/>
    </row>
    <row r="17227">
      <c r="S17227" s="27"/>
      <c r="T17227" s="27"/>
      <c r="U17227" s="27"/>
    </row>
    <row r="17229">
      <c r="S17229" s="27"/>
      <c r="T17229" s="27"/>
      <c r="U17229" s="27"/>
    </row>
    <row r="17230">
      <c r="S17230" s="27"/>
      <c r="T17230" s="27"/>
      <c r="U17230" s="27"/>
    </row>
    <row r="17232">
      <c r="S17232" s="27"/>
      <c r="T17232" s="27"/>
      <c r="U17232" s="27"/>
    </row>
    <row r="17233">
      <c r="S17233" s="27"/>
      <c r="T17233" s="27"/>
      <c r="U17233" s="27"/>
    </row>
    <row r="17235">
      <c r="S17235" s="27"/>
      <c r="T17235" s="27"/>
      <c r="U17235" s="27"/>
    </row>
    <row r="17236">
      <c r="S17236" s="27"/>
      <c r="T17236" s="27"/>
      <c r="U17236" s="27"/>
    </row>
    <row r="17238">
      <c r="S17238" s="27"/>
      <c r="T17238" s="27"/>
      <c r="U17238" s="27"/>
    </row>
    <row r="17239">
      <c r="S17239" s="27"/>
      <c r="T17239" s="27"/>
      <c r="U17239" s="27"/>
    </row>
    <row r="17241">
      <c r="S17241" s="27"/>
      <c r="T17241" s="27"/>
      <c r="U17241" s="27"/>
    </row>
    <row r="17242">
      <c r="S17242" s="27"/>
      <c r="T17242" s="27"/>
      <c r="U17242" s="27"/>
    </row>
    <row r="17244">
      <c r="S17244" s="27"/>
      <c r="T17244" s="27"/>
      <c r="U17244" s="27"/>
    </row>
    <row r="17245">
      <c r="S17245" s="27"/>
      <c r="T17245" s="27"/>
      <c r="U17245" s="27"/>
    </row>
    <row r="17247">
      <c r="S17247" s="27"/>
      <c r="T17247" s="27"/>
      <c r="U17247" s="27"/>
    </row>
    <row r="17248">
      <c r="S17248" s="27"/>
      <c r="T17248" s="27"/>
      <c r="U17248" s="27"/>
    </row>
    <row r="17250">
      <c r="S17250" s="27"/>
      <c r="T17250" s="27"/>
      <c r="U17250" s="27"/>
    </row>
    <row r="17251">
      <c r="S17251" s="27"/>
      <c r="T17251" s="27"/>
      <c r="U17251" s="27"/>
    </row>
    <row r="17253">
      <c r="S17253" s="27"/>
      <c r="T17253" s="27"/>
      <c r="U17253" s="27"/>
    </row>
    <row r="17254">
      <c r="S17254" s="27"/>
      <c r="T17254" s="27"/>
      <c r="U17254" s="27"/>
    </row>
    <row r="17256">
      <c r="S17256" s="27"/>
      <c r="T17256" s="27"/>
      <c r="U17256" s="27"/>
    </row>
    <row r="17257">
      <c r="S17257" s="27"/>
      <c r="T17257" s="27"/>
      <c r="U17257" s="27"/>
    </row>
    <row r="17259">
      <c r="S17259" s="27"/>
      <c r="T17259" s="27"/>
      <c r="U17259" s="27"/>
    </row>
    <row r="17260">
      <c r="S17260" s="27"/>
      <c r="T17260" s="27"/>
      <c r="U17260" s="27"/>
    </row>
    <row r="17262">
      <c r="S17262" s="27"/>
      <c r="T17262" s="27"/>
      <c r="U17262" s="27"/>
    </row>
    <row r="17263">
      <c r="S17263" s="27"/>
      <c r="T17263" s="27"/>
      <c r="U17263" s="27"/>
    </row>
    <row r="17265">
      <c r="S17265" s="27"/>
      <c r="T17265" s="27"/>
      <c r="U17265" s="27"/>
    </row>
    <row r="17266">
      <c r="S17266" s="27"/>
      <c r="T17266" s="27"/>
      <c r="U17266" s="27"/>
    </row>
    <row r="17268">
      <c r="S17268" s="27"/>
      <c r="T17268" s="27"/>
      <c r="U17268" s="27"/>
    </row>
    <row r="17269">
      <c r="S17269" s="27"/>
      <c r="T17269" s="27"/>
      <c r="U17269" s="27"/>
    </row>
    <row r="17274">
      <c r="S17274" s="27"/>
      <c r="T17274" s="27"/>
      <c r="U17274" s="27"/>
    </row>
    <row r="17275">
      <c r="S17275" s="27"/>
      <c r="T17275" s="27"/>
      <c r="U17275" s="27"/>
    </row>
    <row r="17277">
      <c r="S17277" s="27"/>
      <c r="T17277" s="27"/>
      <c r="U17277" s="27"/>
    </row>
    <row r="17280">
      <c r="S17280" s="27"/>
      <c r="T17280" s="33"/>
    </row>
    <row r="17281">
      <c r="S17281" s="27"/>
      <c r="T17281" s="27"/>
    </row>
    <row r="17283">
      <c r="S17283" s="27"/>
      <c r="T17283" s="27"/>
      <c r="U17283" s="27"/>
    </row>
    <row r="17284">
      <c r="S17284" s="27"/>
      <c r="T17284" s="27"/>
      <c r="U17284" s="27"/>
    </row>
    <row r="17286">
      <c r="S17286" s="27"/>
      <c r="T17286" s="27"/>
      <c r="U17286" s="27"/>
    </row>
    <row r="17287">
      <c r="S17287" s="26"/>
      <c r="T17287" s="26"/>
      <c r="U17287" s="26"/>
    </row>
    <row r="17289">
      <c r="S17289" s="27"/>
      <c r="T17289" s="27"/>
      <c r="U17289" s="27"/>
    </row>
    <row r="17290">
      <c r="S17290" s="27"/>
      <c r="T17290" s="27"/>
      <c r="U17290" s="27"/>
    </row>
    <row r="17292">
      <c r="S17292" s="27"/>
      <c r="T17292" s="27"/>
      <c r="U17292" s="27"/>
    </row>
    <row r="17293">
      <c r="S17293" s="27"/>
      <c r="T17293" s="27"/>
      <c r="U17293" s="27"/>
    </row>
    <row r="17295">
      <c r="S17295" s="27"/>
      <c r="T17295" s="27"/>
      <c r="U17295" s="27"/>
    </row>
    <row r="17296">
      <c r="S17296" s="27"/>
      <c r="T17296" s="27"/>
      <c r="U17296" s="27"/>
    </row>
    <row r="17298">
      <c r="S17298" s="26"/>
      <c r="U17298" s="26"/>
    </row>
    <row r="17301">
      <c r="S17301" s="26"/>
      <c r="T17301" s="26"/>
      <c r="U17301" s="26"/>
    </row>
    <row r="17304">
      <c r="S17304" s="27"/>
      <c r="T17304" s="27"/>
      <c r="U17304" s="27"/>
    </row>
    <row r="17306">
      <c r="S17306" s="27"/>
      <c r="T17306" s="27"/>
    </row>
    <row r="17308">
      <c r="S17308" s="26"/>
      <c r="T17308" s="26"/>
      <c r="U17308" s="26"/>
    </row>
    <row r="17311">
      <c r="S17311" s="27"/>
      <c r="T17311" s="27"/>
      <c r="U17311" s="27"/>
    </row>
    <row r="17314">
      <c r="S17314" s="27"/>
      <c r="T17314" s="27"/>
      <c r="U17314" s="27"/>
    </row>
    <row r="17315">
      <c r="S17315" s="27"/>
      <c r="T17315" s="27"/>
      <c r="U17315" s="27"/>
    </row>
    <row r="17317">
      <c r="S17317" s="27"/>
      <c r="T17317" s="27"/>
      <c r="U17317" s="27"/>
    </row>
    <row r="17318">
      <c r="S17318" s="27"/>
      <c r="T17318" s="27"/>
      <c r="U17318" s="27"/>
    </row>
    <row r="17320">
      <c r="S17320" s="27"/>
      <c r="T17320" s="27"/>
      <c r="U17320" s="27"/>
    </row>
    <row r="17321">
      <c r="T17321" s="27"/>
      <c r="U17321" s="27"/>
    </row>
    <row r="17323">
      <c r="S17323" s="27"/>
      <c r="T17323" s="27"/>
      <c r="U17323" s="27"/>
    </row>
    <row r="17324">
      <c r="S17324" s="27"/>
      <c r="T17324" s="27"/>
      <c r="U17324" s="26"/>
    </row>
    <row r="17326">
      <c r="S17326" s="27"/>
      <c r="T17326" s="27"/>
      <c r="U17326" s="27"/>
    </row>
    <row r="17327">
      <c r="S17327" s="27"/>
      <c r="T17327" s="27"/>
      <c r="U17327" s="27"/>
    </row>
    <row r="17329">
      <c r="S17329" s="26"/>
      <c r="T17329" s="26"/>
      <c r="U17329" s="26"/>
    </row>
    <row r="17332">
      <c r="S17332" s="27"/>
      <c r="T17332" s="27"/>
      <c r="U17332" s="27"/>
    </row>
    <row r="17333">
      <c r="S17333" s="27"/>
      <c r="T17333" s="27"/>
      <c r="U17333" s="27"/>
    </row>
    <row r="17335">
      <c r="S17335" s="27"/>
      <c r="T17335" s="27"/>
      <c r="U17335" s="27"/>
    </row>
    <row r="17336">
      <c r="T17336" s="27"/>
      <c r="U17336" s="27"/>
    </row>
    <row r="17338">
      <c r="S17338" s="27"/>
      <c r="T17338" s="27"/>
      <c r="U17338" s="27"/>
    </row>
    <row r="17339">
      <c r="S17339" s="27"/>
      <c r="T17339" s="27"/>
      <c r="U17339" s="27"/>
    </row>
    <row r="17341">
      <c r="S17341" s="33"/>
      <c r="T17341" s="33"/>
      <c r="U17341" s="27"/>
    </row>
    <row r="17344">
      <c r="S17344" s="27"/>
      <c r="U17344" s="27"/>
    </row>
    <row r="17345">
      <c r="S17345" s="27"/>
      <c r="U17345" s="27"/>
    </row>
    <row r="17347">
      <c r="S17347" s="27"/>
      <c r="T17347" s="27"/>
      <c r="U17347" s="27"/>
    </row>
    <row r="17350">
      <c r="S17350" s="27"/>
      <c r="T17350" s="27"/>
      <c r="U17350" s="27"/>
    </row>
    <row r="17351">
      <c r="S17351" s="27"/>
      <c r="T17351" s="27"/>
      <c r="U17351" s="33"/>
    </row>
    <row r="17353">
      <c r="S17353" s="27"/>
      <c r="T17353" s="27"/>
      <c r="U17353" s="27"/>
    </row>
    <row r="17354">
      <c r="S17354" s="26"/>
      <c r="T17354" s="26"/>
      <c r="U17354" s="26"/>
    </row>
    <row r="17356">
      <c r="S17356" s="27"/>
      <c r="T17356" s="27"/>
      <c r="U17356" s="27"/>
    </row>
    <row r="17357">
      <c r="S17357" s="27"/>
      <c r="T17357" s="27"/>
      <c r="U17357" s="27"/>
    </row>
    <row r="17359">
      <c r="S17359" s="27"/>
      <c r="T17359" s="27"/>
      <c r="U17359" s="27"/>
    </row>
    <row r="17360">
      <c r="S17360" s="27"/>
      <c r="T17360" s="27"/>
      <c r="U17360" s="27"/>
    </row>
    <row r="17362">
      <c r="S17362" s="27"/>
      <c r="T17362" s="27"/>
      <c r="U17362" s="27"/>
    </row>
    <row r="17363">
      <c r="S17363" s="27"/>
      <c r="T17363" s="27"/>
      <c r="U17363" s="27"/>
    </row>
    <row r="17365">
      <c r="S17365" s="27"/>
      <c r="T17365" s="27"/>
      <c r="U17365" s="27"/>
    </row>
    <row r="17366">
      <c r="S17366" s="27"/>
      <c r="T17366" s="27"/>
      <c r="U17366" s="27"/>
    </row>
    <row r="17368">
      <c r="U17368" s="26"/>
    </row>
    <row r="17371">
      <c r="S17371" s="27"/>
      <c r="T17371" s="27"/>
      <c r="U17371" s="27"/>
    </row>
    <row r="17372">
      <c r="S17372" s="27"/>
      <c r="T17372" s="27"/>
      <c r="U17372" s="27"/>
    </row>
    <row r="17374">
      <c r="S17374" s="27"/>
      <c r="T17374" s="27"/>
      <c r="U17374" s="27"/>
    </row>
    <row r="17375">
      <c r="S17375" s="27"/>
      <c r="T17375" s="27"/>
      <c r="U17375" s="27"/>
    </row>
    <row r="17377">
      <c r="T17377" s="27"/>
      <c r="U17377" s="27"/>
    </row>
    <row r="17378">
      <c r="U17378" s="26"/>
    </row>
    <row r="17380">
      <c r="S17380" s="27"/>
      <c r="T17380" s="26"/>
      <c r="U17380" s="26"/>
    </row>
    <row r="17383">
      <c r="S17383" s="27"/>
      <c r="T17383" s="27"/>
      <c r="U17383" s="27"/>
    </row>
    <row r="17384">
      <c r="S17384" s="27"/>
      <c r="T17384" s="27"/>
      <c r="U17384" s="27"/>
    </row>
    <row r="17386">
      <c r="S17386" s="27"/>
      <c r="T17386" s="27"/>
      <c r="U17386" s="27"/>
    </row>
    <row r="17387">
      <c r="S17387" s="27"/>
      <c r="T17387" s="27"/>
      <c r="U17387" s="27"/>
    </row>
    <row r="17389">
      <c r="S17389" s="27"/>
      <c r="U17389" s="27"/>
    </row>
    <row r="17390">
      <c r="S17390" s="26"/>
      <c r="T17390" s="26"/>
      <c r="U17390" s="26"/>
    </row>
    <row r="17392">
      <c r="S17392" s="27"/>
      <c r="T17392" s="27"/>
      <c r="U17392" s="27"/>
    </row>
    <row r="17393">
      <c r="S17393" s="27"/>
      <c r="T17393" s="27"/>
      <c r="U17393" s="27"/>
    </row>
    <row r="17395">
      <c r="S17395" s="26"/>
      <c r="T17395" s="26"/>
      <c r="U17395" s="26"/>
    </row>
    <row r="17398">
      <c r="S17398" s="27"/>
      <c r="T17398" s="27"/>
      <c r="U17398" s="27"/>
    </row>
    <row r="17401">
      <c r="S17401" s="27"/>
      <c r="T17401" s="27"/>
      <c r="U17401" s="27"/>
    </row>
    <row r="17402">
      <c r="S17402" s="27"/>
      <c r="T17402" s="27"/>
      <c r="U17402" s="27"/>
    </row>
    <row r="17404">
      <c r="S17404" s="27"/>
      <c r="T17404" s="27"/>
      <c r="U17404" s="27"/>
    </row>
    <row r="17405">
      <c r="S17405" s="27"/>
      <c r="T17405" s="27"/>
      <c r="U17405" s="27"/>
    </row>
    <row r="17407">
      <c r="S17407" s="27"/>
      <c r="T17407" s="27"/>
      <c r="U17407" s="27"/>
    </row>
    <row r="17408">
      <c r="S17408" s="27"/>
      <c r="T17408" s="27"/>
      <c r="U17408" s="27"/>
    </row>
    <row r="17410">
      <c r="S17410" s="27"/>
    </row>
    <row r="17411">
      <c r="T17411" s="26"/>
      <c r="U17411" s="26"/>
    </row>
    <row r="17413">
      <c r="S17413" s="27"/>
      <c r="T17413" s="27"/>
      <c r="U17413" s="27"/>
    </row>
    <row r="17414">
      <c r="S17414" s="27"/>
      <c r="T17414" s="27"/>
      <c r="U17414" s="27"/>
    </row>
    <row r="17416">
      <c r="S17416" s="27"/>
      <c r="T17416" s="27"/>
      <c r="U17416" s="27"/>
    </row>
    <row r="17417">
      <c r="S17417" s="27"/>
      <c r="T17417" s="27"/>
      <c r="U17417" s="27"/>
    </row>
    <row r="17419">
      <c r="S17419" s="27"/>
      <c r="T17419" s="27"/>
      <c r="U17419" s="27"/>
    </row>
    <row r="17422">
      <c r="S17422" s="27"/>
      <c r="T17422" s="27"/>
      <c r="U17422" s="27"/>
    </row>
    <row r="17423">
      <c r="S17423" s="27"/>
      <c r="T17423" s="27"/>
      <c r="U17423" s="27"/>
    </row>
    <row r="17425">
      <c r="S17425" s="27"/>
      <c r="T17425" s="27"/>
      <c r="U17425" s="27"/>
    </row>
    <row r="17426">
      <c r="S17426" s="27"/>
      <c r="T17426" s="27"/>
      <c r="U17426" s="27"/>
    </row>
    <row r="17428">
      <c r="S17428" s="27"/>
      <c r="T17428" s="27"/>
      <c r="U17428" s="27"/>
    </row>
    <row r="17429">
      <c r="S17429" s="27"/>
      <c r="T17429" s="27"/>
      <c r="U17429" s="27"/>
    </row>
    <row r="17431">
      <c r="S17431" s="27"/>
      <c r="T17431" s="27"/>
      <c r="U17431" s="27"/>
    </row>
    <row r="17432">
      <c r="S17432" s="27"/>
      <c r="T17432" s="27"/>
      <c r="U17432" s="27"/>
    </row>
    <row r="17434">
      <c r="S17434" s="27"/>
      <c r="T17434" s="27"/>
      <c r="U17434" s="27"/>
    </row>
    <row r="17435">
      <c r="S17435" s="27"/>
      <c r="T17435" s="27"/>
      <c r="U17435" s="27"/>
    </row>
    <row r="17437">
      <c r="S17437" s="27"/>
      <c r="T17437" s="27"/>
      <c r="U17437" s="27"/>
    </row>
    <row r="17438">
      <c r="S17438" s="27"/>
      <c r="T17438" s="27"/>
      <c r="U17438" s="27"/>
    </row>
    <row r="17440">
      <c r="S17440" s="27"/>
      <c r="T17440" s="27"/>
      <c r="U17440" s="27"/>
    </row>
    <row r="17441">
      <c r="S17441" s="27"/>
      <c r="T17441" s="27"/>
      <c r="U17441" s="27"/>
    </row>
    <row r="17443">
      <c r="S17443" s="27"/>
      <c r="T17443" s="27"/>
      <c r="U17443" s="27"/>
    </row>
    <row r="17444">
      <c r="S17444" s="27"/>
      <c r="T17444" s="27"/>
      <c r="U17444" s="27"/>
    </row>
    <row r="17446">
      <c r="S17446" s="27"/>
      <c r="T17446" s="27"/>
      <c r="U17446" s="27"/>
    </row>
    <row r="17447">
      <c r="S17447" s="27"/>
      <c r="T17447" s="27"/>
      <c r="U17447" s="27"/>
    </row>
    <row r="17449">
      <c r="S17449" s="27"/>
      <c r="T17449" s="27"/>
      <c r="U17449" s="27"/>
    </row>
    <row r="17450">
      <c r="S17450" s="27"/>
      <c r="T17450" s="27"/>
      <c r="U17450" s="27"/>
    </row>
    <row r="17452">
      <c r="S17452" s="27"/>
      <c r="T17452" s="27"/>
      <c r="U17452" s="27"/>
    </row>
    <row r="17453">
      <c r="S17453" s="27"/>
      <c r="T17453" s="27"/>
      <c r="U17453" s="27"/>
    </row>
    <row r="17455">
      <c r="S17455" s="27"/>
      <c r="T17455" s="27"/>
      <c r="U17455" s="27"/>
    </row>
    <row r="17456">
      <c r="S17456" s="27"/>
      <c r="T17456" s="27"/>
      <c r="U17456" s="27"/>
    </row>
    <row r="17458">
      <c r="S17458" s="27"/>
      <c r="T17458" s="27"/>
      <c r="U17458" s="27"/>
    </row>
    <row r="17459">
      <c r="S17459" s="27"/>
      <c r="T17459" s="27"/>
      <c r="U17459" s="27"/>
    </row>
    <row r="17461">
      <c r="S17461" s="27"/>
      <c r="T17461" s="27"/>
      <c r="U17461" s="27"/>
    </row>
    <row r="17462">
      <c r="S17462" s="27"/>
      <c r="T17462" s="27"/>
      <c r="U17462" s="27"/>
    </row>
    <row r="17464">
      <c r="S17464" s="27"/>
      <c r="T17464" s="27"/>
      <c r="U17464" s="27"/>
    </row>
    <row r="17465">
      <c r="S17465" s="27"/>
      <c r="T17465" s="27"/>
      <c r="U17465" s="27"/>
    </row>
    <row r="17467">
      <c r="S17467" s="27"/>
      <c r="T17467" s="27"/>
      <c r="U17467" s="27"/>
    </row>
    <row r="17468">
      <c r="S17468" s="27"/>
      <c r="T17468" s="27"/>
      <c r="U17468" s="27"/>
    </row>
    <row r="17470">
      <c r="S17470" s="27"/>
      <c r="T17470" s="27"/>
      <c r="U17470" s="27"/>
    </row>
    <row r="17471">
      <c r="S17471" s="27"/>
      <c r="T17471" s="27"/>
      <c r="U17471" s="27"/>
    </row>
    <row r="17473">
      <c r="S17473" s="27"/>
      <c r="T17473" s="27"/>
      <c r="U17473" s="27"/>
    </row>
    <row r="17474">
      <c r="S17474" s="27"/>
      <c r="T17474" s="27"/>
      <c r="U17474" s="27"/>
    </row>
    <row r="17476">
      <c r="S17476" s="27"/>
      <c r="T17476" s="27"/>
      <c r="U17476" s="27"/>
    </row>
    <row r="17477">
      <c r="S17477" s="27"/>
      <c r="T17477" s="27"/>
      <c r="U17477" s="27"/>
    </row>
    <row r="17479">
      <c r="S17479" s="27"/>
      <c r="T17479" s="27"/>
      <c r="U17479" s="27"/>
    </row>
    <row r="17480">
      <c r="S17480" s="27"/>
      <c r="T17480" s="27"/>
      <c r="U17480" s="27"/>
    </row>
    <row r="17482">
      <c r="S17482" s="27"/>
      <c r="T17482" s="27"/>
      <c r="U17482" s="27"/>
    </row>
    <row r="17483">
      <c r="S17483" s="27"/>
      <c r="T17483" s="27"/>
      <c r="U17483" s="27"/>
    </row>
    <row r="17485">
      <c r="S17485" s="27"/>
      <c r="T17485" s="27"/>
      <c r="U17485" s="27"/>
    </row>
    <row r="17486">
      <c r="S17486" s="27"/>
      <c r="T17486" s="27"/>
      <c r="U17486" s="27"/>
    </row>
    <row r="17488">
      <c r="S17488" s="27"/>
      <c r="T17488" s="27"/>
      <c r="U17488" s="27"/>
    </row>
    <row r="17489">
      <c r="S17489" s="27"/>
      <c r="T17489" s="27"/>
      <c r="U17489" s="27"/>
    </row>
    <row r="17491">
      <c r="S17491" s="27"/>
      <c r="T17491" s="27"/>
      <c r="U17491" s="27"/>
    </row>
    <row r="17492">
      <c r="S17492" s="27"/>
      <c r="T17492" s="27"/>
      <c r="U17492" s="27"/>
    </row>
    <row r="17494">
      <c r="S17494" s="27"/>
      <c r="T17494" s="27"/>
      <c r="U17494" s="27"/>
    </row>
    <row r="17495">
      <c r="S17495" s="27"/>
      <c r="T17495" s="27"/>
      <c r="U17495" s="27"/>
    </row>
    <row r="17497">
      <c r="S17497" s="27"/>
      <c r="T17497" s="27"/>
      <c r="U17497" s="27"/>
    </row>
    <row r="17498">
      <c r="S17498" s="27"/>
      <c r="T17498" s="27"/>
      <c r="U17498" s="27"/>
    </row>
    <row r="17500">
      <c r="S17500" s="27"/>
      <c r="T17500" s="27"/>
      <c r="U17500" s="27"/>
    </row>
    <row r="17501">
      <c r="S17501" s="27"/>
      <c r="T17501" s="27"/>
      <c r="U17501" s="27"/>
    </row>
    <row r="17503">
      <c r="S17503" s="27"/>
      <c r="T17503" s="27"/>
      <c r="U17503" s="27"/>
    </row>
    <row r="17504">
      <c r="S17504" s="27"/>
      <c r="T17504" s="27"/>
      <c r="U17504" s="27"/>
    </row>
    <row r="17506">
      <c r="S17506" s="27"/>
      <c r="T17506" s="27"/>
      <c r="U17506" s="27"/>
    </row>
    <row r="17507">
      <c r="S17507" s="27"/>
      <c r="T17507" s="27"/>
      <c r="U17507" s="27"/>
    </row>
    <row r="17509">
      <c r="S17509" s="27"/>
      <c r="T17509" s="27"/>
      <c r="U17509" s="27"/>
    </row>
    <row r="17511">
      <c r="S17511" s="27"/>
      <c r="T17511" s="27"/>
      <c r="U17511" s="27"/>
    </row>
    <row r="17512">
      <c r="S17512" s="27"/>
      <c r="T17512" s="27"/>
      <c r="U17512" s="27"/>
    </row>
    <row r="17514">
      <c r="S17514" s="27"/>
      <c r="T17514" s="27"/>
      <c r="U17514" s="27"/>
    </row>
    <row r="17515">
      <c r="S17515" s="27"/>
      <c r="T17515" s="27"/>
      <c r="U17515" s="27"/>
    </row>
    <row r="17517">
      <c r="S17517" s="27"/>
      <c r="T17517" s="27"/>
      <c r="U17517" s="27"/>
    </row>
    <row r="17518">
      <c r="S17518" s="27"/>
      <c r="T17518" s="27"/>
      <c r="U17518" s="27"/>
    </row>
    <row r="17520">
      <c r="S17520" s="27"/>
      <c r="T17520" s="27"/>
      <c r="U17520" s="27"/>
    </row>
    <row r="17521">
      <c r="S17521" s="27"/>
      <c r="T17521" s="27"/>
      <c r="U17521" s="27"/>
    </row>
    <row r="17523">
      <c r="S17523" s="27"/>
      <c r="T17523" s="27"/>
      <c r="U17523" s="27"/>
    </row>
    <row r="17524">
      <c r="S17524" s="27"/>
      <c r="T17524" s="27"/>
      <c r="U17524" s="27"/>
    </row>
    <row r="17526">
      <c r="S17526" s="27"/>
      <c r="T17526" s="27"/>
      <c r="U17526" s="27"/>
    </row>
    <row r="17527">
      <c r="S17527" s="27"/>
      <c r="T17527" s="27"/>
      <c r="U17527" s="27"/>
    </row>
    <row r="17529">
      <c r="S17529" s="27"/>
      <c r="T17529" s="27"/>
      <c r="U17529" s="27"/>
    </row>
    <row r="17530">
      <c r="S17530" s="27"/>
      <c r="T17530" s="27"/>
      <c r="U17530" s="27"/>
    </row>
    <row r="17532">
      <c r="S17532" s="27"/>
      <c r="T17532" s="27"/>
      <c r="U17532" s="27"/>
    </row>
    <row r="17534">
      <c r="S17534" s="27"/>
      <c r="T17534" s="27"/>
      <c r="U17534" s="27"/>
    </row>
    <row r="17536">
      <c r="S17536" s="27"/>
      <c r="T17536" s="27"/>
      <c r="U17536" s="27"/>
    </row>
    <row r="17538">
      <c r="S17538" s="27"/>
      <c r="T17538" s="27"/>
      <c r="U17538" s="27"/>
    </row>
    <row r="17540">
      <c r="S17540" s="27"/>
      <c r="T17540" s="27"/>
      <c r="U17540" s="27"/>
    </row>
    <row r="17541">
      <c r="S17541" s="27"/>
      <c r="T17541" s="27"/>
      <c r="U17541" s="27"/>
    </row>
    <row r="17543">
      <c r="S17543" s="27"/>
      <c r="T17543" s="27"/>
      <c r="U17543" s="27"/>
    </row>
    <row r="17544">
      <c r="S17544" s="27"/>
      <c r="T17544" s="27"/>
      <c r="U17544" s="27"/>
    </row>
    <row r="17546">
      <c r="S17546" s="27"/>
      <c r="T17546" s="27"/>
      <c r="U17546" s="27"/>
    </row>
    <row r="17547">
      <c r="U17547" s="27"/>
    </row>
    <row r="17549">
      <c r="S17549" s="27"/>
      <c r="T17549" s="27"/>
      <c r="U17549" s="27"/>
    </row>
    <row r="17550">
      <c r="S17550" s="27"/>
      <c r="T17550" s="27"/>
      <c r="U17550" s="27"/>
    </row>
    <row r="17552">
      <c r="S17552" s="27"/>
      <c r="T17552" s="27"/>
      <c r="U17552" s="27"/>
    </row>
    <row r="17553">
      <c r="S17553" s="27"/>
      <c r="T17553" s="27"/>
      <c r="U17553" s="27"/>
    </row>
    <row r="17556">
      <c r="S17556" s="27"/>
      <c r="T17556" s="27"/>
      <c r="U17556" s="27"/>
    </row>
    <row r="17557">
      <c r="S17557" s="27"/>
      <c r="T17557" s="27"/>
      <c r="U17557" s="27"/>
    </row>
    <row r="17558">
      <c r="S17558" s="27"/>
      <c r="T17558" s="27"/>
      <c r="U17558" s="27"/>
    </row>
    <row r="17559">
      <c r="S17559" s="27"/>
      <c r="T17559" s="27"/>
      <c r="U17559" s="27"/>
    </row>
    <row r="17560">
      <c r="S17560" s="27"/>
      <c r="T17560" s="27"/>
      <c r="U17560" s="27"/>
    </row>
    <row r="17561">
      <c r="S17561" s="27"/>
      <c r="T17561" s="27"/>
      <c r="U17561" s="27"/>
    </row>
    <row r="17562">
      <c r="S17562" s="27"/>
      <c r="T17562" s="27"/>
      <c r="U17562" s="27"/>
    </row>
    <row r="17563">
      <c r="S17563" s="27"/>
      <c r="T17563" s="27"/>
      <c r="U17563" s="27"/>
    </row>
    <row r="17564">
      <c r="S17564" s="27"/>
      <c r="T17564" s="27"/>
      <c r="U17564" s="27"/>
    </row>
    <row r="17565">
      <c r="S17565" s="27"/>
      <c r="T17565" s="27"/>
      <c r="U17565" s="27"/>
    </row>
    <row r="17566">
      <c r="S17566" s="27"/>
      <c r="T17566" s="27"/>
      <c r="U17566" s="27"/>
    </row>
    <row r="17567">
      <c r="S17567" s="27"/>
      <c r="T17567" s="27"/>
      <c r="U17567" s="27"/>
    </row>
    <row r="17568">
      <c r="S17568" s="27"/>
      <c r="T17568" s="27"/>
      <c r="U17568" s="27"/>
    </row>
    <row r="17569">
      <c r="S17569" s="27"/>
      <c r="T17569" s="27"/>
      <c r="U17569" s="27"/>
    </row>
    <row r="17570">
      <c r="S17570" s="27"/>
      <c r="T17570" s="27"/>
      <c r="U17570" s="27"/>
    </row>
    <row r="17571">
      <c r="S17571" s="27"/>
      <c r="T17571" s="27"/>
      <c r="U17571" s="27"/>
    </row>
    <row r="17572">
      <c r="S17572" s="27"/>
      <c r="T17572" s="27"/>
      <c r="U17572" s="27"/>
    </row>
    <row r="17573">
      <c r="S17573" s="27"/>
      <c r="T17573" s="27"/>
      <c r="U17573" s="27"/>
    </row>
    <row r="17574">
      <c r="S17574" s="27"/>
      <c r="T17574" s="27"/>
      <c r="U17574" s="27"/>
    </row>
    <row r="17575">
      <c r="S17575" s="27"/>
      <c r="T17575" s="27"/>
      <c r="U17575" s="27"/>
    </row>
    <row r="17576">
      <c r="S17576" s="27"/>
      <c r="T17576" s="27"/>
      <c r="U17576" s="27"/>
    </row>
    <row r="17577">
      <c r="S17577" s="27"/>
      <c r="T17577" s="27"/>
      <c r="U17577" s="27"/>
    </row>
    <row r="17578">
      <c r="S17578" s="27"/>
      <c r="T17578" s="27"/>
      <c r="U17578" s="27"/>
    </row>
    <row r="17579">
      <c r="S17579" s="27"/>
      <c r="T17579" s="27"/>
      <c r="U17579" s="27"/>
    </row>
    <row r="17580">
      <c r="S17580" s="27"/>
      <c r="T17580" s="27"/>
      <c r="U17580" s="27"/>
    </row>
    <row r="17581">
      <c r="S17581" s="27"/>
      <c r="T17581" s="27"/>
      <c r="U17581" s="27"/>
    </row>
    <row r="17582">
      <c r="S17582" s="27"/>
      <c r="T17582" s="27"/>
      <c r="U17582" s="27"/>
    </row>
    <row r="17583">
      <c r="S17583" s="27"/>
      <c r="T17583" s="27"/>
      <c r="U17583" s="27"/>
    </row>
    <row r="17584">
      <c r="S17584" s="27"/>
      <c r="T17584" s="27"/>
      <c r="U17584" s="27"/>
    </row>
    <row r="17585">
      <c r="S17585" s="27"/>
      <c r="T17585" s="27"/>
      <c r="U17585" s="27"/>
    </row>
    <row r="17586">
      <c r="S17586" s="27"/>
      <c r="T17586" s="27"/>
      <c r="U17586" s="27"/>
    </row>
    <row r="17587">
      <c r="S17587" s="27"/>
      <c r="T17587" s="27"/>
      <c r="U17587" s="27"/>
    </row>
    <row r="17588">
      <c r="S17588" s="27"/>
      <c r="T17588" s="27"/>
      <c r="U17588" s="27"/>
    </row>
    <row r="17589">
      <c r="S17589" s="27"/>
      <c r="T17589" s="27"/>
      <c r="U17589" s="27"/>
    </row>
    <row r="17590">
      <c r="S17590" s="27"/>
      <c r="T17590" s="27"/>
      <c r="U17590" s="27"/>
    </row>
    <row r="17591">
      <c r="S17591" s="27"/>
      <c r="T17591" s="27"/>
      <c r="U17591" s="27"/>
    </row>
    <row r="17592">
      <c r="S17592" s="27"/>
      <c r="T17592" s="27"/>
      <c r="U17592" s="27"/>
    </row>
    <row r="17593">
      <c r="S17593" s="27"/>
      <c r="T17593" s="27"/>
      <c r="U17593" s="27"/>
    </row>
    <row r="17594">
      <c r="S17594" s="27"/>
      <c r="T17594" s="27"/>
      <c r="U17594" s="27"/>
    </row>
    <row r="17595">
      <c r="S17595" s="27"/>
      <c r="T17595" s="27"/>
      <c r="U17595" s="27"/>
    </row>
    <row r="17596">
      <c r="S17596" s="27"/>
      <c r="T17596" s="27"/>
      <c r="U17596" s="27"/>
    </row>
    <row r="17597">
      <c r="S17597" s="27"/>
      <c r="T17597" s="27"/>
      <c r="U17597" s="27"/>
    </row>
    <row r="17598">
      <c r="S17598" s="27"/>
      <c r="T17598" s="27"/>
      <c r="U17598" s="27"/>
    </row>
    <row r="17599">
      <c r="S17599" s="27"/>
      <c r="T17599" s="27"/>
      <c r="U17599" s="27"/>
    </row>
    <row r="17600">
      <c r="S17600" s="27"/>
      <c r="T17600" s="27"/>
      <c r="U17600" s="27"/>
    </row>
    <row r="17601">
      <c r="S17601" s="27"/>
      <c r="T17601" s="27"/>
      <c r="U17601" s="27"/>
    </row>
    <row r="17602">
      <c r="S17602" s="27"/>
      <c r="T17602" s="27"/>
      <c r="U17602" s="27"/>
    </row>
    <row r="17603">
      <c r="S17603" s="27"/>
      <c r="T17603" s="27"/>
      <c r="U17603" s="27"/>
    </row>
    <row r="17604">
      <c r="S17604" s="27"/>
      <c r="T17604" s="27"/>
      <c r="U17604" s="27"/>
    </row>
    <row r="17605">
      <c r="S17605" s="27"/>
      <c r="T17605" s="27"/>
      <c r="U17605" s="27"/>
    </row>
    <row r="17606">
      <c r="S17606" s="27"/>
      <c r="T17606" s="27"/>
      <c r="U17606" s="27"/>
    </row>
    <row r="17607">
      <c r="S17607" s="27"/>
      <c r="T17607" s="27"/>
      <c r="U17607" s="27"/>
    </row>
    <row r="17608">
      <c r="S17608" s="27"/>
      <c r="T17608" s="27"/>
      <c r="U17608" s="27"/>
    </row>
    <row r="17609">
      <c r="S17609" s="27"/>
      <c r="T17609" s="27"/>
      <c r="U17609" s="27"/>
    </row>
    <row r="17610">
      <c r="S17610" s="27"/>
      <c r="T17610" s="27"/>
      <c r="U17610" s="27"/>
    </row>
    <row r="17611">
      <c r="S17611" s="27"/>
      <c r="T17611" s="27"/>
      <c r="U17611" s="27"/>
    </row>
    <row r="17612">
      <c r="S17612" s="27"/>
      <c r="T17612" s="27"/>
      <c r="U17612" s="27"/>
    </row>
    <row r="17613">
      <c r="S17613" s="27"/>
      <c r="T17613" s="27"/>
      <c r="U17613" s="27"/>
    </row>
    <row r="17614">
      <c r="S17614" s="27"/>
      <c r="T17614" s="27"/>
      <c r="U17614" s="27"/>
    </row>
    <row r="17615">
      <c r="S17615" s="27"/>
      <c r="T17615" s="27"/>
      <c r="U17615" s="27"/>
    </row>
    <row r="17616">
      <c r="S17616" s="27"/>
      <c r="T17616" s="27"/>
      <c r="U17616" s="27"/>
    </row>
    <row r="17617">
      <c r="S17617" s="27"/>
      <c r="T17617" s="27"/>
      <c r="U17617" s="27"/>
    </row>
    <row r="17618">
      <c r="S17618" s="27"/>
      <c r="T17618" s="27"/>
      <c r="U17618" s="27"/>
    </row>
    <row r="17619">
      <c r="S17619" s="27"/>
      <c r="T17619" s="27"/>
      <c r="U17619" s="27"/>
    </row>
    <row r="17620">
      <c r="S17620" s="27"/>
      <c r="T17620" s="27"/>
      <c r="U17620" s="27"/>
    </row>
    <row r="17621">
      <c r="S17621" s="27"/>
      <c r="T17621" s="27"/>
      <c r="U17621" s="27"/>
    </row>
    <row r="17622">
      <c r="S17622" s="27"/>
      <c r="T17622" s="27"/>
      <c r="U17622" s="27"/>
    </row>
    <row r="17623">
      <c r="S17623" s="27"/>
      <c r="T17623" s="27"/>
      <c r="U17623" s="27"/>
    </row>
    <row r="17624">
      <c r="S17624" s="27"/>
      <c r="T17624" s="27"/>
      <c r="U17624" s="27"/>
    </row>
    <row r="17625">
      <c r="S17625" s="27"/>
      <c r="T17625" s="27"/>
      <c r="U17625" s="27"/>
    </row>
    <row r="17626">
      <c r="S17626" s="27"/>
      <c r="T17626" s="27"/>
      <c r="U17626" s="27"/>
    </row>
    <row r="17627">
      <c r="S17627" s="27"/>
      <c r="T17627" s="27"/>
      <c r="U17627" s="27"/>
    </row>
    <row r="17628">
      <c r="S17628" s="27"/>
      <c r="T17628" s="27"/>
      <c r="U17628" s="27"/>
    </row>
    <row r="17629">
      <c r="S17629" s="27"/>
      <c r="T17629" s="27"/>
      <c r="U17629" s="27"/>
    </row>
    <row r="17630">
      <c r="S17630" s="27"/>
      <c r="T17630" s="27"/>
      <c r="U17630" s="27"/>
    </row>
    <row r="17631">
      <c r="S17631" s="27"/>
      <c r="T17631" s="27"/>
      <c r="U17631" s="27"/>
    </row>
    <row r="17632">
      <c r="S17632" s="27"/>
      <c r="T17632" s="27"/>
      <c r="U17632" s="27"/>
    </row>
    <row r="17633">
      <c r="S17633" s="27"/>
      <c r="T17633" s="27"/>
      <c r="U17633" s="27"/>
    </row>
    <row r="17634">
      <c r="S17634" s="27"/>
      <c r="T17634" s="27"/>
      <c r="U17634" s="27"/>
    </row>
    <row r="17635">
      <c r="S17635" s="27"/>
      <c r="T17635" s="27"/>
      <c r="U17635" s="27"/>
    </row>
    <row r="17636">
      <c r="S17636" s="27"/>
      <c r="T17636" s="27"/>
      <c r="U17636" s="27"/>
    </row>
    <row r="17637">
      <c r="S17637" s="27"/>
      <c r="T17637" s="27"/>
      <c r="U17637" s="27"/>
    </row>
    <row r="17638">
      <c r="S17638" s="27"/>
      <c r="T17638" s="27"/>
      <c r="U17638" s="27"/>
    </row>
    <row r="17639">
      <c r="S17639" s="27"/>
      <c r="T17639" s="27"/>
      <c r="U17639" s="27"/>
    </row>
    <row r="17640">
      <c r="S17640" s="27"/>
      <c r="T17640" s="27"/>
      <c r="U17640" s="27"/>
    </row>
    <row r="17641">
      <c r="S17641" s="27"/>
      <c r="T17641" s="27"/>
      <c r="U17641" s="27"/>
    </row>
    <row r="17642">
      <c r="S17642" s="27"/>
      <c r="T17642" s="27"/>
      <c r="U17642" s="27"/>
    </row>
    <row r="17643">
      <c r="S17643" s="27"/>
      <c r="T17643" s="27"/>
      <c r="U17643" s="27"/>
    </row>
    <row r="17644">
      <c r="S17644" s="27"/>
      <c r="T17644" s="27"/>
      <c r="U17644" s="27"/>
    </row>
    <row r="17645">
      <c r="S17645" s="27"/>
      <c r="T17645" s="27"/>
      <c r="U17645" s="27"/>
    </row>
    <row r="17646">
      <c r="S17646" s="27"/>
      <c r="T17646" s="27"/>
      <c r="U17646" s="27"/>
    </row>
    <row r="17647">
      <c r="S17647" s="27"/>
      <c r="T17647" s="27"/>
      <c r="U17647" s="27"/>
    </row>
    <row r="17648">
      <c r="S17648" s="27"/>
      <c r="T17648" s="27"/>
      <c r="U17648" s="27"/>
    </row>
    <row r="17649">
      <c r="S17649" s="27"/>
      <c r="T17649" s="27"/>
      <c r="U17649" s="27"/>
    </row>
    <row r="17650">
      <c r="S17650" s="27"/>
      <c r="T17650" s="27"/>
      <c r="U17650" s="27"/>
    </row>
    <row r="17651">
      <c r="S17651" s="27"/>
      <c r="T17651" s="27"/>
      <c r="U17651" s="27"/>
    </row>
    <row r="17652">
      <c r="S17652" s="27"/>
      <c r="T17652" s="27"/>
      <c r="U17652" s="27"/>
    </row>
    <row r="17653">
      <c r="S17653" s="27"/>
      <c r="T17653" s="27"/>
      <c r="U17653" s="27"/>
    </row>
    <row r="17654">
      <c r="S17654" s="27"/>
      <c r="T17654" s="27"/>
      <c r="U17654" s="27"/>
    </row>
    <row r="17655">
      <c r="S17655" s="27"/>
      <c r="T17655" s="27"/>
      <c r="U17655" s="27"/>
    </row>
    <row r="17656">
      <c r="S17656" s="27"/>
      <c r="T17656" s="27"/>
      <c r="U17656" s="27"/>
    </row>
    <row r="17657">
      <c r="S17657" s="27"/>
      <c r="T17657" s="27"/>
      <c r="U17657" s="27"/>
    </row>
    <row r="17658">
      <c r="S17658" s="27"/>
      <c r="T17658" s="27"/>
      <c r="U17658" s="27"/>
    </row>
    <row r="17659">
      <c r="S17659" s="27"/>
      <c r="T17659" s="27"/>
      <c r="U17659" s="27"/>
    </row>
    <row r="17660">
      <c r="S17660" s="27"/>
      <c r="T17660" s="27"/>
      <c r="U17660" s="27"/>
    </row>
    <row r="17661">
      <c r="S17661" s="27"/>
      <c r="T17661" s="27"/>
      <c r="U17661" s="27"/>
    </row>
    <row r="17662">
      <c r="S17662" s="27"/>
      <c r="T17662" s="27"/>
      <c r="U17662" s="27"/>
    </row>
    <row r="17663">
      <c r="S17663" s="26"/>
      <c r="T17663" s="27"/>
      <c r="U17663" s="27"/>
    </row>
    <row r="17664">
      <c r="S17664" s="27"/>
      <c r="T17664" s="27"/>
      <c r="U17664" s="27"/>
    </row>
    <row r="17665">
      <c r="S17665" s="27"/>
      <c r="T17665" s="27"/>
      <c r="U17665" s="27"/>
    </row>
    <row r="17666">
      <c r="S17666" s="27"/>
      <c r="T17666" s="27"/>
      <c r="U17666" s="27"/>
    </row>
    <row r="17667">
      <c r="S17667" s="27"/>
      <c r="T17667" s="27"/>
      <c r="U17667" s="27"/>
    </row>
    <row r="17668">
      <c r="S17668" s="27"/>
      <c r="T17668" s="27"/>
      <c r="U17668" s="27"/>
    </row>
    <row r="17669">
      <c r="S17669" s="27"/>
      <c r="T17669" s="27"/>
      <c r="U17669" s="27"/>
    </row>
    <row r="17670">
      <c r="S17670" s="27"/>
      <c r="T17670" s="27"/>
      <c r="U17670" s="27"/>
    </row>
    <row r="17671">
      <c r="S17671" s="27"/>
      <c r="T17671" s="27"/>
      <c r="U17671" s="27"/>
    </row>
    <row r="17672">
      <c r="S17672" s="27"/>
      <c r="T17672" s="27"/>
      <c r="U17672" s="27"/>
    </row>
    <row r="17673">
      <c r="S17673" s="27"/>
      <c r="T17673" s="27"/>
      <c r="U17673" s="27"/>
    </row>
    <row r="17674">
      <c r="S17674" s="27"/>
      <c r="T17674" s="27"/>
      <c r="U17674" s="27"/>
    </row>
    <row r="17675">
      <c r="S17675" s="27"/>
      <c r="T17675" s="27"/>
      <c r="U17675" s="27"/>
    </row>
    <row r="17676">
      <c r="S17676" s="27"/>
      <c r="T17676" s="27"/>
      <c r="U17676" s="27"/>
    </row>
    <row r="17677">
      <c r="S17677" s="27"/>
      <c r="T17677" s="27"/>
      <c r="U17677" s="27"/>
    </row>
    <row r="17678">
      <c r="S17678" s="27"/>
      <c r="T17678" s="27"/>
      <c r="U17678" s="27"/>
    </row>
    <row r="17679">
      <c r="S17679" s="27"/>
      <c r="T17679" s="27"/>
      <c r="U17679" s="27"/>
    </row>
    <row r="17680">
      <c r="S17680" s="27"/>
      <c r="T17680" s="27"/>
      <c r="U17680" s="27"/>
    </row>
    <row r="17681">
      <c r="S17681" s="27"/>
      <c r="T17681" s="27"/>
      <c r="U17681" s="27"/>
    </row>
    <row r="17682">
      <c r="S17682" s="27"/>
      <c r="T17682" s="27"/>
      <c r="U17682" s="27"/>
    </row>
    <row r="17683">
      <c r="S17683" s="27"/>
      <c r="T17683" s="27"/>
      <c r="U17683" s="27"/>
    </row>
    <row r="17684">
      <c r="S17684" s="27"/>
      <c r="T17684" s="27"/>
      <c r="U17684" s="27"/>
    </row>
    <row r="17685">
      <c r="S17685" s="27"/>
      <c r="T17685" s="27"/>
      <c r="U17685" s="27"/>
    </row>
    <row r="17686">
      <c r="S17686" s="27"/>
      <c r="T17686" s="27"/>
      <c r="U17686" s="27"/>
    </row>
    <row r="17687">
      <c r="S17687" s="27"/>
      <c r="T17687" s="27"/>
      <c r="U17687" s="27"/>
    </row>
    <row r="17688">
      <c r="S17688" s="27"/>
      <c r="T17688" s="27"/>
      <c r="U17688" s="27"/>
    </row>
    <row r="17689">
      <c r="S17689" s="27"/>
      <c r="T17689" s="27"/>
      <c r="U17689" s="27"/>
    </row>
    <row r="17690">
      <c r="S17690" s="27"/>
      <c r="T17690" s="27"/>
      <c r="U17690" s="27"/>
    </row>
    <row r="17691">
      <c r="S17691" s="27"/>
      <c r="T17691" s="27"/>
      <c r="U17691" s="27"/>
    </row>
    <row r="17692">
      <c r="S17692" s="27"/>
      <c r="T17692" s="27"/>
      <c r="U17692" s="27"/>
    </row>
    <row r="17693">
      <c r="S17693" s="27"/>
      <c r="T17693" s="27"/>
      <c r="U17693" s="27"/>
    </row>
    <row r="17694">
      <c r="S17694" s="27"/>
      <c r="T17694" s="27"/>
      <c r="U17694" s="27"/>
    </row>
    <row r="17695">
      <c r="S17695" s="27"/>
      <c r="T17695" s="27"/>
      <c r="U17695" s="27"/>
    </row>
    <row r="17696">
      <c r="S17696" s="27"/>
      <c r="T17696" s="27"/>
      <c r="U17696" s="27"/>
    </row>
    <row r="17697">
      <c r="S17697" s="27"/>
      <c r="T17697" s="27"/>
      <c r="U17697" s="27"/>
    </row>
    <row r="17698">
      <c r="S17698" s="27"/>
      <c r="T17698" s="27"/>
      <c r="U17698" s="27"/>
    </row>
    <row r="17699">
      <c r="S17699" s="27"/>
      <c r="T17699" s="27"/>
      <c r="U17699" s="27"/>
    </row>
    <row r="17700">
      <c r="S17700" s="27"/>
      <c r="T17700" s="27"/>
      <c r="U17700" s="27"/>
    </row>
    <row r="17701">
      <c r="S17701" s="27"/>
      <c r="T17701" s="27"/>
      <c r="U17701" s="27"/>
    </row>
    <row r="17702">
      <c r="S17702" s="27"/>
      <c r="T17702" s="27"/>
      <c r="U17702" s="27"/>
    </row>
    <row r="17703">
      <c r="S17703" s="27"/>
      <c r="T17703" s="27"/>
    </row>
    <row r="17704">
      <c r="S17704" s="27"/>
      <c r="T17704" s="27"/>
      <c r="U17704" s="27"/>
    </row>
    <row r="17705">
      <c r="S17705" s="27"/>
      <c r="T17705" s="27"/>
      <c r="U17705" s="27"/>
    </row>
    <row r="17706">
      <c r="S17706" s="27"/>
      <c r="T17706" s="27"/>
      <c r="U17706" s="27"/>
    </row>
    <row r="17707">
      <c r="S17707" s="27"/>
      <c r="T17707" s="27"/>
      <c r="U17707" s="27"/>
    </row>
    <row r="17708">
      <c r="S17708" s="27"/>
      <c r="T17708" s="27"/>
      <c r="U17708" s="27"/>
    </row>
    <row r="17709">
      <c r="S17709" s="27"/>
      <c r="T17709" s="27"/>
      <c r="U17709" s="27"/>
    </row>
    <row r="17710">
      <c r="S17710" s="27"/>
      <c r="T17710" s="27"/>
      <c r="U17710" s="27"/>
    </row>
    <row r="17711">
      <c r="S17711" s="27"/>
      <c r="T17711" s="27"/>
      <c r="U17711" s="27"/>
    </row>
    <row r="17712">
      <c r="S17712" s="27"/>
      <c r="T17712" s="27"/>
      <c r="U17712" s="27"/>
    </row>
    <row r="17713">
      <c r="S17713" s="27"/>
      <c r="T17713" s="27"/>
      <c r="U17713" s="27"/>
    </row>
    <row r="17714">
      <c r="S17714" s="27"/>
      <c r="T17714" s="27"/>
      <c r="U17714" s="27"/>
    </row>
    <row r="17715">
      <c r="S17715" s="27"/>
      <c r="T17715" s="27"/>
      <c r="U17715" s="27"/>
    </row>
    <row r="17716">
      <c r="S17716" s="27"/>
      <c r="T17716" s="27"/>
      <c r="U17716" s="27"/>
    </row>
    <row r="17717">
      <c r="S17717" s="27"/>
      <c r="T17717" s="27"/>
      <c r="U17717" s="27"/>
    </row>
    <row r="17718">
      <c r="S17718" s="27"/>
      <c r="T17718" s="27"/>
      <c r="U17718" s="27"/>
    </row>
    <row r="17719">
      <c r="S17719" s="27"/>
      <c r="T17719" s="27"/>
      <c r="U17719" s="27"/>
    </row>
    <row r="17720">
      <c r="S17720" s="27"/>
      <c r="T17720" s="27"/>
      <c r="U17720" s="27"/>
    </row>
    <row r="17721">
      <c r="S17721" s="27"/>
      <c r="T17721" s="27"/>
      <c r="U17721" s="27"/>
    </row>
    <row r="17722">
      <c r="S17722" s="27"/>
      <c r="T17722" s="27"/>
      <c r="U17722" s="27"/>
    </row>
    <row r="17723">
      <c r="S17723" s="27"/>
      <c r="T17723" s="27"/>
      <c r="U17723" s="27"/>
    </row>
    <row r="17724">
      <c r="S17724" s="27"/>
      <c r="T17724" s="27"/>
      <c r="U17724" s="27"/>
    </row>
    <row r="17725">
      <c r="S17725" s="27"/>
      <c r="T17725" s="27"/>
      <c r="U17725" s="27"/>
    </row>
    <row r="17726">
      <c r="S17726" s="27"/>
      <c r="T17726" s="27"/>
      <c r="U17726" s="27"/>
    </row>
    <row r="17727">
      <c r="S17727" s="27"/>
      <c r="T17727" s="27"/>
      <c r="U17727" s="27"/>
    </row>
    <row r="17728">
      <c r="S17728" s="27"/>
      <c r="T17728" s="27"/>
      <c r="U17728" s="27"/>
    </row>
    <row r="17729">
      <c r="S17729" s="27"/>
      <c r="T17729" s="27"/>
      <c r="U17729" s="27"/>
    </row>
    <row r="17730">
      <c r="S17730" s="27"/>
      <c r="T17730" s="27"/>
      <c r="U17730" s="27"/>
    </row>
    <row r="17731">
      <c r="S17731" s="27"/>
      <c r="T17731" s="27"/>
      <c r="U17731" s="27"/>
    </row>
    <row r="17732">
      <c r="S17732" s="27"/>
      <c r="T17732" s="27"/>
      <c r="U17732" s="27"/>
    </row>
    <row r="17733">
      <c r="S17733" s="27"/>
      <c r="T17733" s="27"/>
      <c r="U17733" s="27"/>
    </row>
    <row r="17734">
      <c r="S17734" s="27"/>
      <c r="T17734" s="27"/>
      <c r="U17734" s="27"/>
    </row>
    <row r="17735">
      <c r="S17735" s="27"/>
      <c r="T17735" s="27"/>
      <c r="U17735" s="27"/>
    </row>
    <row r="17736">
      <c r="S17736" s="27"/>
      <c r="T17736" s="27"/>
      <c r="U17736" s="27"/>
    </row>
    <row r="17737">
      <c r="S17737" s="27"/>
      <c r="T17737" s="27"/>
      <c r="U17737" s="27"/>
    </row>
    <row r="17738">
      <c r="S17738" s="27"/>
      <c r="T17738" s="27"/>
      <c r="U17738" s="27"/>
    </row>
    <row r="17739">
      <c r="S17739" s="27"/>
      <c r="T17739" s="27"/>
      <c r="U17739" s="27"/>
    </row>
    <row r="17740">
      <c r="S17740" s="27"/>
      <c r="T17740" s="27"/>
      <c r="U17740" s="27"/>
    </row>
    <row r="17741">
      <c r="S17741" s="27"/>
      <c r="T17741" s="27"/>
      <c r="U17741" s="27"/>
    </row>
    <row r="17742">
      <c r="S17742" s="27"/>
      <c r="T17742" s="27"/>
      <c r="U17742" s="27"/>
    </row>
    <row r="17743">
      <c r="S17743" s="27"/>
      <c r="T17743" s="27"/>
      <c r="U17743" s="27"/>
    </row>
    <row r="17744">
      <c r="S17744" s="27"/>
      <c r="T17744" s="27"/>
      <c r="U17744" s="27"/>
    </row>
    <row r="17745">
      <c r="S17745" s="27"/>
      <c r="T17745" s="27"/>
      <c r="U17745" s="27"/>
    </row>
    <row r="17746">
      <c r="S17746" s="27"/>
      <c r="T17746" s="27"/>
      <c r="U17746" s="27"/>
    </row>
    <row r="17747">
      <c r="S17747" s="27"/>
      <c r="T17747" s="27"/>
      <c r="U17747" s="27"/>
    </row>
    <row r="17748">
      <c r="S17748" s="27"/>
      <c r="T17748" s="27"/>
      <c r="U17748" s="27"/>
    </row>
    <row r="17749">
      <c r="S17749" s="27"/>
      <c r="T17749" s="27"/>
      <c r="U17749" s="27"/>
    </row>
    <row r="17750">
      <c r="S17750" s="27"/>
      <c r="T17750" s="27"/>
      <c r="U17750" s="27"/>
    </row>
    <row r="17751">
      <c r="S17751" s="27"/>
      <c r="T17751" s="27"/>
      <c r="U17751" s="27"/>
    </row>
    <row r="17752">
      <c r="S17752" s="27"/>
      <c r="T17752" s="27"/>
      <c r="U17752" s="27"/>
    </row>
    <row r="17753">
      <c r="S17753" s="27"/>
      <c r="T17753" s="27"/>
      <c r="U17753" s="27"/>
    </row>
    <row r="17754">
      <c r="S17754" s="27"/>
      <c r="T17754" s="27"/>
      <c r="U17754" s="27"/>
    </row>
    <row r="17755">
      <c r="S17755" s="27"/>
      <c r="T17755" s="27"/>
      <c r="U17755" s="27"/>
    </row>
    <row r="17756">
      <c r="S17756" s="27"/>
      <c r="T17756" s="27"/>
      <c r="U17756" s="27"/>
    </row>
    <row r="17757">
      <c r="S17757" s="27"/>
      <c r="T17757" s="27"/>
      <c r="U17757" s="27"/>
    </row>
    <row r="17758">
      <c r="S17758" s="27"/>
      <c r="T17758" s="27"/>
      <c r="U17758" s="27"/>
    </row>
    <row r="17759">
      <c r="S17759" s="27"/>
      <c r="T17759" s="27"/>
      <c r="U17759" s="27"/>
    </row>
    <row r="17760">
      <c r="S17760" s="27"/>
      <c r="T17760" s="27"/>
      <c r="U17760" s="27"/>
    </row>
    <row r="17761">
      <c r="S17761" s="27"/>
      <c r="T17761" s="27"/>
      <c r="U17761" s="27"/>
    </row>
    <row r="17762">
      <c r="S17762" s="27"/>
      <c r="T17762" s="27"/>
      <c r="U17762" s="27"/>
    </row>
    <row r="17763">
      <c r="S17763" s="27"/>
      <c r="T17763" s="27"/>
      <c r="U17763" s="27"/>
    </row>
    <row r="17764">
      <c r="S17764" s="27"/>
      <c r="T17764" s="27"/>
      <c r="U17764" s="27"/>
    </row>
    <row r="17765">
      <c r="S17765" s="27"/>
      <c r="T17765" s="27"/>
      <c r="U17765" s="27"/>
    </row>
    <row r="17766">
      <c r="S17766" s="27"/>
      <c r="T17766" s="27"/>
      <c r="U17766" s="27"/>
    </row>
    <row r="17767">
      <c r="S17767" s="27"/>
      <c r="T17767" s="27"/>
      <c r="U17767" s="27"/>
    </row>
    <row r="17768">
      <c r="S17768" s="27"/>
      <c r="T17768" s="27"/>
      <c r="U17768" s="27"/>
    </row>
    <row r="17769">
      <c r="S17769" s="27"/>
      <c r="T17769" s="27"/>
      <c r="U17769" s="27"/>
    </row>
    <row r="17770">
      <c r="S17770" s="27"/>
      <c r="T17770" s="27"/>
      <c r="U17770" s="27"/>
    </row>
    <row r="17771">
      <c r="S17771" s="27"/>
      <c r="T17771" s="27"/>
      <c r="U17771" s="27"/>
    </row>
    <row r="17772">
      <c r="S17772" s="27"/>
      <c r="T17772" s="27"/>
      <c r="U17772" s="27"/>
    </row>
    <row r="17773">
      <c r="S17773" s="27"/>
      <c r="T17773" s="27"/>
      <c r="U17773" s="27"/>
    </row>
    <row r="17774">
      <c r="S17774" s="27"/>
      <c r="T17774" s="27"/>
      <c r="U17774" s="27"/>
    </row>
    <row r="17775">
      <c r="S17775" s="27"/>
      <c r="T17775" s="27"/>
      <c r="U17775" s="27"/>
    </row>
    <row r="17776">
      <c r="S17776" s="27"/>
      <c r="T17776" s="27"/>
      <c r="U17776" s="27"/>
    </row>
    <row r="17777">
      <c r="S17777" s="27"/>
      <c r="T17777" s="27"/>
      <c r="U17777" s="27"/>
    </row>
    <row r="17778">
      <c r="S17778" s="27"/>
      <c r="T17778" s="27"/>
      <c r="U17778" s="27"/>
    </row>
    <row r="17779">
      <c r="S17779" s="27"/>
      <c r="T17779" s="27"/>
      <c r="U17779" s="27"/>
    </row>
    <row r="17780">
      <c r="S17780" s="27"/>
      <c r="T17780" s="27"/>
      <c r="U17780" s="27"/>
    </row>
    <row r="17781">
      <c r="S17781" s="27"/>
      <c r="T17781" s="27"/>
      <c r="U17781" s="27"/>
    </row>
    <row r="17782">
      <c r="S17782" s="27"/>
      <c r="T17782" s="27"/>
      <c r="U17782" s="27"/>
    </row>
    <row r="17783">
      <c r="S17783" s="27"/>
      <c r="T17783" s="27"/>
      <c r="U17783" s="27"/>
    </row>
    <row r="17784">
      <c r="S17784" s="27"/>
      <c r="T17784" s="27"/>
      <c r="U17784" s="27"/>
    </row>
    <row r="17785">
      <c r="S17785" s="27"/>
      <c r="T17785" s="27"/>
      <c r="U17785" s="27"/>
    </row>
    <row r="17786">
      <c r="S17786" s="27"/>
      <c r="T17786" s="27"/>
      <c r="U17786" s="27"/>
    </row>
    <row r="17787">
      <c r="S17787" s="27"/>
      <c r="T17787" s="27"/>
      <c r="U17787" s="27"/>
    </row>
    <row r="17788">
      <c r="S17788" s="27"/>
      <c r="T17788" s="27"/>
      <c r="U17788" s="27"/>
    </row>
    <row r="17789">
      <c r="S17789" s="27"/>
      <c r="T17789" s="27"/>
      <c r="U17789" s="27"/>
    </row>
    <row r="17790">
      <c r="S17790" s="27"/>
      <c r="T17790" s="27"/>
      <c r="U17790" s="27"/>
    </row>
    <row r="17791">
      <c r="S17791" s="27"/>
      <c r="T17791" s="27"/>
      <c r="U17791" s="27"/>
    </row>
    <row r="17792">
      <c r="S17792" s="27"/>
      <c r="T17792" s="27"/>
      <c r="U17792" s="27"/>
    </row>
    <row r="17793">
      <c r="S17793" s="27"/>
      <c r="T17793" s="27"/>
      <c r="U17793" s="27"/>
    </row>
    <row r="17794">
      <c r="S17794" s="27"/>
      <c r="T17794" s="27"/>
      <c r="U17794" s="27"/>
    </row>
    <row r="17795">
      <c r="S17795" s="27"/>
      <c r="T17795" s="27"/>
      <c r="U17795" s="27"/>
    </row>
    <row r="17796">
      <c r="S17796" s="27"/>
      <c r="T17796" s="27"/>
      <c r="U17796" s="27"/>
    </row>
    <row r="17797">
      <c r="S17797" s="27"/>
      <c r="T17797" s="27"/>
      <c r="U17797" s="27"/>
    </row>
    <row r="17798">
      <c r="S17798" s="27"/>
      <c r="T17798" s="27"/>
      <c r="U17798" s="27"/>
    </row>
    <row r="17799">
      <c r="S17799" s="27"/>
      <c r="T17799" s="27"/>
      <c r="U17799" s="27"/>
    </row>
    <row r="17800">
      <c r="S17800" s="27"/>
      <c r="T17800" s="27"/>
      <c r="U17800" s="27"/>
    </row>
    <row r="17801">
      <c r="S17801" s="27"/>
      <c r="T17801" s="27"/>
      <c r="U17801" s="27"/>
    </row>
    <row r="17802">
      <c r="S17802" s="27"/>
      <c r="T17802" s="27"/>
      <c r="U17802" s="27"/>
    </row>
    <row r="17803">
      <c r="S17803" s="27"/>
      <c r="T17803" s="27"/>
      <c r="U17803" s="27"/>
    </row>
    <row r="17804">
      <c r="S17804" s="27"/>
      <c r="T17804" s="27"/>
      <c r="U17804" s="27"/>
    </row>
    <row r="17805">
      <c r="S17805" s="27"/>
      <c r="T17805" s="27"/>
      <c r="U17805" s="27"/>
    </row>
    <row r="17806">
      <c r="S17806" s="27"/>
      <c r="T17806" s="27"/>
      <c r="U17806" s="27"/>
    </row>
    <row r="17807">
      <c r="S17807" s="27"/>
      <c r="T17807" s="27"/>
      <c r="U17807" s="27"/>
    </row>
    <row r="17808">
      <c r="S17808" s="27"/>
      <c r="T17808" s="27"/>
      <c r="U17808" s="27"/>
    </row>
    <row r="17809">
      <c r="S17809" s="27"/>
      <c r="T17809" s="27"/>
      <c r="U17809" s="27"/>
    </row>
    <row r="17810">
      <c r="S17810" s="27"/>
      <c r="T17810" s="27"/>
      <c r="U17810" s="27"/>
    </row>
    <row r="17811">
      <c r="S17811" s="27"/>
      <c r="T17811" s="27"/>
      <c r="U17811" s="27"/>
    </row>
    <row r="17812">
      <c r="S17812" s="27"/>
      <c r="T17812" s="27"/>
      <c r="U17812" s="27"/>
    </row>
    <row r="17813">
      <c r="S17813" s="27"/>
      <c r="T17813" s="27"/>
      <c r="U17813" s="27"/>
    </row>
    <row r="17814">
      <c r="S17814" s="27"/>
      <c r="T17814" s="27"/>
      <c r="U17814" s="27"/>
    </row>
    <row r="17815">
      <c r="S17815" s="27"/>
      <c r="T17815" s="27"/>
      <c r="U17815" s="27"/>
    </row>
    <row r="17816">
      <c r="S17816" s="27"/>
      <c r="T17816" s="27"/>
      <c r="U17816" s="27"/>
    </row>
    <row r="17817">
      <c r="S17817" s="27"/>
      <c r="T17817" s="27"/>
      <c r="U17817" s="27"/>
    </row>
    <row r="17818">
      <c r="S17818" s="27"/>
      <c r="T17818" s="27"/>
      <c r="U17818" s="27"/>
    </row>
    <row r="17819">
      <c r="S17819" s="27"/>
      <c r="T17819" s="27"/>
      <c r="U17819" s="27"/>
    </row>
    <row r="17820">
      <c r="S17820" s="27"/>
      <c r="T17820" s="27"/>
      <c r="U17820" s="27"/>
    </row>
    <row r="17821">
      <c r="S17821" s="27"/>
      <c r="T17821" s="27"/>
      <c r="U17821" s="27"/>
    </row>
    <row r="17822">
      <c r="S17822" s="27"/>
      <c r="T17822" s="27"/>
      <c r="U17822" s="27"/>
    </row>
    <row r="17823">
      <c r="S17823" s="27"/>
      <c r="T17823" s="27"/>
      <c r="U17823" s="27"/>
    </row>
    <row r="17824">
      <c r="S17824" s="27"/>
      <c r="T17824" s="27"/>
      <c r="U17824" s="27"/>
    </row>
    <row r="17825">
      <c r="S17825" s="27"/>
      <c r="T17825" s="27"/>
      <c r="U17825" s="27"/>
    </row>
    <row r="17826">
      <c r="S17826" s="27"/>
      <c r="T17826" s="27"/>
      <c r="U17826" s="27"/>
    </row>
    <row r="17827">
      <c r="S17827" s="27"/>
      <c r="T17827" s="27"/>
      <c r="U17827" s="27"/>
    </row>
    <row r="17828">
      <c r="S17828" s="27"/>
      <c r="T17828" s="27"/>
      <c r="U17828" s="27"/>
    </row>
    <row r="17830">
      <c r="S17830" s="27"/>
      <c r="T17830" s="34"/>
      <c r="U17830" s="27"/>
    </row>
    <row r="17833">
      <c r="U17833" s="27"/>
    </row>
    <row r="17836">
      <c r="S17836" s="27"/>
      <c r="T17836" s="27"/>
      <c r="U17836" s="27"/>
    </row>
    <row r="17837">
      <c r="S17837" s="27"/>
      <c r="T17837" s="27"/>
      <c r="U17837" s="27"/>
    </row>
    <row r="17839">
      <c r="S17839" s="27"/>
      <c r="T17839" s="27"/>
      <c r="U17839" s="27"/>
    </row>
    <row r="17840">
      <c r="S17840" s="27"/>
      <c r="T17840" s="27"/>
      <c r="U17840" s="27"/>
    </row>
    <row r="17842">
      <c r="S17842" s="27"/>
      <c r="T17842" s="27"/>
      <c r="U17842" s="27"/>
    </row>
    <row r="17843">
      <c r="S17843" s="27"/>
      <c r="T17843" s="27"/>
      <c r="U17843" s="27"/>
    </row>
    <row r="17845">
      <c r="U17845" s="34"/>
    </row>
    <row r="17848">
      <c r="S17848" s="27"/>
      <c r="T17848" s="27"/>
      <c r="U17848" s="27"/>
    </row>
    <row r="17849">
      <c r="S17849" s="27"/>
      <c r="T17849" s="27"/>
      <c r="U17849" s="27"/>
    </row>
    <row r="17851">
      <c r="S17851" s="27"/>
      <c r="T17851" s="27"/>
      <c r="U17851" s="27"/>
    </row>
    <row r="17852">
      <c r="S17852" s="27"/>
      <c r="T17852" s="27"/>
      <c r="U17852" s="27"/>
    </row>
    <row r="17854">
      <c r="T17854" s="27"/>
    </row>
    <row r="17855">
      <c r="S17855" s="27"/>
      <c r="T17855" s="27"/>
      <c r="U17855" s="27"/>
    </row>
    <row r="17860">
      <c r="S17860" s="26"/>
      <c r="T17860" s="26"/>
      <c r="U17860" s="26"/>
    </row>
    <row r="17863">
      <c r="S17863" s="27"/>
      <c r="T17863" s="27"/>
      <c r="U17863" s="27"/>
    </row>
    <row r="17864">
      <c r="S17864" s="27"/>
      <c r="T17864" s="27"/>
      <c r="U17864" s="27"/>
    </row>
    <row r="17866">
      <c r="S17866" s="27"/>
      <c r="T17866" s="27"/>
      <c r="U17866" s="27"/>
    </row>
    <row r="17867">
      <c r="S17867" s="27"/>
      <c r="T17867" s="27"/>
      <c r="U17867" s="27"/>
    </row>
    <row r="17869">
      <c r="S17869" s="27"/>
      <c r="T17869" s="27"/>
      <c r="U17869" s="27"/>
    </row>
    <row r="17875">
      <c r="S17875" s="27"/>
      <c r="T17875" s="27"/>
      <c r="U17875" s="27"/>
    </row>
    <row r="17878">
      <c r="S17878" s="27"/>
      <c r="T17878" s="27"/>
      <c r="U17878" s="27"/>
    </row>
    <row r="17879">
      <c r="S17879" s="27"/>
      <c r="T17879" s="27"/>
      <c r="U17879" s="27"/>
    </row>
    <row r="17881">
      <c r="S17881" s="27"/>
      <c r="T17881" s="27"/>
      <c r="U17881" s="27"/>
    </row>
    <row r="17882">
      <c r="S17882" s="27"/>
      <c r="T17882" s="27"/>
      <c r="U17882" s="27"/>
    </row>
    <row r="17884">
      <c r="S17884" s="27"/>
      <c r="T17884" s="27"/>
      <c r="U17884" s="27"/>
    </row>
    <row r="17885">
      <c r="S17885" s="27"/>
      <c r="T17885" s="27"/>
      <c r="U17885" s="27"/>
    </row>
    <row r="17887">
      <c r="S17887" s="27"/>
      <c r="T17887" s="27"/>
      <c r="U17887" s="27"/>
    </row>
    <row r="17888">
      <c r="S17888" s="27"/>
      <c r="T17888" s="27"/>
      <c r="U17888" s="27"/>
    </row>
    <row r="17890">
      <c r="S17890" s="27"/>
      <c r="T17890" s="27"/>
      <c r="U17890" s="27"/>
    </row>
    <row r="17891">
      <c r="S17891" s="27"/>
      <c r="T17891" s="27"/>
      <c r="U17891" s="27"/>
    </row>
    <row r="17893">
      <c r="S17893" s="27"/>
      <c r="T17893" s="27"/>
      <c r="U17893" s="27"/>
    </row>
    <row r="17894">
      <c r="S17894" s="27"/>
      <c r="T17894" s="27"/>
      <c r="U17894" s="27"/>
    </row>
    <row r="17896">
      <c r="S17896" s="27"/>
      <c r="T17896" s="27"/>
      <c r="U17896" s="27"/>
    </row>
    <row r="17897">
      <c r="S17897" s="27"/>
      <c r="T17897" s="27"/>
      <c r="U17897" s="27"/>
    </row>
    <row r="17899">
      <c r="S17899" s="27"/>
      <c r="T17899" s="27"/>
      <c r="U17899" s="27"/>
    </row>
    <row r="17900">
      <c r="S17900" s="27"/>
      <c r="T17900" s="27"/>
      <c r="U17900" s="27"/>
    </row>
    <row r="17902">
      <c r="S17902" s="27"/>
      <c r="T17902" s="27"/>
      <c r="U17902" s="27"/>
    </row>
    <row r="17903">
      <c r="S17903" s="27"/>
      <c r="T17903" s="27"/>
      <c r="U17903" s="27"/>
    </row>
    <row r="17905">
      <c r="S17905" s="27"/>
      <c r="T17905" s="27"/>
      <c r="U17905" s="27"/>
    </row>
    <row r="17906">
      <c r="S17906" s="27"/>
      <c r="T17906" s="27"/>
      <c r="U17906" s="27"/>
    </row>
    <row r="17908">
      <c r="S17908" s="27"/>
      <c r="T17908" s="27"/>
      <c r="U17908" s="27"/>
    </row>
    <row r="17909">
      <c r="S17909" s="27"/>
      <c r="T17909" s="27"/>
      <c r="U17909" s="27"/>
    </row>
    <row r="17911">
      <c r="S17911" s="27"/>
      <c r="T17911" s="27"/>
      <c r="U17911" s="27"/>
    </row>
    <row r="17912">
      <c r="S17912" s="27"/>
      <c r="T17912" s="27"/>
      <c r="U17912" s="27"/>
    </row>
    <row r="17914">
      <c r="S17914" s="27"/>
      <c r="T17914" s="27"/>
      <c r="U17914" s="27"/>
    </row>
    <row r="17915">
      <c r="S17915" s="27"/>
      <c r="T17915" s="27"/>
      <c r="U17915" s="27"/>
    </row>
    <row r="17917">
      <c r="S17917" s="27"/>
      <c r="T17917" s="27"/>
      <c r="U17917" s="27"/>
    </row>
    <row r="17918">
      <c r="S17918" s="27"/>
      <c r="T17918" s="27"/>
      <c r="U17918" s="27"/>
    </row>
    <row r="17920">
      <c r="S17920" s="27"/>
      <c r="T17920" s="27"/>
      <c r="U17920" s="27"/>
    </row>
    <row r="17921">
      <c r="S17921" s="27"/>
      <c r="T17921" s="27"/>
      <c r="U17921" s="27"/>
    </row>
    <row r="17923">
      <c r="S17923" s="27"/>
      <c r="T17923" s="27"/>
      <c r="U17923" s="27"/>
    </row>
    <row r="17924">
      <c r="S17924" s="27"/>
      <c r="T17924" s="27"/>
      <c r="U17924" s="27"/>
    </row>
    <row r="17926">
      <c r="S17926" s="27"/>
      <c r="T17926" s="27"/>
      <c r="U17926" s="27"/>
    </row>
    <row r="17927">
      <c r="S17927" s="27"/>
      <c r="T17927" s="27"/>
      <c r="U17927" s="27"/>
    </row>
    <row r="17929">
      <c r="S17929" s="27"/>
      <c r="T17929" s="27"/>
      <c r="U17929" s="27"/>
    </row>
    <row r="17930">
      <c r="S17930" s="27"/>
      <c r="T17930" s="27"/>
      <c r="U17930" s="27"/>
    </row>
    <row r="17932">
      <c r="S17932" s="27"/>
      <c r="T17932" s="27"/>
      <c r="U17932" s="27"/>
    </row>
    <row r="17933">
      <c r="S17933" s="27"/>
      <c r="T17933" s="27"/>
      <c r="U17933" s="27"/>
    </row>
    <row r="17935">
      <c r="S17935" s="27"/>
      <c r="T17935" s="27"/>
      <c r="U17935" s="27"/>
    </row>
    <row r="17936">
      <c r="S17936" s="27"/>
      <c r="T17936" s="27"/>
      <c r="U17936" s="27"/>
    </row>
    <row r="17938">
      <c r="S17938" s="27"/>
      <c r="T17938" s="27"/>
      <c r="U17938" s="27"/>
    </row>
    <row r="17939">
      <c r="S17939" s="27"/>
      <c r="T17939" s="27"/>
      <c r="U17939" s="27"/>
    </row>
    <row r="17941">
      <c r="S17941" s="27"/>
      <c r="T17941" s="27"/>
      <c r="U17941" s="27"/>
    </row>
    <row r="17942">
      <c r="S17942" s="27"/>
      <c r="T17942" s="27"/>
      <c r="U17942" s="27"/>
    </row>
    <row r="17944">
      <c r="S17944" s="27"/>
      <c r="T17944" s="27"/>
      <c r="U17944" s="27"/>
    </row>
    <row r="17945">
      <c r="S17945" s="27"/>
      <c r="T17945" s="27"/>
      <c r="U17945" s="27"/>
    </row>
    <row r="17947">
      <c r="S17947" s="27"/>
      <c r="T17947" s="27"/>
      <c r="U17947" s="27"/>
    </row>
    <row r="17948">
      <c r="S17948" s="27"/>
      <c r="T17948" s="27"/>
      <c r="U17948" s="27"/>
    </row>
    <row r="17953">
      <c r="S17953" s="27"/>
      <c r="T17953" s="27"/>
      <c r="U17953" s="27"/>
    </row>
    <row r="17954">
      <c r="S17954" s="27"/>
      <c r="T17954" s="27"/>
      <c r="U17954" s="27"/>
    </row>
    <row r="17956">
      <c r="S17956" s="27"/>
      <c r="T17956" s="27"/>
      <c r="U17956" s="27"/>
    </row>
    <row r="17959">
      <c r="S17959" s="27"/>
      <c r="T17959" s="33"/>
    </row>
    <row r="17960">
      <c r="S17960" s="27"/>
      <c r="T17960" s="27"/>
    </row>
    <row r="17963">
      <c r="S17963" s="27"/>
      <c r="T17963" s="27"/>
      <c r="U17963" s="27"/>
    </row>
    <row r="17965">
      <c r="S17965" s="27"/>
      <c r="T17965" s="27"/>
      <c r="U17965" s="27"/>
    </row>
    <row r="17966">
      <c r="S17966" s="26"/>
      <c r="T17966" s="26"/>
      <c r="U17966" s="26"/>
    </row>
    <row r="17968">
      <c r="S17968" s="27"/>
      <c r="T17968" s="27"/>
      <c r="U17968" s="27"/>
    </row>
    <row r="17969">
      <c r="S17969" s="27"/>
      <c r="T17969" s="27"/>
      <c r="U17969" s="27"/>
    </row>
    <row r="17971">
      <c r="S17971" s="27"/>
      <c r="T17971" s="27"/>
      <c r="U17971" s="27"/>
    </row>
    <row r="17972">
      <c r="S17972" s="27"/>
      <c r="T17972" s="27"/>
      <c r="U17972" s="27"/>
    </row>
    <row r="17974">
      <c r="S17974" s="27"/>
      <c r="T17974" s="27"/>
      <c r="U17974" s="27"/>
    </row>
    <row r="17975">
      <c r="S17975" s="27"/>
      <c r="T17975" s="27"/>
      <c r="U17975" s="27"/>
    </row>
    <row r="17977">
      <c r="S17977" s="26"/>
      <c r="T17977" s="26"/>
    </row>
    <row r="17980">
      <c r="S17980" s="26"/>
      <c r="T17980" s="26"/>
      <c r="U17980" s="26"/>
    </row>
    <row r="17983">
      <c r="S17983" s="27"/>
      <c r="T17983" s="27"/>
      <c r="U17983" s="27"/>
    </row>
    <row r="17985">
      <c r="T17985" s="27"/>
      <c r="U17985" s="27"/>
    </row>
    <row r="17987">
      <c r="S17987" s="26"/>
      <c r="T17987" s="26"/>
      <c r="U17987" s="26"/>
    </row>
    <row r="17990">
      <c r="S17990" s="27"/>
      <c r="T17990" s="27"/>
      <c r="U17990" s="27"/>
    </row>
    <row r="17993">
      <c r="S17993" s="27"/>
      <c r="T17993" s="27"/>
      <c r="U17993" s="27"/>
    </row>
    <row r="17994">
      <c r="S17994" s="27"/>
      <c r="T17994" s="27"/>
      <c r="U17994" s="27"/>
    </row>
    <row r="17996">
      <c r="S17996" s="27"/>
      <c r="T17996" s="27"/>
      <c r="U17996" s="27"/>
    </row>
    <row r="17997">
      <c r="S17997" s="27"/>
      <c r="T17997" s="27"/>
      <c r="U17997" s="27"/>
    </row>
    <row r="17999">
      <c r="S17999" s="27"/>
      <c r="T17999" s="27"/>
      <c r="U17999" s="33"/>
    </row>
    <row r="18000">
      <c r="U18000" s="27"/>
    </row>
    <row r="18002">
      <c r="S18002" s="27"/>
      <c r="T18002" s="27"/>
      <c r="U18002" s="27"/>
    </row>
    <row r="18003">
      <c r="S18003" s="27"/>
      <c r="T18003" s="27"/>
      <c r="U18003" s="27"/>
    </row>
    <row r="18005">
      <c r="S18005" s="27"/>
      <c r="T18005" s="27"/>
      <c r="U18005" s="27"/>
    </row>
    <row r="18006">
      <c r="S18006" s="27"/>
      <c r="T18006" s="27"/>
      <c r="U18006" s="27"/>
    </row>
    <row r="18011">
      <c r="S18011" s="27"/>
      <c r="T18011" s="27"/>
      <c r="U18011" s="27"/>
    </row>
    <row r="18012">
      <c r="S18012" s="27"/>
      <c r="T18012" s="27"/>
      <c r="U18012" s="27"/>
    </row>
    <row r="18014">
      <c r="S18014" s="27"/>
      <c r="T18014" s="27"/>
      <c r="U18014" s="27"/>
    </row>
    <row r="18015">
      <c r="S18015" s="27"/>
      <c r="T18015" s="27"/>
      <c r="U18015" s="27"/>
    </row>
    <row r="18017">
      <c r="S18017" s="27"/>
      <c r="T18017" s="27"/>
      <c r="U18017" s="27"/>
    </row>
    <row r="18018">
      <c r="S18018" s="27"/>
      <c r="T18018" s="27"/>
      <c r="U18018" s="27"/>
    </row>
    <row r="18020">
      <c r="S18020" s="33"/>
      <c r="T18020" s="27"/>
      <c r="U18020" s="33"/>
    </row>
    <row r="18023">
      <c r="S18023" s="27"/>
      <c r="T18023" s="27"/>
      <c r="U18023" s="27"/>
    </row>
    <row r="18024">
      <c r="S18024" s="27"/>
      <c r="T18024" s="27"/>
      <c r="U18024" s="27"/>
    </row>
    <row r="18026">
      <c r="S18026" s="27"/>
      <c r="T18026" s="27"/>
      <c r="U18026" s="27"/>
    </row>
    <row r="18029">
      <c r="S18029" s="27"/>
      <c r="T18029" s="27"/>
      <c r="U18029" s="27"/>
    </row>
    <row r="18030">
      <c r="S18030" s="27"/>
      <c r="T18030" s="27"/>
      <c r="U18030" s="27"/>
    </row>
    <row r="18032">
      <c r="T18032" s="27"/>
      <c r="U18032" s="27"/>
    </row>
    <row r="18033">
      <c r="S18033" s="26"/>
      <c r="T18033" s="26"/>
      <c r="U18033" s="26"/>
    </row>
    <row r="18035">
      <c r="S18035" s="27"/>
      <c r="T18035" s="27"/>
    </row>
    <row r="18036">
      <c r="S18036" s="27"/>
      <c r="T18036" s="27"/>
      <c r="U18036" s="27"/>
    </row>
    <row r="18038">
      <c r="S18038" s="27"/>
      <c r="T18038" s="27"/>
      <c r="U18038" s="27"/>
    </row>
    <row r="18039">
      <c r="S18039" s="27"/>
      <c r="T18039" s="27"/>
      <c r="U18039" s="27"/>
    </row>
    <row r="18041">
      <c r="S18041" s="27"/>
      <c r="T18041" s="27"/>
      <c r="U18041" s="27"/>
    </row>
    <row r="18042">
      <c r="S18042" s="27"/>
      <c r="T18042" s="27"/>
      <c r="U18042" s="27"/>
    </row>
    <row r="18044">
      <c r="S18044" s="27"/>
      <c r="T18044" s="27"/>
      <c r="U18044" s="27"/>
    </row>
    <row r="18045">
      <c r="S18045" s="27"/>
      <c r="T18045" s="27"/>
      <c r="U18045" s="27"/>
    </row>
    <row r="18050">
      <c r="S18050" s="27"/>
      <c r="T18050" s="27"/>
      <c r="U18050" s="27"/>
    </row>
    <row r="18051">
      <c r="S18051" s="27"/>
      <c r="T18051" s="27"/>
      <c r="U18051" s="27"/>
    </row>
    <row r="18053">
      <c r="S18053" s="27"/>
      <c r="T18053" s="27"/>
      <c r="U18053" s="27"/>
    </row>
    <row r="18054">
      <c r="S18054" s="27"/>
      <c r="T18054" s="27"/>
      <c r="U18054" s="27"/>
    </row>
    <row r="18056">
      <c r="S18056" s="27"/>
      <c r="T18056" s="27"/>
      <c r="U18056" s="27"/>
    </row>
    <row r="18059">
      <c r="T18059" s="27"/>
      <c r="U18059" s="27"/>
    </row>
    <row r="18060">
      <c r="S18060" s="27"/>
      <c r="T18060" s="27"/>
      <c r="U18060" s="27"/>
    </row>
    <row r="18062">
      <c r="S18062" s="27"/>
      <c r="T18062" s="27"/>
      <c r="U18062" s="27"/>
    </row>
    <row r="18063">
      <c r="S18063" s="27"/>
      <c r="T18063" s="27"/>
      <c r="U18063" s="27"/>
    </row>
    <row r="18065">
      <c r="S18065" s="27"/>
      <c r="T18065" s="27"/>
      <c r="U18065" s="27"/>
    </row>
    <row r="18066">
      <c r="S18066" s="27"/>
      <c r="T18066" s="27"/>
      <c r="U18066" s="27"/>
    </row>
    <row r="18068">
      <c r="S18068" s="27"/>
      <c r="T18068" s="27"/>
      <c r="U18068" s="27"/>
    </row>
    <row r="18069">
      <c r="S18069" s="26"/>
      <c r="T18069" s="26"/>
      <c r="U18069" s="26"/>
    </row>
    <row r="18071">
      <c r="S18071" s="26"/>
      <c r="T18071" s="26"/>
      <c r="U18071" s="26"/>
    </row>
    <row r="18074">
      <c r="S18074" s="26"/>
      <c r="T18074" s="26"/>
      <c r="U18074" s="26"/>
    </row>
    <row r="18077">
      <c r="S18077" s="27"/>
      <c r="T18077" s="27"/>
      <c r="U18077" s="27"/>
    </row>
    <row r="18080">
      <c r="S18080" s="27"/>
      <c r="T18080" s="27"/>
      <c r="U18080" s="27"/>
    </row>
    <row r="18081">
      <c r="S18081" s="27"/>
      <c r="T18081" s="27"/>
      <c r="U18081" s="27"/>
    </row>
    <row r="18083">
      <c r="S18083" s="27"/>
      <c r="T18083" s="27"/>
      <c r="U18083" s="27"/>
    </row>
    <row r="18084">
      <c r="S18084" s="27"/>
      <c r="T18084" s="27"/>
      <c r="U18084" s="27"/>
    </row>
    <row r="18086">
      <c r="S18086" s="27"/>
      <c r="T18086" s="27"/>
      <c r="U18086" s="27"/>
    </row>
    <row r="18087">
      <c r="S18087" s="27"/>
      <c r="T18087" s="27"/>
      <c r="U18087" s="27"/>
    </row>
    <row r="18090">
      <c r="S18090" s="26"/>
      <c r="T18090" s="26"/>
      <c r="U18090" s="26"/>
    </row>
    <row r="18092">
      <c r="S18092" s="27"/>
      <c r="T18092" s="27"/>
      <c r="U18092" s="27"/>
    </row>
    <row r="18093">
      <c r="S18093" s="27"/>
      <c r="T18093" s="27"/>
      <c r="U18093" s="27"/>
    </row>
    <row r="18095">
      <c r="S18095" s="27"/>
      <c r="T18095" s="27"/>
      <c r="U18095" s="27"/>
    </row>
    <row r="18096">
      <c r="S18096" s="27"/>
      <c r="T18096" s="27"/>
      <c r="U18096" s="27"/>
    </row>
    <row r="18098">
      <c r="S18098" s="27"/>
      <c r="T18098" s="27"/>
      <c r="U18098" s="27"/>
    </row>
    <row r="18099">
      <c r="S18099" s="27"/>
      <c r="T18099" s="27"/>
      <c r="U18099" s="27"/>
    </row>
    <row r="18101">
      <c r="S18101" s="27"/>
      <c r="T18101" s="27"/>
      <c r="U18101" s="27"/>
    </row>
    <row r="18102">
      <c r="S18102" s="27"/>
      <c r="T18102" s="27"/>
      <c r="U18102" s="27"/>
    </row>
    <row r="18104">
      <c r="S18104" s="27"/>
      <c r="T18104" s="27"/>
      <c r="U18104" s="27"/>
    </row>
    <row r="18105">
      <c r="S18105" s="27"/>
      <c r="T18105" s="27"/>
      <c r="U18105" s="27"/>
    </row>
    <row r="18107">
      <c r="S18107" s="27"/>
      <c r="T18107" s="27"/>
      <c r="U18107" s="27"/>
    </row>
    <row r="18108">
      <c r="S18108" s="27"/>
      <c r="T18108" s="27"/>
      <c r="U18108" s="27"/>
    </row>
    <row r="18110">
      <c r="S18110" s="27"/>
      <c r="T18110" s="27"/>
      <c r="U18110" s="27"/>
    </row>
    <row r="18111">
      <c r="S18111" s="27"/>
      <c r="T18111" s="27"/>
      <c r="U18111" s="27"/>
    </row>
    <row r="18113">
      <c r="S18113" s="27"/>
      <c r="T18113" s="27"/>
      <c r="U18113" s="27"/>
    </row>
    <row r="18114">
      <c r="S18114" s="27"/>
      <c r="T18114" s="27"/>
      <c r="U18114" s="27"/>
    </row>
    <row r="18116">
      <c r="S18116" s="27"/>
      <c r="T18116" s="27"/>
      <c r="U18116" s="27"/>
    </row>
    <row r="18117">
      <c r="S18117" s="27"/>
      <c r="T18117" s="27"/>
      <c r="U18117" s="27"/>
    </row>
    <row r="18119">
      <c r="S18119" s="27"/>
      <c r="T18119" s="27"/>
      <c r="U18119" s="27"/>
    </row>
    <row r="18120">
      <c r="S18120" s="27"/>
      <c r="T18120" s="27"/>
      <c r="U18120" s="27"/>
    </row>
    <row r="18122">
      <c r="S18122" s="27"/>
      <c r="T18122" s="27"/>
      <c r="U18122" s="27"/>
    </row>
    <row r="18123">
      <c r="S18123" s="27"/>
      <c r="T18123" s="27"/>
      <c r="U18123" s="27"/>
    </row>
    <row r="18125">
      <c r="S18125" s="27"/>
      <c r="T18125" s="27"/>
      <c r="U18125" s="27"/>
    </row>
    <row r="18126">
      <c r="S18126" s="27"/>
      <c r="T18126" s="27"/>
      <c r="U18126" s="27"/>
    </row>
    <row r="18128">
      <c r="S18128" s="27"/>
      <c r="T18128" s="27"/>
      <c r="U18128" s="27"/>
    </row>
    <row r="18129">
      <c r="S18129" s="27"/>
      <c r="T18129" s="27"/>
      <c r="U18129" s="27"/>
    </row>
    <row r="18131">
      <c r="S18131" s="27"/>
      <c r="T18131" s="27"/>
      <c r="U18131" s="27"/>
    </row>
    <row r="18132">
      <c r="S18132" s="27"/>
      <c r="T18132" s="27"/>
      <c r="U18132" s="27"/>
    </row>
    <row r="18134">
      <c r="S18134" s="27"/>
      <c r="T18134" s="27"/>
      <c r="U18134" s="27"/>
    </row>
    <row r="18135">
      <c r="S18135" s="27"/>
      <c r="T18135" s="27"/>
      <c r="U18135" s="27"/>
    </row>
    <row r="18137">
      <c r="S18137" s="27"/>
      <c r="T18137" s="27"/>
      <c r="U18137" s="27"/>
    </row>
    <row r="18138">
      <c r="S18138" s="27"/>
      <c r="T18138" s="27"/>
      <c r="U18138" s="27"/>
    </row>
    <row r="18140">
      <c r="S18140" s="27"/>
      <c r="T18140" s="27"/>
      <c r="U18140" s="27"/>
    </row>
    <row r="18141">
      <c r="S18141" s="27"/>
      <c r="T18141" s="27"/>
      <c r="U18141" s="27"/>
    </row>
    <row r="18143">
      <c r="S18143" s="27"/>
      <c r="T18143" s="27"/>
      <c r="U18143" s="27"/>
    </row>
    <row r="18144">
      <c r="S18144" s="27"/>
      <c r="T18144" s="27"/>
      <c r="U18144" s="27"/>
    </row>
    <row r="18146">
      <c r="S18146" s="27"/>
      <c r="T18146" s="27"/>
      <c r="U18146" s="27"/>
    </row>
    <row r="18147">
      <c r="S18147" s="27"/>
      <c r="T18147" s="27"/>
      <c r="U18147" s="27"/>
    </row>
    <row r="18149">
      <c r="S18149" s="27"/>
      <c r="T18149" s="27"/>
      <c r="U18149" s="27"/>
    </row>
    <row r="18150">
      <c r="S18150" s="27"/>
      <c r="T18150" s="27"/>
      <c r="U18150" s="27"/>
    </row>
    <row r="18152">
      <c r="S18152" s="27"/>
      <c r="T18152" s="27"/>
      <c r="U18152" s="27"/>
    </row>
    <row r="18153">
      <c r="S18153" s="27"/>
      <c r="T18153" s="27"/>
      <c r="U18153" s="27"/>
    </row>
    <row r="18155">
      <c r="S18155" s="27"/>
      <c r="T18155" s="27"/>
      <c r="U18155" s="27"/>
    </row>
    <row r="18156">
      <c r="S18156" s="27"/>
      <c r="T18156" s="27"/>
      <c r="U18156" s="27"/>
    </row>
    <row r="18158">
      <c r="S18158" s="27"/>
      <c r="T18158" s="27"/>
      <c r="U18158" s="27"/>
    </row>
    <row r="18159">
      <c r="S18159" s="27"/>
      <c r="T18159" s="27"/>
      <c r="U18159" s="27"/>
    </row>
    <row r="18161">
      <c r="S18161" s="27"/>
      <c r="T18161" s="27"/>
      <c r="U18161" s="27"/>
    </row>
    <row r="18162">
      <c r="S18162" s="27"/>
      <c r="T18162" s="27"/>
      <c r="U18162" s="27"/>
    </row>
    <row r="18164">
      <c r="S18164" s="27"/>
      <c r="T18164" s="27"/>
      <c r="U18164" s="27"/>
    </row>
    <row r="18165">
      <c r="S18165" s="27"/>
      <c r="T18165" s="27"/>
      <c r="U18165" s="27"/>
    </row>
    <row r="18167">
      <c r="S18167" s="27"/>
      <c r="T18167" s="27"/>
      <c r="U18167" s="27"/>
    </row>
    <row r="18168">
      <c r="S18168" s="27"/>
      <c r="T18168" s="27"/>
      <c r="U18168" s="27"/>
    </row>
    <row r="18170">
      <c r="S18170" s="27"/>
      <c r="T18170" s="27"/>
      <c r="U18170" s="27"/>
    </row>
    <row r="18171">
      <c r="S18171" s="27"/>
      <c r="T18171" s="27"/>
      <c r="U18171" s="27"/>
    </row>
    <row r="18173">
      <c r="S18173" s="27"/>
      <c r="T18173" s="27"/>
      <c r="U18173" s="27"/>
    </row>
    <row r="18174">
      <c r="S18174" s="27"/>
      <c r="T18174" s="27"/>
      <c r="U18174" s="27"/>
    </row>
    <row r="18176">
      <c r="S18176" s="27"/>
      <c r="T18176" s="27"/>
      <c r="U18176" s="27"/>
    </row>
    <row r="18177">
      <c r="S18177" s="27"/>
      <c r="T18177" s="27"/>
      <c r="U18177" s="27"/>
    </row>
    <row r="18179">
      <c r="S18179" s="27"/>
      <c r="T18179" s="27"/>
      <c r="U18179" s="27"/>
    </row>
    <row r="18180">
      <c r="S18180" s="27"/>
      <c r="T18180" s="27"/>
      <c r="U18180" s="27"/>
    </row>
    <row r="18182">
      <c r="S18182" s="27"/>
      <c r="T18182" s="27"/>
      <c r="U18182" s="27"/>
    </row>
    <row r="18183">
      <c r="S18183" s="27"/>
      <c r="T18183" s="27"/>
      <c r="U18183" s="27"/>
    </row>
    <row r="18185">
      <c r="S18185" s="27"/>
      <c r="T18185" s="27"/>
      <c r="U18185" s="27"/>
    </row>
    <row r="18187">
      <c r="S18187" s="27"/>
      <c r="T18187" s="27"/>
      <c r="U18187" s="27"/>
    </row>
    <row r="18188">
      <c r="S18188" s="27"/>
      <c r="T18188" s="27"/>
      <c r="U18188" s="27"/>
    </row>
    <row r="18190">
      <c r="S18190" s="27"/>
      <c r="T18190" s="27"/>
      <c r="U18190" s="27"/>
    </row>
    <row r="18191">
      <c r="S18191" s="27"/>
      <c r="T18191" s="27"/>
      <c r="U18191" s="27"/>
    </row>
    <row r="18193">
      <c r="S18193" s="27"/>
      <c r="T18193" s="27"/>
      <c r="U18193" s="27"/>
    </row>
    <row r="18194">
      <c r="S18194" s="27"/>
      <c r="T18194" s="27"/>
      <c r="U18194" s="27"/>
    </row>
    <row r="18196">
      <c r="S18196" s="27"/>
      <c r="T18196" s="27"/>
      <c r="U18196" s="27"/>
    </row>
    <row r="18197">
      <c r="S18197" s="27"/>
      <c r="T18197" s="27"/>
      <c r="U18197" s="27"/>
    </row>
    <row r="18199">
      <c r="S18199" s="27"/>
      <c r="T18199" s="27"/>
      <c r="U18199" s="27"/>
    </row>
    <row r="18200">
      <c r="S18200" s="27"/>
      <c r="T18200" s="27"/>
      <c r="U18200" s="27"/>
    </row>
    <row r="18202">
      <c r="S18202" s="27"/>
      <c r="T18202" s="27"/>
      <c r="U18202" s="27"/>
    </row>
    <row r="18203">
      <c r="S18203" s="27"/>
      <c r="T18203" s="27"/>
      <c r="U18203" s="27"/>
    </row>
    <row r="18205">
      <c r="S18205" s="27"/>
      <c r="T18205" s="27"/>
      <c r="U18205" s="27"/>
    </row>
    <row r="18206">
      <c r="S18206" s="27"/>
      <c r="T18206" s="27"/>
      <c r="U18206" s="27"/>
    </row>
    <row r="18208">
      <c r="S18208" s="27"/>
      <c r="T18208" s="27"/>
      <c r="U18208" s="27"/>
    </row>
    <row r="18210">
      <c r="S18210" s="27"/>
      <c r="T18210" s="27"/>
      <c r="U18210" s="27"/>
    </row>
    <row r="18212">
      <c r="S18212" s="27"/>
      <c r="T18212" s="27"/>
      <c r="U18212" s="27"/>
    </row>
    <row r="18214">
      <c r="S18214" s="27"/>
      <c r="T18214" s="27"/>
      <c r="U18214" s="27"/>
    </row>
    <row r="18216">
      <c r="S18216" s="27"/>
      <c r="T18216" s="27"/>
      <c r="U18216" s="27"/>
    </row>
    <row r="18217">
      <c r="S18217" s="27"/>
      <c r="T18217" s="27"/>
      <c r="U18217" s="27"/>
    </row>
    <row r="18219">
      <c r="S18219" s="27"/>
      <c r="T18219" s="27"/>
      <c r="U18219" s="27"/>
    </row>
    <row r="18220">
      <c r="S18220" s="27"/>
      <c r="T18220" s="27"/>
      <c r="U18220" s="27"/>
    </row>
    <row r="18222">
      <c r="S18222" s="27"/>
      <c r="T18222" s="27"/>
      <c r="U18222" s="27"/>
    </row>
    <row r="18223">
      <c r="S18223" s="27"/>
      <c r="T18223" s="27"/>
      <c r="U18223" s="27"/>
    </row>
    <row r="18225">
      <c r="S18225" s="27"/>
      <c r="T18225" s="27"/>
      <c r="U18225" s="27"/>
    </row>
    <row r="18226">
      <c r="S18226" s="27"/>
      <c r="T18226" s="27"/>
      <c r="U18226" s="27"/>
    </row>
    <row r="18228">
      <c r="S18228" s="27"/>
      <c r="T18228" s="27"/>
      <c r="U18228" s="27"/>
    </row>
    <row r="18229">
      <c r="S18229" s="27"/>
      <c r="T18229" s="27"/>
      <c r="U18229" s="27"/>
    </row>
    <row r="18232">
      <c r="S18232" s="27"/>
      <c r="T18232" s="27"/>
      <c r="U18232" s="27"/>
    </row>
    <row r="18233">
      <c r="S18233" s="27"/>
      <c r="T18233" s="27"/>
      <c r="U18233" s="27"/>
    </row>
    <row r="18235">
      <c r="T18235" s="27"/>
      <c r="U18235" s="27"/>
    </row>
    <row r="18238">
      <c r="S18238" s="33"/>
      <c r="T18238" s="33"/>
      <c r="U18238" s="33"/>
    </row>
    <row r="18241">
      <c r="S18241" s="27"/>
      <c r="T18241" s="27"/>
      <c r="U18241" s="27"/>
    </row>
    <row r="18242">
      <c r="S18242" s="27"/>
      <c r="T18242" s="27"/>
      <c r="U18242" s="27"/>
    </row>
    <row r="18244">
      <c r="S18244" s="27"/>
      <c r="T18244" s="27"/>
      <c r="U18244" s="27"/>
    </row>
    <row r="18245">
      <c r="S18245" s="27"/>
      <c r="T18245" s="27"/>
      <c r="U18245" s="27"/>
    </row>
    <row r="18247">
      <c r="S18247" s="27"/>
      <c r="T18247" s="27"/>
      <c r="U18247" s="27"/>
    </row>
    <row r="18248">
      <c r="S18248" s="27"/>
      <c r="T18248" s="27"/>
      <c r="U18248" s="27"/>
    </row>
    <row r="18250">
      <c r="S18250" s="26"/>
      <c r="T18250" s="26"/>
      <c r="U18250" s="27"/>
    </row>
    <row r="18253">
      <c r="S18253" s="27"/>
      <c r="T18253" s="27"/>
      <c r="U18253" s="27"/>
    </row>
    <row r="18254">
      <c r="S18254" s="27"/>
      <c r="T18254" s="27"/>
      <c r="U18254" s="27"/>
    </row>
    <row r="18256">
      <c r="S18256" s="27"/>
      <c r="T18256" s="27"/>
      <c r="U18256" s="27"/>
    </row>
    <row r="18257">
      <c r="S18257" s="27"/>
      <c r="T18257" s="27"/>
      <c r="U18257" s="27"/>
    </row>
    <row r="18259">
      <c r="S18259" s="27"/>
      <c r="U18259" s="26"/>
    </row>
    <row r="18260">
      <c r="S18260" s="27"/>
    </row>
    <row r="18265">
      <c r="S18265" s="26"/>
      <c r="T18265" s="26"/>
      <c r="U18265" s="26"/>
    </row>
    <row r="18268">
      <c r="S18268" s="27"/>
      <c r="T18268" s="27"/>
      <c r="U18268" s="27"/>
    </row>
    <row r="18269">
      <c r="S18269" s="27"/>
      <c r="T18269" s="27"/>
      <c r="U18269" s="27"/>
    </row>
    <row r="18271">
      <c r="S18271" s="27"/>
      <c r="T18271" s="27"/>
      <c r="U18271" s="27"/>
    </row>
    <row r="18272">
      <c r="S18272" s="27"/>
      <c r="T18272" s="27"/>
      <c r="U18272" s="27"/>
    </row>
    <row r="18274">
      <c r="S18274" s="34"/>
      <c r="T18274" s="34"/>
      <c r="U18274" s="34"/>
    </row>
    <row r="18277">
      <c r="T18277" s="26"/>
    </row>
    <row r="18280">
      <c r="S18280" s="27"/>
      <c r="T18280" s="27"/>
      <c r="U18280" s="27"/>
    </row>
    <row r="18283">
      <c r="S18283" s="27"/>
      <c r="T18283" s="27"/>
      <c r="U18283" s="27"/>
    </row>
    <row r="18284">
      <c r="S18284" s="27"/>
      <c r="T18284" s="27"/>
      <c r="U18284" s="27"/>
    </row>
    <row r="18286">
      <c r="S18286" s="27"/>
      <c r="T18286" s="27"/>
      <c r="U18286" s="27"/>
    </row>
    <row r="18287">
      <c r="S18287" s="27"/>
      <c r="T18287" s="27"/>
      <c r="U18287" s="27"/>
    </row>
    <row r="18289">
      <c r="S18289" s="27"/>
      <c r="T18289" s="27"/>
      <c r="U18289" s="27"/>
    </row>
    <row r="18290">
      <c r="S18290" s="27"/>
      <c r="T18290" s="27"/>
      <c r="U18290" s="27"/>
    </row>
    <row r="18292">
      <c r="S18292" s="27"/>
      <c r="T18292" s="27"/>
      <c r="U18292" s="27"/>
    </row>
    <row r="18293">
      <c r="S18293" s="27"/>
      <c r="T18293" s="27"/>
      <c r="U18293" s="27"/>
    </row>
    <row r="18295">
      <c r="S18295" s="27"/>
      <c r="T18295" s="27"/>
      <c r="U18295" s="27"/>
    </row>
    <row r="18296">
      <c r="S18296" s="27"/>
      <c r="T18296" s="27"/>
      <c r="U18296" s="27"/>
    </row>
    <row r="18298">
      <c r="S18298" s="27"/>
      <c r="T18298" s="27"/>
      <c r="U18298" s="27"/>
    </row>
    <row r="18299">
      <c r="S18299" s="27"/>
      <c r="T18299" s="27"/>
      <c r="U18299" s="27"/>
    </row>
    <row r="18301">
      <c r="S18301" s="27"/>
      <c r="T18301" s="27"/>
      <c r="U18301" s="27"/>
    </row>
    <row r="18302">
      <c r="S18302" s="27"/>
      <c r="T18302" s="27"/>
      <c r="U18302" s="27"/>
    </row>
    <row r="18304">
      <c r="S18304" s="27"/>
      <c r="T18304" s="27"/>
      <c r="U18304" s="27"/>
    </row>
    <row r="18305">
      <c r="S18305" s="27"/>
      <c r="T18305" s="27"/>
      <c r="U18305" s="27"/>
    </row>
    <row r="18307">
      <c r="S18307" s="27"/>
      <c r="T18307" s="27"/>
      <c r="U18307" s="27"/>
    </row>
    <row r="18308">
      <c r="S18308" s="27"/>
      <c r="T18308" s="27"/>
      <c r="U18308" s="27"/>
    </row>
    <row r="18310">
      <c r="S18310" s="27"/>
      <c r="T18310" s="27"/>
      <c r="U18310" s="27"/>
    </row>
    <row r="18311">
      <c r="S18311" s="27"/>
      <c r="T18311" s="27"/>
      <c r="U18311" s="27"/>
    </row>
    <row r="18313">
      <c r="S18313" s="27"/>
      <c r="T18313" s="27"/>
      <c r="U18313" s="27"/>
    </row>
    <row r="18314">
      <c r="S18314" s="27"/>
      <c r="T18314" s="27"/>
      <c r="U18314" s="27"/>
    </row>
    <row r="18316">
      <c r="S18316" s="27"/>
      <c r="T18316" s="27"/>
      <c r="U18316" s="27"/>
    </row>
    <row r="18317">
      <c r="S18317" s="27"/>
      <c r="T18317" s="27"/>
      <c r="U18317" s="27"/>
    </row>
    <row r="18319">
      <c r="S18319" s="27"/>
      <c r="T18319" s="27"/>
      <c r="U18319" s="27"/>
    </row>
    <row r="18320">
      <c r="S18320" s="27"/>
      <c r="T18320" s="27"/>
      <c r="U18320" s="27"/>
    </row>
    <row r="18322">
      <c r="S18322" s="27"/>
      <c r="T18322" s="27"/>
      <c r="U18322" s="27"/>
    </row>
    <row r="18323">
      <c r="S18323" s="27"/>
      <c r="T18323" s="27"/>
      <c r="U18323" s="27"/>
    </row>
    <row r="18325">
      <c r="S18325" s="27"/>
      <c r="T18325" s="27"/>
      <c r="U18325" s="27"/>
    </row>
    <row r="18326">
      <c r="S18326" s="27"/>
      <c r="T18326" s="27"/>
      <c r="U18326" s="27"/>
    </row>
    <row r="18328">
      <c r="S18328" s="27"/>
      <c r="T18328" s="27"/>
      <c r="U18328" s="27"/>
    </row>
    <row r="18329">
      <c r="S18329" s="27"/>
      <c r="T18329" s="27"/>
      <c r="U18329" s="27"/>
    </row>
    <row r="18331">
      <c r="S18331" s="27"/>
      <c r="T18331" s="27"/>
      <c r="U18331" s="27"/>
    </row>
    <row r="18332">
      <c r="S18332" s="27"/>
      <c r="T18332" s="27"/>
      <c r="U18332" s="27"/>
    </row>
    <row r="18334">
      <c r="S18334" s="27"/>
      <c r="T18334" s="27"/>
      <c r="U18334" s="27"/>
    </row>
    <row r="18335">
      <c r="S18335" s="27"/>
      <c r="T18335" s="27"/>
      <c r="U18335" s="27"/>
    </row>
    <row r="18337">
      <c r="S18337" s="27"/>
      <c r="T18337" s="27"/>
      <c r="U18337" s="27"/>
    </row>
    <row r="18338">
      <c r="S18338" s="27"/>
      <c r="T18338" s="27"/>
      <c r="U18338" s="27"/>
    </row>
    <row r="18340">
      <c r="S18340" s="27"/>
      <c r="T18340" s="27"/>
      <c r="U18340" s="27"/>
    </row>
    <row r="18341">
      <c r="S18341" s="27"/>
      <c r="T18341" s="27"/>
      <c r="U18341" s="27"/>
    </row>
    <row r="18343">
      <c r="S18343" s="27"/>
      <c r="T18343" s="27"/>
      <c r="U18343" s="27"/>
    </row>
    <row r="18344">
      <c r="S18344" s="27"/>
      <c r="T18344" s="27"/>
      <c r="U18344" s="27"/>
    </row>
    <row r="18346">
      <c r="S18346" s="27"/>
      <c r="T18346" s="27"/>
      <c r="U18346" s="27"/>
    </row>
    <row r="18347">
      <c r="S18347" s="27"/>
      <c r="T18347" s="27"/>
      <c r="U18347" s="27"/>
    </row>
    <row r="18349">
      <c r="S18349" s="27"/>
      <c r="T18349" s="27"/>
      <c r="U18349" s="27"/>
    </row>
    <row r="18350">
      <c r="S18350" s="27"/>
      <c r="T18350" s="27"/>
      <c r="U18350" s="27"/>
    </row>
    <row r="18352">
      <c r="S18352" s="27"/>
      <c r="T18352" s="27"/>
      <c r="U18352" s="27"/>
    </row>
    <row r="18353">
      <c r="S18353" s="27"/>
      <c r="T18353" s="27"/>
      <c r="U18353" s="27"/>
    </row>
    <row r="18358">
      <c r="S18358" s="27"/>
      <c r="T18358" s="27"/>
    </row>
    <row r="18359">
      <c r="S18359" s="27"/>
      <c r="T18359" s="27"/>
      <c r="U18359" s="27"/>
    </row>
    <row r="18361">
      <c r="S18361" s="27"/>
      <c r="T18361" s="27"/>
      <c r="U18361" s="27"/>
    </row>
    <row r="18364">
      <c r="S18364" s="33"/>
    </row>
    <row r="18365">
      <c r="S18365" s="27"/>
    </row>
    <row r="18367">
      <c r="S18367" s="27"/>
      <c r="T18367" s="27"/>
      <c r="U18367" s="27"/>
    </row>
    <row r="18368">
      <c r="S18368" s="27"/>
      <c r="T18368" s="27"/>
      <c r="U18368" s="27"/>
    </row>
    <row r="18370">
      <c r="S18370" s="27"/>
      <c r="T18370" s="27"/>
      <c r="U18370" s="27"/>
    </row>
    <row r="18371">
      <c r="S18371" s="27"/>
    </row>
    <row r="18373">
      <c r="S18373" s="27"/>
      <c r="T18373" s="27"/>
      <c r="U18373" s="27"/>
    </row>
    <row r="18374">
      <c r="S18374" s="27"/>
      <c r="T18374" s="27"/>
      <c r="U18374" s="27"/>
    </row>
    <row r="18376">
      <c r="S18376" s="27"/>
      <c r="T18376" s="27"/>
      <c r="U18376" s="27"/>
    </row>
    <row r="18377">
      <c r="S18377" s="27"/>
      <c r="T18377" s="27"/>
      <c r="U18377" s="27"/>
    </row>
    <row r="18379">
      <c r="S18379" s="27"/>
      <c r="T18379" s="27"/>
      <c r="U18379" s="27"/>
    </row>
    <row r="18380">
      <c r="S18380" s="27"/>
      <c r="T18380" s="27"/>
      <c r="U18380" s="27"/>
    </row>
    <row r="18382">
      <c r="T18382" s="27"/>
      <c r="U18382" s="26"/>
    </row>
    <row r="18388">
      <c r="S18388" s="27"/>
      <c r="T18388" s="27"/>
      <c r="U18388" s="27"/>
    </row>
    <row r="18390">
      <c r="S18390" s="27"/>
      <c r="T18390" s="27"/>
      <c r="U18390" s="27"/>
    </row>
    <row r="18392">
      <c r="S18392" s="26"/>
      <c r="T18392" s="26"/>
      <c r="U18392" s="26"/>
    </row>
    <row r="18395">
      <c r="S18395" s="27"/>
      <c r="T18395" s="27"/>
      <c r="U18395" s="27"/>
    </row>
    <row r="18398">
      <c r="S18398" s="27"/>
      <c r="T18398" s="27"/>
      <c r="U18398" s="27"/>
    </row>
    <row r="18399">
      <c r="S18399" s="27"/>
      <c r="T18399" s="27"/>
      <c r="U18399" s="27"/>
    </row>
    <row r="18401">
      <c r="S18401" s="27"/>
      <c r="T18401" s="27"/>
      <c r="U18401" s="27"/>
    </row>
    <row r="18402">
      <c r="S18402" s="27"/>
      <c r="T18402" s="27"/>
      <c r="U18402" s="27"/>
    </row>
    <row r="18404">
      <c r="S18404" s="27"/>
      <c r="T18404" s="27"/>
      <c r="U18404" s="27"/>
    </row>
    <row r="18405">
      <c r="U18405" s="27"/>
    </row>
    <row r="18407">
      <c r="S18407" s="27"/>
      <c r="T18407" s="27"/>
      <c r="U18407" s="27"/>
    </row>
    <row r="18408">
      <c r="S18408" s="27"/>
      <c r="T18408" s="27"/>
      <c r="U18408" s="27"/>
    </row>
    <row r="18410">
      <c r="S18410" s="27"/>
      <c r="T18410" s="27"/>
      <c r="U18410" s="27"/>
    </row>
    <row r="18411">
      <c r="S18411" s="27"/>
      <c r="T18411" s="27"/>
      <c r="U18411" s="27"/>
    </row>
    <row r="18416">
      <c r="S18416" s="27"/>
      <c r="U18416" s="27"/>
    </row>
    <row r="18417">
      <c r="S18417" s="27"/>
      <c r="T18417" s="27"/>
      <c r="U18417" s="27"/>
    </row>
    <row r="18419">
      <c r="S18419" s="27"/>
      <c r="T18419" s="27"/>
      <c r="U18419" s="27"/>
    </row>
    <row r="18420">
      <c r="S18420" s="27"/>
      <c r="T18420" s="27"/>
      <c r="U18420" s="27"/>
    </row>
    <row r="18422">
      <c r="S18422" s="27"/>
      <c r="T18422" s="27"/>
      <c r="U18422" s="27"/>
    </row>
    <row r="18423">
      <c r="S18423" s="27"/>
      <c r="T18423" s="27"/>
      <c r="U18423" s="27"/>
    </row>
    <row r="18425">
      <c r="S18425" s="33"/>
      <c r="T18425" s="27"/>
      <c r="U18425" s="33"/>
    </row>
    <row r="18431">
      <c r="S18431" s="27"/>
      <c r="T18431" s="27"/>
      <c r="U18431" s="27"/>
    </row>
    <row r="18434">
      <c r="S18434" s="27"/>
      <c r="T18434" s="27"/>
      <c r="U18434" s="33"/>
    </row>
    <row r="18435">
      <c r="S18435" s="33"/>
      <c r="T18435" s="33"/>
      <c r="U18435" s="33"/>
    </row>
    <row r="18437">
      <c r="T18437" s="26"/>
      <c r="U18437" s="26"/>
    </row>
    <row r="18438">
      <c r="S18438" s="26"/>
      <c r="T18438" s="26"/>
      <c r="U18438" s="26"/>
    </row>
    <row r="18440">
      <c r="S18440" s="27"/>
      <c r="T18440" s="27"/>
      <c r="U18440" s="27"/>
    </row>
    <row r="18441">
      <c r="S18441" s="27"/>
      <c r="T18441" s="27"/>
      <c r="U18441" s="27"/>
    </row>
    <row r="18443">
      <c r="S18443" s="27"/>
      <c r="T18443" s="27"/>
      <c r="U18443" s="27"/>
    </row>
    <row r="18444">
      <c r="S18444" s="27"/>
      <c r="T18444" s="27"/>
      <c r="U18444" s="27"/>
    </row>
    <row r="18446">
      <c r="S18446" s="27"/>
      <c r="T18446" s="27"/>
      <c r="U18446" s="27"/>
    </row>
    <row r="18447">
      <c r="S18447" s="27"/>
      <c r="T18447" s="27"/>
      <c r="U18447" s="27"/>
    </row>
    <row r="18449">
      <c r="S18449" s="27"/>
      <c r="T18449" s="27"/>
      <c r="U18449" s="27"/>
    </row>
    <row r="18450">
      <c r="S18450" s="27"/>
      <c r="T18450" s="27"/>
      <c r="U18450" s="27"/>
    </row>
    <row r="18455">
      <c r="S18455" s="27"/>
      <c r="T18455" s="27"/>
      <c r="U18455" s="27"/>
    </row>
    <row r="18456">
      <c r="S18456" s="27"/>
      <c r="T18456" s="27"/>
      <c r="U18456" s="27"/>
    </row>
    <row r="18458">
      <c r="S18458" s="27"/>
      <c r="T18458" s="27"/>
      <c r="U18458" s="27"/>
    </row>
    <row r="18459">
      <c r="S18459" s="27"/>
      <c r="T18459" s="27"/>
      <c r="U18459" s="27"/>
    </row>
    <row r="18461">
      <c r="S18461" s="27"/>
      <c r="T18461" s="27"/>
      <c r="U18461" s="27"/>
    </row>
    <row r="18464">
      <c r="S18464" s="27"/>
      <c r="T18464" s="27"/>
      <c r="U18464" s="27"/>
    </row>
    <row r="18465">
      <c r="S18465" s="27"/>
      <c r="T18465" s="27"/>
    </row>
    <row r="18467">
      <c r="S18467" s="27"/>
      <c r="T18467" s="27"/>
      <c r="U18467" s="27"/>
    </row>
    <row r="18468">
      <c r="S18468" s="27"/>
      <c r="T18468" s="27"/>
      <c r="U18468" s="27"/>
    </row>
    <row r="18471">
      <c r="S18471" s="27"/>
      <c r="T18471" s="27"/>
      <c r="U18471" s="27"/>
    </row>
    <row r="18473">
      <c r="S18473" s="26"/>
      <c r="T18473" s="26"/>
      <c r="U18473" s="26"/>
    </row>
    <row r="18476">
      <c r="S18476" s="27"/>
      <c r="T18476" s="27"/>
      <c r="U18476" s="27"/>
    </row>
    <row r="18477">
      <c r="S18477" s="27"/>
      <c r="T18477" s="27"/>
      <c r="U18477" s="27"/>
    </row>
    <row r="18482">
      <c r="S18482" s="27"/>
      <c r="T18482" s="27"/>
      <c r="U18482" s="27"/>
    </row>
    <row r="18486">
      <c r="S18486" s="27"/>
      <c r="T18486" s="27"/>
      <c r="U18486" s="27"/>
    </row>
    <row r="18488">
      <c r="S18488" s="27"/>
      <c r="T18488" s="27"/>
      <c r="U18488" s="27"/>
    </row>
    <row r="18489">
      <c r="S18489" s="27"/>
      <c r="T18489" s="27"/>
      <c r="U18489" s="27"/>
    </row>
    <row r="18491">
      <c r="S18491" s="27"/>
      <c r="T18491" s="27"/>
      <c r="U18491" s="27"/>
    </row>
    <row r="18492">
      <c r="S18492" s="27"/>
      <c r="T18492" s="27"/>
      <c r="U18492" s="27"/>
    </row>
    <row r="18494">
      <c r="S18494" s="27"/>
    </row>
    <row r="18495">
      <c r="T18495" s="26"/>
      <c r="U18495" s="26"/>
    </row>
    <row r="18497">
      <c r="S18497" s="27"/>
      <c r="T18497" s="27"/>
      <c r="U18497" s="27"/>
    </row>
    <row r="18498">
      <c r="S18498" s="27"/>
      <c r="T18498" s="27"/>
      <c r="U18498" s="27"/>
    </row>
    <row r="18500">
      <c r="S18500" s="27"/>
      <c r="T18500" s="27"/>
      <c r="U18500" s="27"/>
    </row>
    <row r="18501">
      <c r="S18501" s="27"/>
      <c r="T18501" s="27"/>
      <c r="U18501" s="27"/>
    </row>
    <row r="18503">
      <c r="S18503" s="27"/>
      <c r="T18503" s="27"/>
      <c r="U18503" s="27"/>
    </row>
    <row r="18506">
      <c r="S18506" s="27"/>
      <c r="T18506" s="27"/>
      <c r="U18506" s="27"/>
    </row>
    <row r="18507">
      <c r="S18507" s="27"/>
      <c r="T18507" s="27"/>
      <c r="U18507" s="27"/>
    </row>
    <row r="18509">
      <c r="S18509" s="27"/>
      <c r="T18509" s="27"/>
      <c r="U18509" s="27"/>
    </row>
    <row r="18510">
      <c r="S18510" s="27"/>
      <c r="T18510" s="27"/>
      <c r="U18510" s="27"/>
    </row>
    <row r="18512">
      <c r="S18512" s="27"/>
      <c r="T18512" s="27"/>
      <c r="U18512" s="27"/>
    </row>
    <row r="18513">
      <c r="S18513" s="27"/>
      <c r="T18513" s="27"/>
      <c r="U18513" s="27"/>
    </row>
    <row r="18515">
      <c r="S18515" s="27"/>
      <c r="T18515" s="27"/>
      <c r="U18515" s="27"/>
    </row>
    <row r="18516">
      <c r="S18516" s="27"/>
      <c r="T18516" s="27"/>
      <c r="U18516" s="27"/>
    </row>
    <row r="18518">
      <c r="S18518" s="27"/>
      <c r="T18518" s="27"/>
      <c r="U18518" s="27"/>
    </row>
    <row r="18519">
      <c r="S18519" s="27"/>
      <c r="T18519" s="27"/>
      <c r="U18519" s="27"/>
    </row>
    <row r="18521">
      <c r="S18521" s="27"/>
      <c r="T18521" s="27"/>
      <c r="U18521" s="27"/>
    </row>
    <row r="18522">
      <c r="S18522" s="27"/>
      <c r="T18522" s="27"/>
      <c r="U18522" s="27"/>
    </row>
    <row r="18524">
      <c r="S18524" s="27"/>
      <c r="T18524" s="27"/>
      <c r="U18524" s="27"/>
    </row>
    <row r="18525">
      <c r="S18525" s="27"/>
      <c r="T18525" s="27"/>
      <c r="U18525" s="27"/>
    </row>
    <row r="18527">
      <c r="S18527" s="27"/>
      <c r="T18527" s="27"/>
      <c r="U18527" s="27"/>
    </row>
    <row r="18528">
      <c r="S18528" s="27"/>
      <c r="T18528" s="27"/>
      <c r="U18528" s="27"/>
    </row>
    <row r="18530">
      <c r="S18530" s="27"/>
      <c r="T18530" s="27"/>
      <c r="U18530" s="27"/>
    </row>
    <row r="18531">
      <c r="S18531" s="27"/>
      <c r="T18531" s="27"/>
      <c r="U18531" s="27"/>
    </row>
    <row r="18533">
      <c r="S18533" s="27"/>
      <c r="T18533" s="27"/>
      <c r="U18533" s="27"/>
    </row>
    <row r="18534">
      <c r="S18534" s="27"/>
      <c r="T18534" s="27"/>
      <c r="U18534" s="27"/>
    </row>
    <row r="18536">
      <c r="S18536" s="27"/>
      <c r="T18536" s="27"/>
      <c r="U18536" s="27"/>
    </row>
    <row r="18537">
      <c r="S18537" s="27"/>
      <c r="T18537" s="27"/>
      <c r="U18537" s="27"/>
    </row>
    <row r="18539">
      <c r="S18539" s="27"/>
      <c r="T18539" s="27"/>
      <c r="U18539" s="27"/>
    </row>
    <row r="18540">
      <c r="S18540" s="27"/>
      <c r="T18540" s="27"/>
      <c r="U18540" s="27"/>
    </row>
    <row r="18542">
      <c r="S18542" s="27"/>
      <c r="T18542" s="27"/>
      <c r="U18542" s="27"/>
    </row>
    <row r="18543">
      <c r="S18543" s="27"/>
      <c r="T18543" s="27"/>
      <c r="U18543" s="27"/>
    </row>
    <row r="18545">
      <c r="S18545" s="27"/>
      <c r="T18545" s="27"/>
      <c r="U18545" s="27"/>
    </row>
    <row r="18546">
      <c r="S18546" s="27"/>
      <c r="T18546" s="27"/>
      <c r="U18546" s="27"/>
    </row>
    <row r="18548">
      <c r="S18548" s="27"/>
      <c r="T18548" s="27"/>
      <c r="U18548" s="27"/>
    </row>
    <row r="18549">
      <c r="S18549" s="27"/>
      <c r="T18549" s="27"/>
      <c r="U18549" s="27"/>
    </row>
    <row r="18551">
      <c r="S18551" s="27"/>
      <c r="T18551" s="27"/>
      <c r="U18551" s="27"/>
    </row>
    <row r="18552">
      <c r="S18552" s="27"/>
      <c r="T18552" s="27"/>
      <c r="U18552" s="27"/>
    </row>
    <row r="18554">
      <c r="S18554" s="27"/>
      <c r="T18554" s="27"/>
      <c r="U18554" s="27"/>
    </row>
    <row r="18555">
      <c r="S18555" s="27"/>
      <c r="T18555" s="27"/>
      <c r="U18555" s="27"/>
    </row>
    <row r="18557">
      <c r="S18557" s="27"/>
      <c r="T18557" s="27"/>
      <c r="U18557" s="27"/>
    </row>
    <row r="18558">
      <c r="S18558" s="27"/>
      <c r="T18558" s="27"/>
      <c r="U18558" s="27"/>
    </row>
    <row r="18560">
      <c r="S18560" s="27"/>
      <c r="T18560" s="27"/>
      <c r="U18560" s="27"/>
    </row>
    <row r="18561">
      <c r="S18561" s="27"/>
      <c r="T18561" s="27"/>
      <c r="U18561" s="27"/>
    </row>
    <row r="18563">
      <c r="S18563" s="27"/>
      <c r="T18563" s="27"/>
      <c r="U18563" s="27"/>
    </row>
    <row r="18564">
      <c r="S18564" s="27"/>
      <c r="T18564" s="27"/>
      <c r="U18564" s="27"/>
    </row>
    <row r="18566">
      <c r="S18566" s="27"/>
      <c r="T18566" s="27"/>
      <c r="U18566" s="27"/>
    </row>
    <row r="18567">
      <c r="S18567" s="27"/>
      <c r="T18567" s="27"/>
      <c r="U18567" s="27"/>
    </row>
    <row r="18569">
      <c r="S18569" s="27"/>
      <c r="T18569" s="27"/>
      <c r="U18569" s="27"/>
    </row>
    <row r="18570">
      <c r="S18570" s="27"/>
      <c r="T18570" s="27"/>
      <c r="U18570" s="27"/>
    </row>
    <row r="18572">
      <c r="S18572" s="27"/>
      <c r="T18572" s="27"/>
      <c r="U18572" s="27"/>
    </row>
    <row r="18573">
      <c r="S18573" s="27"/>
      <c r="T18573" s="27"/>
      <c r="U18573" s="27"/>
    </row>
    <row r="18575">
      <c r="S18575" s="27"/>
      <c r="T18575" s="27"/>
      <c r="U18575" s="27"/>
    </row>
    <row r="18576">
      <c r="S18576" s="27"/>
      <c r="T18576" s="27"/>
      <c r="U18576" s="27"/>
    </row>
    <row r="18578">
      <c r="S18578" s="27"/>
      <c r="T18578" s="27"/>
      <c r="U18578" s="27"/>
    </row>
    <row r="18579">
      <c r="S18579" s="27"/>
      <c r="T18579" s="27"/>
      <c r="U18579" s="27"/>
    </row>
    <row r="18581">
      <c r="S18581" s="27"/>
      <c r="T18581" s="27"/>
      <c r="U18581" s="27"/>
    </row>
    <row r="18582">
      <c r="S18582" s="27"/>
      <c r="T18582" s="27"/>
      <c r="U18582" s="27"/>
    </row>
    <row r="18584">
      <c r="S18584" s="27"/>
      <c r="T18584" s="27"/>
      <c r="U18584" s="27"/>
    </row>
    <row r="18585">
      <c r="S18585" s="27"/>
      <c r="T18585" s="27"/>
      <c r="U18585" s="27"/>
    </row>
    <row r="18587">
      <c r="S18587" s="27"/>
      <c r="T18587" s="27"/>
      <c r="U18587" s="27"/>
    </row>
    <row r="18588">
      <c r="S18588" s="27"/>
      <c r="T18588" s="27"/>
      <c r="U18588" s="27"/>
    </row>
    <row r="18590">
      <c r="S18590" s="27"/>
      <c r="T18590" s="27"/>
      <c r="U18590" s="27"/>
    </row>
    <row r="18591">
      <c r="S18591" s="27"/>
      <c r="T18591" s="27"/>
      <c r="U18591" s="27"/>
    </row>
    <row r="18593">
      <c r="S18593" s="27"/>
      <c r="T18593" s="27"/>
      <c r="U18593" s="27"/>
    </row>
    <row r="18595">
      <c r="S18595" s="27"/>
      <c r="T18595" s="27"/>
      <c r="U18595" s="27"/>
    </row>
    <row r="18596">
      <c r="S18596" s="27"/>
      <c r="T18596" s="27"/>
      <c r="U18596" s="27"/>
    </row>
    <row r="18598">
      <c r="S18598" s="27"/>
      <c r="T18598" s="27"/>
      <c r="U18598" s="27"/>
    </row>
    <row r="18599">
      <c r="S18599" s="27"/>
      <c r="T18599" s="27"/>
      <c r="U18599" s="27"/>
    </row>
    <row r="18601">
      <c r="S18601" s="27"/>
      <c r="T18601" s="27"/>
      <c r="U18601" s="27"/>
    </row>
    <row r="18602">
      <c r="S18602" s="27"/>
      <c r="T18602" s="27"/>
      <c r="U18602" s="27"/>
    </row>
    <row r="18604">
      <c r="S18604" s="27"/>
      <c r="T18604" s="27"/>
      <c r="U18604" s="27"/>
    </row>
    <row r="18605">
      <c r="S18605" s="27"/>
      <c r="T18605" s="27"/>
      <c r="U18605" s="27"/>
    </row>
    <row r="18607">
      <c r="S18607" s="27"/>
      <c r="T18607" s="27"/>
      <c r="U18607" s="27"/>
    </row>
    <row r="18608">
      <c r="S18608" s="27"/>
      <c r="T18608" s="27"/>
      <c r="U18608" s="27"/>
    </row>
    <row r="18610">
      <c r="S18610" s="27"/>
      <c r="T18610" s="27"/>
      <c r="U18610" s="27"/>
    </row>
    <row r="18611">
      <c r="S18611" s="27"/>
      <c r="T18611" s="27"/>
      <c r="U18611" s="27"/>
    </row>
    <row r="18613">
      <c r="S18613" s="27"/>
      <c r="T18613" s="27"/>
      <c r="U18613" s="27"/>
    </row>
    <row r="18614">
      <c r="S18614" s="27"/>
      <c r="T18614" s="27"/>
      <c r="U18614" s="27"/>
    </row>
    <row r="18616">
      <c r="S18616" s="27"/>
      <c r="T18616" s="27"/>
      <c r="U18616" s="27"/>
    </row>
    <row r="18618">
      <c r="S18618" s="33"/>
      <c r="T18618" s="27"/>
      <c r="U18618" s="27"/>
    </row>
    <row r="18620">
      <c r="S18620" s="27"/>
      <c r="T18620" s="27"/>
      <c r="U18620" s="27"/>
    </row>
    <row r="18622">
      <c r="S18622" s="27"/>
      <c r="T18622" s="27"/>
      <c r="U18622" s="27"/>
    </row>
    <row r="18624">
      <c r="S18624" s="27"/>
      <c r="T18624" s="27"/>
      <c r="U18624" s="27"/>
    </row>
    <row r="18625">
      <c r="S18625" s="27"/>
      <c r="T18625" s="27"/>
      <c r="U18625" s="27"/>
    </row>
    <row r="18627">
      <c r="S18627" s="27"/>
      <c r="T18627" s="27"/>
      <c r="U18627" s="27"/>
    </row>
    <row r="18628">
      <c r="S18628" s="27"/>
      <c r="T18628" s="27"/>
      <c r="U18628" s="27"/>
    </row>
    <row r="18630">
      <c r="S18630" s="27"/>
      <c r="T18630" s="27"/>
      <c r="U18630" s="27"/>
    </row>
    <row r="18633">
      <c r="S18633" s="27"/>
      <c r="T18633" s="27"/>
      <c r="U18633" s="27"/>
    </row>
    <row r="18634">
      <c r="S18634" s="27"/>
      <c r="T18634" s="27"/>
      <c r="U18634" s="27"/>
    </row>
    <row r="18636">
      <c r="S18636" s="27"/>
      <c r="T18636" s="27"/>
      <c r="U18636" s="27"/>
    </row>
    <row r="18637">
      <c r="S18637" s="27"/>
      <c r="T18637" s="27"/>
      <c r="U18637" s="27"/>
    </row>
    <row r="18639">
      <c r="S18639" s="27"/>
      <c r="T18639" s="27"/>
      <c r="U18639" s="27"/>
    </row>
    <row r="18640">
      <c r="S18640" s="27"/>
      <c r="T18640" s="27"/>
      <c r="U18640" s="27"/>
    </row>
    <row r="18642">
      <c r="S18642" s="27"/>
      <c r="T18642" s="33"/>
      <c r="U18642" s="33"/>
    </row>
    <row r="18643">
      <c r="S18643" s="27"/>
    </row>
    <row r="18648">
      <c r="S18648" s="27"/>
      <c r="T18648" s="27"/>
      <c r="U18648" s="27"/>
    </row>
    <row r="18651">
      <c r="S18651" s="27"/>
      <c r="T18651" s="27"/>
      <c r="U18651" s="27"/>
    </row>
    <row r="18652">
      <c r="S18652" s="27"/>
      <c r="T18652" s="27"/>
      <c r="U18652" s="27"/>
    </row>
    <row r="18654">
      <c r="S18654" s="27"/>
      <c r="T18654" s="27"/>
      <c r="U18654" s="27"/>
    </row>
    <row r="18655">
      <c r="S18655" s="27"/>
      <c r="T18655" s="27"/>
      <c r="U18655" s="27"/>
    </row>
    <row r="18657">
      <c r="S18657" s="27"/>
      <c r="T18657" s="27"/>
      <c r="U18657" s="27"/>
    </row>
    <row r="18658">
      <c r="S18658" s="27"/>
      <c r="T18658" s="27"/>
      <c r="U18658" s="27"/>
    </row>
    <row r="18660">
      <c r="U18660" s="27"/>
    </row>
    <row r="18663">
      <c r="S18663" s="27"/>
      <c r="T18663" s="27"/>
      <c r="U18663" s="27"/>
    </row>
    <row r="18664">
      <c r="S18664" s="27"/>
      <c r="T18664" s="27"/>
      <c r="U18664" s="27"/>
    </row>
    <row r="18666">
      <c r="S18666" s="27"/>
      <c r="T18666" s="27"/>
      <c r="U18666" s="27"/>
    </row>
    <row r="18667">
      <c r="S18667" s="27"/>
      <c r="T18667" s="27"/>
      <c r="U18667" s="27"/>
    </row>
    <row r="18669">
      <c r="S18669" s="27"/>
      <c r="T18669" s="27"/>
      <c r="U18669" s="27"/>
    </row>
    <row r="18670">
      <c r="S18670" s="27"/>
      <c r="T18670" s="27"/>
      <c r="U18670" s="27"/>
    </row>
    <row r="18672">
      <c r="S18672" s="27"/>
      <c r="T18672" s="27"/>
      <c r="U18672" s="27"/>
    </row>
    <row r="18675">
      <c r="S18675" s="26"/>
      <c r="T18675" s="26"/>
      <c r="U18675" s="26"/>
    </row>
    <row r="18678">
      <c r="S18678" s="27"/>
      <c r="T18678" s="27"/>
      <c r="U18678" s="27"/>
    </row>
    <row r="18679">
      <c r="S18679" s="27"/>
      <c r="T18679" s="27"/>
      <c r="U18679" s="27"/>
    </row>
    <row r="18681">
      <c r="S18681" s="27"/>
      <c r="T18681" s="27"/>
      <c r="U18681" s="27"/>
    </row>
    <row r="18682">
      <c r="S18682" s="27"/>
      <c r="T18682" s="27"/>
      <c r="U18682" s="27"/>
    </row>
    <row r="18687">
      <c r="T18687" s="34"/>
      <c r="U18687" s="26"/>
    </row>
    <row r="18690">
      <c r="S18690" s="27"/>
      <c r="T18690" s="27"/>
      <c r="U18690" s="27"/>
    </row>
    <row r="18693">
      <c r="S18693" s="27"/>
      <c r="T18693" s="27"/>
      <c r="U18693" s="27"/>
    </row>
    <row r="18694">
      <c r="S18694" s="27"/>
      <c r="T18694" s="27"/>
      <c r="U18694" s="27"/>
    </row>
    <row r="18696">
      <c r="S18696" s="27"/>
      <c r="T18696" s="27"/>
      <c r="U18696" s="27"/>
    </row>
    <row r="18697">
      <c r="S18697" s="27"/>
      <c r="T18697" s="27"/>
      <c r="U18697" s="27"/>
    </row>
    <row r="18699">
      <c r="S18699" s="27"/>
      <c r="T18699" s="27"/>
      <c r="U18699" s="27"/>
    </row>
    <row r="18700">
      <c r="S18700" s="27"/>
      <c r="T18700" s="27"/>
      <c r="U18700" s="27"/>
    </row>
    <row r="18702">
      <c r="S18702" s="27"/>
      <c r="T18702" s="27"/>
      <c r="U18702" s="27"/>
    </row>
    <row r="18703">
      <c r="S18703" s="27"/>
      <c r="T18703" s="27"/>
      <c r="U18703" s="27"/>
    </row>
    <row r="18705">
      <c r="S18705" s="27"/>
      <c r="T18705" s="27"/>
      <c r="U18705" s="27"/>
    </row>
    <row r="18706">
      <c r="S18706" s="27"/>
      <c r="T18706" s="27"/>
      <c r="U18706" s="27"/>
    </row>
    <row r="18708">
      <c r="S18708" s="27"/>
      <c r="T18708" s="27"/>
      <c r="U18708" s="27"/>
    </row>
    <row r="18709">
      <c r="S18709" s="27"/>
      <c r="T18709" s="27"/>
      <c r="U18709" s="27"/>
    </row>
    <row r="18711">
      <c r="S18711" s="27"/>
      <c r="T18711" s="27"/>
      <c r="U18711" s="27"/>
    </row>
    <row r="18712">
      <c r="S18712" s="27"/>
      <c r="T18712" s="27"/>
      <c r="U18712" s="27"/>
    </row>
    <row r="18714">
      <c r="S18714" s="27"/>
      <c r="T18714" s="27"/>
      <c r="U18714" s="27"/>
    </row>
    <row r="18715">
      <c r="S18715" s="27"/>
      <c r="T18715" s="27"/>
      <c r="U18715" s="27"/>
    </row>
    <row r="18717">
      <c r="S18717" s="27"/>
      <c r="T18717" s="27"/>
      <c r="U18717" s="27"/>
    </row>
    <row r="18718">
      <c r="S18718" s="27"/>
      <c r="T18718" s="27"/>
      <c r="U18718" s="27"/>
    </row>
    <row r="18720">
      <c r="S18720" s="27"/>
      <c r="T18720" s="27"/>
      <c r="U18720" s="27"/>
    </row>
    <row r="18721">
      <c r="S18721" s="27"/>
      <c r="T18721" s="27"/>
      <c r="U18721" s="27"/>
    </row>
    <row r="18723">
      <c r="S18723" s="27"/>
      <c r="T18723" s="27"/>
      <c r="U18723" s="27"/>
    </row>
    <row r="18724">
      <c r="S18724" s="27"/>
      <c r="T18724" s="27"/>
      <c r="U18724" s="27"/>
    </row>
    <row r="18726">
      <c r="S18726" s="27"/>
      <c r="T18726" s="27"/>
      <c r="U18726" s="27"/>
    </row>
    <row r="18727">
      <c r="S18727" s="27"/>
      <c r="T18727" s="27"/>
      <c r="U18727" s="27"/>
    </row>
    <row r="18729">
      <c r="S18729" s="27"/>
      <c r="T18729" s="27"/>
      <c r="U18729" s="27"/>
    </row>
    <row r="18730">
      <c r="S18730" s="27"/>
      <c r="T18730" s="27"/>
      <c r="U18730" s="27"/>
    </row>
    <row r="18732">
      <c r="S18732" s="27"/>
      <c r="T18732" s="27"/>
      <c r="U18732" s="27"/>
    </row>
    <row r="18733">
      <c r="S18733" s="27"/>
      <c r="T18733" s="27"/>
      <c r="U18733" s="27"/>
    </row>
    <row r="18735">
      <c r="S18735" s="27"/>
      <c r="T18735" s="27"/>
      <c r="U18735" s="27"/>
    </row>
    <row r="18736">
      <c r="S18736" s="27"/>
      <c r="T18736" s="27"/>
      <c r="U18736" s="27"/>
    </row>
    <row r="18738">
      <c r="S18738" s="27"/>
      <c r="T18738" s="27"/>
      <c r="U18738" s="27"/>
    </row>
    <row r="18739">
      <c r="S18739" s="27"/>
      <c r="T18739" s="27"/>
      <c r="U18739" s="27"/>
    </row>
    <row r="18741">
      <c r="S18741" s="33"/>
      <c r="T18741" s="33"/>
      <c r="U18741" s="27"/>
    </row>
    <row r="18742">
      <c r="S18742" s="33"/>
      <c r="T18742" s="33"/>
      <c r="U18742" s="27"/>
    </row>
    <row r="18744">
      <c r="S18744" s="27"/>
      <c r="T18744" s="27"/>
      <c r="U18744" s="27"/>
    </row>
    <row r="18745">
      <c r="S18745" s="27"/>
      <c r="T18745" s="27"/>
      <c r="U18745" s="27"/>
    </row>
    <row r="18747">
      <c r="S18747" s="27"/>
      <c r="T18747" s="27"/>
      <c r="U18747" s="27"/>
    </row>
    <row r="18748">
      <c r="S18748" s="27"/>
      <c r="T18748" s="27"/>
      <c r="U18748" s="27"/>
    </row>
    <row r="18750">
      <c r="S18750" s="27"/>
      <c r="T18750" s="27"/>
      <c r="U18750" s="27"/>
    </row>
    <row r="18751">
      <c r="S18751" s="27"/>
      <c r="T18751" s="27"/>
      <c r="U18751" s="27"/>
    </row>
    <row r="18753">
      <c r="S18753" s="27"/>
      <c r="T18753" s="27"/>
      <c r="U18753" s="27"/>
    </row>
    <row r="18754">
      <c r="S18754" s="27"/>
      <c r="T18754" s="27"/>
      <c r="U18754" s="27"/>
    </row>
    <row r="18756">
      <c r="S18756" s="27"/>
      <c r="T18756" s="27"/>
      <c r="U18756" s="27"/>
    </row>
    <row r="18757">
      <c r="S18757" s="27"/>
      <c r="T18757" s="27"/>
      <c r="U18757" s="27"/>
    </row>
    <row r="18759">
      <c r="S18759" s="27"/>
      <c r="T18759" s="27"/>
      <c r="U18759" s="27"/>
    </row>
    <row r="18760">
      <c r="S18760" s="27"/>
      <c r="T18760" s="27"/>
      <c r="U18760" s="27"/>
    </row>
    <row r="18762">
      <c r="S18762" s="27"/>
      <c r="T18762" s="27"/>
      <c r="U18762" s="27"/>
    </row>
    <row r="18763">
      <c r="S18763" s="27"/>
      <c r="T18763" s="27"/>
      <c r="U18763" s="27"/>
    </row>
    <row r="18765">
      <c r="S18765" s="27"/>
      <c r="T18765" s="27"/>
      <c r="U18765" s="27"/>
    </row>
    <row r="18766">
      <c r="S18766" s="27"/>
      <c r="T18766" s="27"/>
      <c r="U18766" s="27"/>
    </row>
    <row r="18768">
      <c r="S18768" s="27"/>
      <c r="T18768" s="27"/>
      <c r="U18768" s="27"/>
    </row>
    <row r="18769">
      <c r="S18769" s="27"/>
      <c r="T18769" s="27"/>
      <c r="U18769" s="27"/>
    </row>
    <row r="18771">
      <c r="S18771" s="27"/>
      <c r="T18771" s="27"/>
      <c r="U18771" s="27"/>
    </row>
    <row r="18774">
      <c r="S18774" s="33"/>
      <c r="T18774" s="33"/>
    </row>
    <row r="18775">
      <c r="S18775" s="27"/>
      <c r="T18775" s="27"/>
    </row>
    <row r="18777">
      <c r="S18777" s="27"/>
      <c r="T18777" s="27"/>
      <c r="U18777" s="27"/>
    </row>
    <row r="18778">
      <c r="S18778" s="27"/>
      <c r="T18778" s="27"/>
      <c r="U18778" s="27"/>
    </row>
    <row r="18780">
      <c r="S18780" s="27"/>
      <c r="T18780" s="27"/>
      <c r="U18780" s="27"/>
    </row>
    <row r="18783">
      <c r="S18783" s="27"/>
      <c r="T18783" s="27"/>
      <c r="U18783" s="27"/>
    </row>
    <row r="18784">
      <c r="S18784" s="27"/>
      <c r="T18784" s="27"/>
      <c r="U18784" s="27"/>
    </row>
    <row r="18786">
      <c r="S18786" s="27"/>
      <c r="T18786" s="27"/>
      <c r="U18786" s="27"/>
    </row>
    <row r="18787">
      <c r="S18787" s="27"/>
      <c r="T18787" s="27"/>
      <c r="U18787" s="27"/>
    </row>
    <row r="18789">
      <c r="S18789" s="27"/>
      <c r="T18789" s="27"/>
      <c r="U18789" s="27"/>
    </row>
    <row r="18790">
      <c r="S18790" s="27"/>
      <c r="T18790" s="27"/>
      <c r="U18790" s="27"/>
    </row>
    <row r="18792">
      <c r="U18792" s="26"/>
    </row>
    <row r="18795">
      <c r="S18795" s="27"/>
      <c r="T18795" s="27"/>
      <c r="U18795" s="26"/>
    </row>
    <row r="18800">
      <c r="S18800" s="27"/>
      <c r="T18800" s="27"/>
      <c r="U18800" s="27"/>
    </row>
    <row r="18802">
      <c r="S18802" s="26"/>
      <c r="T18802" s="27"/>
      <c r="U18802" s="27"/>
    </row>
    <row r="18805">
      <c r="S18805" s="27"/>
      <c r="T18805" s="27"/>
      <c r="U18805" s="27"/>
    </row>
    <row r="18808">
      <c r="S18808" s="27"/>
      <c r="T18808" s="27"/>
      <c r="U18808" s="27"/>
    </row>
    <row r="18809">
      <c r="S18809" s="27"/>
      <c r="T18809" s="27"/>
      <c r="U18809" s="27"/>
    </row>
    <row r="18811">
      <c r="S18811" s="27"/>
      <c r="T18811" s="27"/>
      <c r="U18811" s="27"/>
    </row>
    <row r="18812">
      <c r="S18812" s="27"/>
      <c r="T18812" s="27"/>
      <c r="U18812" s="27"/>
    </row>
    <row r="18814">
      <c r="S18814" s="27"/>
      <c r="T18814" s="27"/>
      <c r="U18814" s="27"/>
    </row>
    <row r="18815">
      <c r="S18815" s="27"/>
      <c r="U18815" s="27"/>
    </row>
    <row r="18817">
      <c r="S18817" s="26"/>
      <c r="T18817" s="27"/>
      <c r="U18817" s="27"/>
    </row>
    <row r="18818">
      <c r="S18818" s="26"/>
      <c r="T18818" s="27"/>
      <c r="U18818" s="27"/>
    </row>
    <row r="18820">
      <c r="S18820" s="27"/>
      <c r="T18820" s="27"/>
      <c r="U18820" s="27"/>
    </row>
    <row r="18821">
      <c r="S18821" s="27"/>
      <c r="T18821" s="27"/>
      <c r="U18821" s="27"/>
    </row>
    <row r="18826">
      <c r="S18826" s="27"/>
      <c r="T18826" s="27"/>
      <c r="U18826" s="27"/>
    </row>
    <row r="18827">
      <c r="S18827" s="27"/>
      <c r="T18827" s="27"/>
      <c r="U18827" s="27"/>
    </row>
    <row r="18829">
      <c r="S18829" s="27"/>
      <c r="T18829" s="27"/>
      <c r="U18829" s="27"/>
    </row>
    <row r="18830">
      <c r="S18830" s="27"/>
      <c r="T18830" s="27"/>
      <c r="U18830" s="27"/>
    </row>
    <row r="18832">
      <c r="S18832" s="27"/>
      <c r="T18832" s="27"/>
      <c r="U18832" s="27"/>
    </row>
    <row r="18833">
      <c r="S18833" s="27"/>
      <c r="T18833" s="27"/>
      <c r="U18833" s="27"/>
    </row>
    <row r="18838">
      <c r="S18838" s="27"/>
      <c r="T18838" s="27"/>
      <c r="U18838" s="27"/>
    </row>
    <row r="18841">
      <c r="S18841" s="33"/>
      <c r="T18841" s="33"/>
      <c r="U18841" s="27"/>
    </row>
    <row r="18842">
      <c r="S18842" s="33"/>
      <c r="T18842" s="33"/>
      <c r="U18842" s="33"/>
    </row>
    <row r="18844">
      <c r="T18844" s="27"/>
      <c r="U18844" s="27"/>
    </row>
    <row r="18845">
      <c r="S18845" s="26"/>
      <c r="T18845" s="26"/>
      <c r="U18845" s="26"/>
    </row>
    <row r="18847">
      <c r="S18847" s="27"/>
      <c r="T18847" s="27"/>
      <c r="U18847" s="27"/>
    </row>
    <row r="18848">
      <c r="S18848" s="27"/>
      <c r="T18848" s="27"/>
      <c r="U18848" s="27"/>
    </row>
    <row r="18850">
      <c r="S18850" s="27"/>
      <c r="T18850" s="27"/>
      <c r="U18850" s="27"/>
    </row>
    <row r="18851">
      <c r="S18851" s="27"/>
      <c r="T18851" s="27"/>
      <c r="U18851" s="27"/>
    </row>
    <row r="18853">
      <c r="S18853" s="27"/>
      <c r="T18853" s="27"/>
      <c r="U18853" s="27"/>
    </row>
    <row r="18854">
      <c r="S18854" s="27"/>
      <c r="T18854" s="27"/>
      <c r="U18854" s="27"/>
    </row>
    <row r="18856">
      <c r="S18856" s="27"/>
      <c r="T18856" s="27"/>
      <c r="U18856" s="27"/>
    </row>
    <row r="18857">
      <c r="S18857" s="27"/>
      <c r="T18857" s="27"/>
      <c r="U18857" s="27"/>
    </row>
    <row r="18862">
      <c r="S18862" s="27"/>
      <c r="T18862" s="27"/>
      <c r="U18862" s="27"/>
    </row>
    <row r="18863">
      <c r="S18863" s="27"/>
      <c r="T18863" s="27"/>
      <c r="U18863" s="27"/>
    </row>
    <row r="18866">
      <c r="S18866" s="27"/>
      <c r="T18866" s="27"/>
      <c r="U18866" s="27"/>
    </row>
    <row r="18868">
      <c r="S18868" s="27"/>
      <c r="T18868" s="27"/>
      <c r="U18868" s="27"/>
    </row>
    <row r="18871">
      <c r="S18871" s="27"/>
      <c r="T18871" s="27"/>
      <c r="U18871" s="26"/>
    </row>
    <row r="18872">
      <c r="T18872" s="27"/>
    </row>
    <row r="18874">
      <c r="S18874" s="27"/>
      <c r="T18874" s="27"/>
      <c r="U18874" s="27"/>
    </row>
    <row r="18875">
      <c r="S18875" s="27"/>
      <c r="T18875" s="27"/>
      <c r="U18875" s="27"/>
    </row>
    <row r="18877">
      <c r="S18877" s="27"/>
      <c r="T18877" s="27"/>
      <c r="U18877" s="27"/>
    </row>
    <row r="18878">
      <c r="S18878" s="27"/>
      <c r="T18878" s="27"/>
      <c r="U18878" s="27"/>
    </row>
    <row r="18880">
      <c r="S18880" s="26"/>
      <c r="T18880" s="26"/>
      <c r="U18880" s="26"/>
    </row>
    <row r="18883">
      <c r="S18883" s="27"/>
      <c r="T18883" s="27"/>
      <c r="U18883" s="27"/>
    </row>
    <row r="18884">
      <c r="S18884" s="27"/>
      <c r="T18884" s="27"/>
      <c r="U18884" s="27"/>
    </row>
    <row r="18886">
      <c r="S18886" s="26"/>
      <c r="T18886" s="26"/>
      <c r="U18886" s="26"/>
    </row>
    <row r="18889">
      <c r="S18889" s="27"/>
      <c r="T18889" s="27"/>
      <c r="U18889" s="27"/>
    </row>
    <row r="18892">
      <c r="S18892" s="27"/>
      <c r="T18892" s="27"/>
      <c r="U18892" s="27"/>
    </row>
    <row r="18893">
      <c r="S18893" s="27"/>
      <c r="T18893" s="27"/>
      <c r="U18893" s="27"/>
    </row>
    <row r="18895">
      <c r="S18895" s="27"/>
      <c r="T18895" s="27"/>
      <c r="U18895" s="27"/>
    </row>
    <row r="18896">
      <c r="S18896" s="26"/>
      <c r="T18896" s="27"/>
      <c r="U18896" s="27"/>
    </row>
    <row r="18898">
      <c r="S18898" s="27"/>
      <c r="T18898" s="27"/>
      <c r="U18898" s="27"/>
    </row>
    <row r="18899">
      <c r="S18899" s="27"/>
      <c r="T18899" s="27"/>
      <c r="U18899" s="27"/>
    </row>
    <row r="18901">
      <c r="S18901" s="27"/>
    </row>
    <row r="18902">
      <c r="T18902" s="26"/>
      <c r="U18902" s="26"/>
    </row>
    <row r="18904">
      <c r="S18904" s="27"/>
      <c r="T18904" s="27"/>
      <c r="U18904" s="27"/>
    </row>
    <row r="18905">
      <c r="S18905" s="27"/>
      <c r="T18905" s="27"/>
      <c r="U18905" s="27"/>
    </row>
    <row r="18907">
      <c r="S18907" s="27"/>
      <c r="T18907" s="27"/>
      <c r="U18907" s="27"/>
    </row>
    <row r="18908">
      <c r="S18908" s="27"/>
      <c r="T18908" s="27"/>
      <c r="U18908" s="27"/>
    </row>
    <row r="18910">
      <c r="S18910" s="27"/>
      <c r="T18910" s="27"/>
      <c r="U18910" s="27"/>
    </row>
    <row r="18911">
      <c r="S18911" s="27"/>
      <c r="T18911" s="27"/>
      <c r="U18911" s="27"/>
    </row>
    <row r="18913">
      <c r="S18913" s="27"/>
      <c r="T18913" s="27"/>
      <c r="U18913" s="27"/>
    </row>
    <row r="18914">
      <c r="S18914" s="27"/>
      <c r="T18914" s="27"/>
      <c r="U18914" s="27"/>
    </row>
    <row r="18916">
      <c r="S18916" s="27"/>
      <c r="T18916" s="27"/>
      <c r="U18916" s="27"/>
    </row>
    <row r="18917">
      <c r="S18917" s="27"/>
      <c r="T18917" s="27"/>
      <c r="U18917" s="27"/>
    </row>
    <row r="18919">
      <c r="S18919" s="27"/>
      <c r="T18919" s="27"/>
      <c r="U18919" s="27"/>
    </row>
    <row r="18920">
      <c r="S18920" s="27"/>
      <c r="T18920" s="27"/>
      <c r="U18920" s="27"/>
    </row>
    <row r="18922">
      <c r="S18922" s="27"/>
      <c r="T18922" s="27"/>
      <c r="U18922" s="27"/>
    </row>
    <row r="18923">
      <c r="S18923" s="27"/>
      <c r="T18923" s="27"/>
      <c r="U18923" s="27"/>
    </row>
    <row r="18925">
      <c r="S18925" s="27"/>
      <c r="T18925" s="27"/>
      <c r="U18925" s="27"/>
    </row>
    <row r="18926">
      <c r="S18926" s="27"/>
      <c r="T18926" s="27"/>
      <c r="U18926" s="27"/>
    </row>
    <row r="18928">
      <c r="S18928" s="27"/>
      <c r="T18928" s="27"/>
      <c r="U18928" s="27"/>
    </row>
    <row r="18929">
      <c r="S18929" s="27"/>
      <c r="T18929" s="27"/>
      <c r="U18929" s="27"/>
    </row>
    <row r="18931">
      <c r="S18931" s="27"/>
      <c r="T18931" s="27"/>
      <c r="U18931" s="27"/>
    </row>
    <row r="18932">
      <c r="S18932" s="27"/>
      <c r="T18932" s="27"/>
      <c r="U18932" s="27"/>
    </row>
    <row r="18934">
      <c r="S18934" s="27"/>
      <c r="T18934" s="27"/>
      <c r="U18934" s="27"/>
    </row>
    <row r="18935">
      <c r="S18935" s="27"/>
      <c r="T18935" s="27"/>
      <c r="U18935" s="27"/>
    </row>
    <row r="18937">
      <c r="S18937" s="27"/>
      <c r="T18937" s="27"/>
      <c r="U18937" s="27"/>
    </row>
    <row r="18938">
      <c r="S18938" s="27"/>
      <c r="T18938" s="27"/>
      <c r="U18938" s="27"/>
    </row>
    <row r="18940">
      <c r="S18940" s="27"/>
      <c r="T18940" s="27"/>
      <c r="U18940" s="27"/>
    </row>
    <row r="18941">
      <c r="S18941" s="27"/>
      <c r="T18941" s="27"/>
      <c r="U18941" s="27"/>
    </row>
    <row r="18943">
      <c r="S18943" s="27"/>
      <c r="T18943" s="27"/>
      <c r="U18943" s="27"/>
    </row>
    <row r="18944">
      <c r="S18944" s="27"/>
      <c r="T18944" s="27"/>
      <c r="U18944" s="27"/>
    </row>
    <row r="18946">
      <c r="S18946" s="27"/>
      <c r="T18946" s="27"/>
      <c r="U18946" s="27"/>
    </row>
    <row r="18947">
      <c r="S18947" s="27"/>
      <c r="T18947" s="27"/>
      <c r="U18947" s="27"/>
    </row>
    <row r="18949">
      <c r="S18949" s="27"/>
      <c r="T18949" s="27"/>
      <c r="U18949" s="27"/>
    </row>
    <row r="18950">
      <c r="S18950" s="27"/>
      <c r="T18950" s="27"/>
      <c r="U18950" s="27"/>
    </row>
    <row r="18952">
      <c r="S18952" s="27"/>
      <c r="T18952" s="27"/>
      <c r="U18952" s="27"/>
    </row>
    <row r="18953">
      <c r="S18953" s="27"/>
      <c r="T18953" s="27"/>
      <c r="U18953" s="27"/>
    </row>
    <row r="18955">
      <c r="S18955" s="27"/>
      <c r="T18955" s="27"/>
      <c r="U18955" s="27"/>
    </row>
    <row r="18956">
      <c r="S18956" s="27"/>
      <c r="T18956" s="27"/>
      <c r="U18956" s="27"/>
    </row>
    <row r="18958">
      <c r="S18958" s="27"/>
      <c r="T18958" s="27"/>
      <c r="U18958" s="27"/>
    </row>
    <row r="18959">
      <c r="S18959" s="27"/>
      <c r="T18959" s="27"/>
      <c r="U18959" s="27"/>
    </row>
    <row r="18961">
      <c r="S18961" s="27"/>
      <c r="T18961" s="27"/>
      <c r="U18961" s="27"/>
    </row>
    <row r="18962">
      <c r="S18962" s="27"/>
      <c r="T18962" s="27"/>
      <c r="U18962" s="27"/>
    </row>
    <row r="18964">
      <c r="S18964" s="27"/>
      <c r="T18964" s="27"/>
      <c r="U18964" s="27"/>
    </row>
    <row r="18965">
      <c r="S18965" s="27"/>
      <c r="T18965" s="27"/>
      <c r="U18965" s="27"/>
    </row>
    <row r="18967">
      <c r="S18967" s="27"/>
      <c r="T18967" s="27"/>
      <c r="U18967" s="27"/>
    </row>
    <row r="18968">
      <c r="S18968" s="27"/>
      <c r="T18968" s="27"/>
      <c r="U18968" s="27"/>
    </row>
    <row r="18970">
      <c r="S18970" s="27"/>
      <c r="T18970" s="27"/>
      <c r="U18970" s="27"/>
    </row>
    <row r="18971">
      <c r="S18971" s="27"/>
      <c r="T18971" s="27"/>
      <c r="U18971" s="27"/>
    </row>
    <row r="18973">
      <c r="S18973" s="27"/>
      <c r="T18973" s="27"/>
      <c r="U18973" s="27"/>
    </row>
    <row r="18974">
      <c r="S18974" s="27"/>
      <c r="T18974" s="27"/>
      <c r="U18974" s="27"/>
    </row>
    <row r="18976">
      <c r="S18976" s="27"/>
      <c r="T18976" s="27"/>
      <c r="U18976" s="27"/>
    </row>
    <row r="18977">
      <c r="S18977" s="27"/>
      <c r="T18977" s="27"/>
      <c r="U18977" s="27"/>
    </row>
    <row r="18979">
      <c r="S18979" s="27"/>
      <c r="T18979" s="27"/>
      <c r="U18979" s="27"/>
    </row>
    <row r="18980">
      <c r="S18980" s="27"/>
      <c r="T18980" s="27"/>
      <c r="U18980" s="27"/>
    </row>
    <row r="18982">
      <c r="S18982" s="27"/>
      <c r="T18982" s="27"/>
      <c r="U18982" s="27"/>
    </row>
    <row r="18983">
      <c r="S18983" s="27"/>
      <c r="T18983" s="27"/>
      <c r="U18983" s="27"/>
    </row>
    <row r="18985">
      <c r="S18985" s="27"/>
      <c r="T18985" s="27"/>
      <c r="U18985" s="27"/>
    </row>
    <row r="18986">
      <c r="S18986" s="27"/>
      <c r="T18986" s="27"/>
      <c r="U18986" s="27"/>
    </row>
    <row r="18988">
      <c r="S18988" s="27"/>
      <c r="T18988" s="27"/>
      <c r="U18988" s="27"/>
    </row>
    <row r="18989">
      <c r="S18989" s="27"/>
      <c r="T18989" s="27"/>
      <c r="U18989" s="27"/>
    </row>
    <row r="18991">
      <c r="S18991" s="27"/>
      <c r="T18991" s="27"/>
      <c r="U18991" s="27"/>
    </row>
    <row r="18992">
      <c r="S18992" s="27"/>
      <c r="T18992" s="27"/>
      <c r="U18992" s="27"/>
    </row>
    <row r="18994">
      <c r="S18994" s="27"/>
      <c r="T18994" s="27"/>
      <c r="U18994" s="27"/>
    </row>
    <row r="18995">
      <c r="S18995" s="27"/>
      <c r="T18995" s="27"/>
      <c r="U18995" s="27"/>
    </row>
    <row r="18997">
      <c r="S18997" s="27"/>
      <c r="T18997" s="27"/>
      <c r="U18997" s="27"/>
    </row>
    <row r="18998">
      <c r="S18998" s="27"/>
      <c r="T18998" s="27"/>
      <c r="U18998" s="27"/>
    </row>
    <row r="19000">
      <c r="S19000" s="27"/>
      <c r="T19000" s="27"/>
      <c r="U19000" s="27"/>
    </row>
    <row r="19002">
      <c r="S19002" s="27"/>
      <c r="T19002" s="27"/>
      <c r="U19002" s="27"/>
    </row>
    <row r="19003">
      <c r="S19003" s="27"/>
      <c r="T19003" s="27"/>
      <c r="U19003" s="27"/>
    </row>
    <row r="19005">
      <c r="S19005" s="27"/>
      <c r="T19005" s="27"/>
      <c r="U19005" s="27"/>
    </row>
    <row r="19006">
      <c r="S19006" s="27"/>
      <c r="T19006" s="27"/>
      <c r="U19006" s="27"/>
    </row>
    <row r="19008">
      <c r="S19008" s="27"/>
      <c r="T19008" s="27"/>
      <c r="U19008" s="27"/>
    </row>
    <row r="19009">
      <c r="S19009" s="27"/>
      <c r="T19009" s="27"/>
      <c r="U19009" s="27"/>
    </row>
    <row r="19011">
      <c r="S19011" s="27"/>
      <c r="T19011" s="27"/>
      <c r="U19011" s="27"/>
    </row>
    <row r="19012">
      <c r="S19012" s="27"/>
      <c r="T19012" s="27"/>
      <c r="U19012" s="27"/>
    </row>
    <row r="19014">
      <c r="S19014" s="27"/>
      <c r="T19014" s="27"/>
      <c r="U19014" s="27"/>
    </row>
    <row r="19015">
      <c r="S19015" s="27"/>
      <c r="T19015" s="27"/>
      <c r="U19015" s="27"/>
    </row>
    <row r="19017">
      <c r="S19017" s="27"/>
      <c r="T19017" s="27"/>
      <c r="U19017" s="27"/>
    </row>
    <row r="19018">
      <c r="S19018" s="27"/>
      <c r="T19018" s="27"/>
      <c r="U19018" s="27"/>
    </row>
    <row r="19020">
      <c r="S19020" s="27"/>
      <c r="T19020" s="27"/>
      <c r="U19020" s="27"/>
    </row>
    <row r="19021">
      <c r="S19021" s="27"/>
      <c r="T19021" s="27"/>
      <c r="U19021" s="27"/>
    </row>
    <row r="19023">
      <c r="S19023" s="27"/>
      <c r="T19023" s="27"/>
      <c r="U19023" s="27"/>
    </row>
    <row r="19025">
      <c r="S19025" s="27"/>
      <c r="T19025" s="27"/>
      <c r="U19025" s="27"/>
    </row>
    <row r="19027">
      <c r="S19027" s="27"/>
      <c r="T19027" s="27"/>
      <c r="U19027" s="27"/>
    </row>
    <row r="19029">
      <c r="S19029" s="27"/>
      <c r="T19029" s="27"/>
      <c r="U19029" s="27"/>
    </row>
    <row r="19031">
      <c r="S19031" s="27"/>
      <c r="T19031" s="27"/>
      <c r="U19031" s="27"/>
    </row>
    <row r="19032">
      <c r="S19032" s="27"/>
      <c r="T19032" s="27"/>
      <c r="U19032" s="27"/>
    </row>
    <row r="19034">
      <c r="S19034" s="27"/>
      <c r="T19034" s="27"/>
      <c r="U19034" s="27"/>
    </row>
    <row r="19035">
      <c r="S19035" s="27"/>
      <c r="T19035" s="27"/>
      <c r="U19035" s="27"/>
    </row>
    <row r="19037">
      <c r="S19037" s="27"/>
      <c r="T19037" s="27"/>
      <c r="U19037" s="27"/>
    </row>
    <row r="19038">
      <c r="S19038" s="26"/>
      <c r="T19038" s="26"/>
      <c r="U19038" s="33"/>
    </row>
    <row r="19040">
      <c r="S19040" s="27"/>
      <c r="T19040" s="27"/>
      <c r="U19040" s="27"/>
    </row>
    <row r="19041">
      <c r="S19041" s="27"/>
      <c r="T19041" s="27"/>
      <c r="U19041" s="27"/>
    </row>
    <row r="19043">
      <c r="S19043" s="27"/>
      <c r="T19043" s="27"/>
      <c r="U19043" s="27"/>
    </row>
    <row r="19044">
      <c r="S19044" s="27"/>
      <c r="T19044" s="27"/>
      <c r="U19044" s="27"/>
    </row>
    <row r="19046">
      <c r="S19046" s="27"/>
      <c r="T19046" s="27"/>
      <c r="U19046" s="27"/>
    </row>
    <row r="19047">
      <c r="S19047" s="27"/>
      <c r="T19047" s="27"/>
      <c r="U19047" s="27"/>
    </row>
    <row r="19052">
      <c r="S19052" s="27"/>
      <c r="T19052" s="27"/>
      <c r="U19052" s="27"/>
    </row>
    <row r="19055">
      <c r="S19055" s="33"/>
      <c r="T19055" s="27"/>
      <c r="U19055" s="27"/>
    </row>
    <row r="19056">
      <c r="S19056" s="26"/>
    </row>
    <row r="19058">
      <c r="S19058" s="27"/>
      <c r="T19058" s="27"/>
      <c r="U19058" s="27"/>
    </row>
    <row r="19059">
      <c r="S19059" s="27"/>
      <c r="T19059" s="27"/>
      <c r="U19059" s="27"/>
    </row>
    <row r="19061">
      <c r="S19061" s="27"/>
      <c r="T19061" s="27"/>
      <c r="U19061" s="27"/>
    </row>
    <row r="19062">
      <c r="S19062" s="27"/>
      <c r="T19062" s="27"/>
      <c r="U19062" s="27"/>
    </row>
    <row r="19064">
      <c r="S19064" s="27"/>
      <c r="T19064" s="27"/>
      <c r="U19064" s="27"/>
    </row>
    <row r="19065">
      <c r="S19065" s="27"/>
      <c r="T19065" s="27"/>
      <c r="U19065" s="27"/>
    </row>
    <row r="19067">
      <c r="S19067" s="34"/>
      <c r="T19067" s="34"/>
      <c r="U19067" s="26"/>
    </row>
    <row r="19070">
      <c r="S19070" s="27"/>
      <c r="T19070" s="27"/>
      <c r="U19070" s="27"/>
    </row>
    <row r="19071">
      <c r="S19071" s="27"/>
      <c r="T19071" s="27"/>
      <c r="U19071" s="27"/>
    </row>
    <row r="19073">
      <c r="T19073" s="27"/>
      <c r="U19073" s="27"/>
    </row>
    <row r="19074">
      <c r="S19074" s="27"/>
      <c r="T19074" s="27"/>
      <c r="U19074" s="27"/>
    </row>
    <row r="19076">
      <c r="S19076" s="27"/>
      <c r="T19076" s="27"/>
    </row>
    <row r="19077">
      <c r="S19077" s="27"/>
      <c r="T19077" s="27"/>
      <c r="U19077" s="27"/>
    </row>
    <row r="19079">
      <c r="S19079" s="27"/>
      <c r="U19079" s="27"/>
    </row>
    <row r="19082">
      <c r="S19082" s="26"/>
      <c r="U19082" s="26"/>
    </row>
    <row r="19085">
      <c r="S19085" s="27"/>
      <c r="T19085" s="27"/>
      <c r="U19085" s="27"/>
    </row>
    <row r="19086">
      <c r="S19086" s="27"/>
      <c r="T19086" s="27"/>
      <c r="U19086" s="27"/>
    </row>
    <row r="19088">
      <c r="S19088" s="27"/>
      <c r="T19088" s="27"/>
      <c r="U19088" s="27"/>
    </row>
    <row r="19089">
      <c r="S19089" s="27"/>
      <c r="T19089" s="27"/>
      <c r="U19089" s="27"/>
    </row>
    <row r="19097">
      <c r="S19097" s="27"/>
      <c r="T19097" s="27"/>
      <c r="U19097" s="27"/>
    </row>
    <row r="19100">
      <c r="S19100" s="27"/>
      <c r="T19100" s="27"/>
      <c r="U19100" s="27"/>
    </row>
    <row r="19101">
      <c r="S19101" s="27"/>
      <c r="T19101" s="27"/>
      <c r="U19101" s="27"/>
    </row>
    <row r="19103">
      <c r="S19103" s="27"/>
      <c r="T19103" s="27"/>
      <c r="U19103" s="27"/>
    </row>
    <row r="19104">
      <c r="S19104" s="27"/>
      <c r="T19104" s="27"/>
      <c r="U19104" s="27"/>
    </row>
    <row r="19106">
      <c r="S19106" s="27"/>
      <c r="T19106" s="27"/>
      <c r="U19106" s="27"/>
    </row>
    <row r="19107">
      <c r="S19107" s="27"/>
      <c r="T19107" s="27"/>
      <c r="U19107" s="27"/>
    </row>
    <row r="19109">
      <c r="S19109" s="27"/>
      <c r="T19109" s="27"/>
      <c r="U19109" s="27"/>
    </row>
    <row r="19110">
      <c r="S19110" s="27"/>
      <c r="T19110" s="27"/>
      <c r="U19110" s="27"/>
    </row>
    <row r="19112">
      <c r="S19112" s="27"/>
      <c r="T19112" s="27"/>
      <c r="U19112" s="27"/>
    </row>
    <row r="19113">
      <c r="S19113" s="27"/>
      <c r="T19113" s="27"/>
      <c r="U19113" s="27"/>
    </row>
    <row r="19115">
      <c r="S19115" s="27"/>
      <c r="T19115" s="27"/>
      <c r="U19115" s="27"/>
    </row>
    <row r="19116">
      <c r="S19116" s="27"/>
      <c r="T19116" s="27"/>
      <c r="U19116" s="27"/>
    </row>
    <row r="19118">
      <c r="S19118" s="27"/>
      <c r="T19118" s="27"/>
      <c r="U19118" s="27"/>
    </row>
    <row r="19119">
      <c r="S19119" s="27"/>
      <c r="T19119" s="27"/>
      <c r="U19119" s="27"/>
    </row>
    <row r="19121">
      <c r="S19121" s="27"/>
      <c r="T19121" s="27"/>
      <c r="U19121" s="27"/>
    </row>
    <row r="19122">
      <c r="S19122" s="27"/>
      <c r="T19122" s="27"/>
      <c r="U19122" s="27"/>
    </row>
    <row r="19124">
      <c r="S19124" s="27"/>
      <c r="T19124" s="27"/>
      <c r="U19124" s="27"/>
    </row>
    <row r="19125">
      <c r="S19125" s="27"/>
      <c r="T19125" s="27"/>
      <c r="U19125" s="27"/>
    </row>
    <row r="19127">
      <c r="S19127" s="27"/>
      <c r="T19127" s="27"/>
      <c r="U19127" s="27"/>
    </row>
    <row r="19128">
      <c r="S19128" s="27"/>
      <c r="T19128" s="27"/>
      <c r="U19128" s="27"/>
    </row>
    <row r="19130">
      <c r="S19130" s="27"/>
      <c r="T19130" s="27"/>
      <c r="U19130" s="27"/>
    </row>
    <row r="19131">
      <c r="S19131" s="27"/>
      <c r="T19131" s="27"/>
      <c r="U19131" s="27"/>
    </row>
    <row r="19133">
      <c r="S19133" s="27"/>
      <c r="T19133" s="27"/>
      <c r="U19133" s="27"/>
    </row>
    <row r="19134">
      <c r="S19134" s="27"/>
      <c r="T19134" s="27"/>
      <c r="U19134" s="27"/>
    </row>
    <row r="19136">
      <c r="S19136" s="27"/>
      <c r="T19136" s="27"/>
      <c r="U19136" s="27"/>
    </row>
    <row r="19137">
      <c r="S19137" s="27"/>
      <c r="T19137" s="27"/>
      <c r="U19137" s="27"/>
    </row>
    <row r="19139">
      <c r="S19139" s="27"/>
      <c r="T19139" s="27"/>
      <c r="U19139" s="27"/>
    </row>
    <row r="19140">
      <c r="S19140" s="27"/>
      <c r="T19140" s="27"/>
      <c r="U19140" s="27"/>
    </row>
    <row r="19142">
      <c r="S19142" s="27"/>
      <c r="T19142" s="27"/>
      <c r="U19142" s="27"/>
    </row>
    <row r="19143">
      <c r="S19143" s="27"/>
      <c r="T19143" s="27"/>
      <c r="U19143" s="27"/>
    </row>
    <row r="19145">
      <c r="S19145" s="27"/>
      <c r="T19145" s="27"/>
      <c r="U19145" s="27"/>
    </row>
    <row r="19146">
      <c r="S19146" s="27"/>
      <c r="T19146" s="27"/>
      <c r="U19146" s="27"/>
    </row>
    <row r="19148">
      <c r="S19148" s="27"/>
      <c r="T19148" s="27"/>
      <c r="U19148" s="27"/>
    </row>
    <row r="19149">
      <c r="S19149" s="27"/>
      <c r="T19149" s="27"/>
      <c r="U19149" s="27"/>
    </row>
    <row r="19151">
      <c r="S19151" s="27"/>
      <c r="T19151" s="27"/>
      <c r="U19151" s="27"/>
    </row>
    <row r="19152">
      <c r="S19152" s="27"/>
      <c r="T19152" s="27"/>
      <c r="U19152" s="27"/>
    </row>
    <row r="19154">
      <c r="S19154" s="27"/>
      <c r="T19154" s="27"/>
      <c r="U19154" s="27"/>
    </row>
    <row r="19155">
      <c r="S19155" s="27"/>
      <c r="T19155" s="27"/>
      <c r="U19155" s="27"/>
    </row>
    <row r="19157">
      <c r="S19157" s="27"/>
      <c r="T19157" s="27"/>
      <c r="U19157" s="27"/>
    </row>
    <row r="19158">
      <c r="S19158" s="27"/>
      <c r="T19158" s="27"/>
      <c r="U19158" s="27"/>
    </row>
    <row r="19160">
      <c r="T19160" s="27"/>
      <c r="U19160" s="27"/>
    </row>
    <row r="19161">
      <c r="T19161" s="27"/>
      <c r="U19161" s="27"/>
    </row>
    <row r="19163">
      <c r="S19163" s="27"/>
      <c r="T19163" s="27"/>
      <c r="U19163" s="27"/>
    </row>
    <row r="19164">
      <c r="S19164" s="27"/>
      <c r="T19164" s="27"/>
      <c r="U19164" s="27"/>
    </row>
    <row r="19166">
      <c r="S19166" s="27"/>
      <c r="T19166" s="27"/>
      <c r="U19166" s="27"/>
    </row>
    <row r="19167">
      <c r="S19167" s="27"/>
      <c r="T19167" s="27"/>
      <c r="U19167" s="27"/>
    </row>
    <row r="19169">
      <c r="S19169" s="27"/>
      <c r="T19169" s="27"/>
      <c r="U19169" s="27"/>
    </row>
    <row r="19170">
      <c r="S19170" s="27"/>
      <c r="T19170" s="27"/>
      <c r="U19170" s="27"/>
    </row>
    <row r="19172">
      <c r="S19172" s="27"/>
      <c r="T19172" s="27"/>
      <c r="U19172" s="27"/>
    </row>
    <row r="19173">
      <c r="S19173" s="27"/>
      <c r="T19173" s="27"/>
      <c r="U19173" s="27"/>
    </row>
    <row r="19175">
      <c r="S19175" s="27"/>
      <c r="T19175" s="27"/>
      <c r="U19175" s="27"/>
    </row>
    <row r="19176">
      <c r="S19176" s="27"/>
      <c r="T19176" s="27"/>
      <c r="U19176" s="27"/>
    </row>
    <row r="19178">
      <c r="S19178" s="27"/>
      <c r="T19178" s="27"/>
      <c r="U19178" s="27"/>
    </row>
    <row r="19179">
      <c r="S19179" s="27"/>
      <c r="T19179" s="27"/>
      <c r="U19179" s="27"/>
    </row>
    <row r="19181">
      <c r="S19181" s="33"/>
      <c r="T19181" s="33"/>
      <c r="U19181" s="33"/>
    </row>
    <row r="19182">
      <c r="S19182" s="27"/>
      <c r="T19182" s="27"/>
      <c r="U19182" s="27"/>
    </row>
    <row r="19184">
      <c r="S19184" s="27"/>
      <c r="T19184" s="27"/>
      <c r="U19184" s="27"/>
    </row>
    <row r="19185">
      <c r="S19185" s="27"/>
      <c r="T19185" s="27"/>
    </row>
    <row r="19187">
      <c r="S19187" s="27"/>
      <c r="T19187" s="27"/>
      <c r="U19187" s="27"/>
    </row>
    <row r="19188">
      <c r="S19188" s="26"/>
      <c r="T19188" s="26"/>
      <c r="U19188" s="26"/>
    </row>
    <row r="19191">
      <c r="S19191" s="27"/>
      <c r="T19191" s="27"/>
      <c r="U19191" s="27"/>
    </row>
    <row r="19193">
      <c r="S19193" s="27"/>
      <c r="T19193" s="27"/>
      <c r="U19193" s="27"/>
    </row>
    <row r="19194">
      <c r="S19194" s="27"/>
      <c r="T19194" s="27"/>
      <c r="U19194" s="27"/>
    </row>
    <row r="19196">
      <c r="T19196" s="27"/>
      <c r="U19196" s="27"/>
    </row>
    <row r="19197">
      <c r="S19197" s="27"/>
      <c r="T19197" s="27"/>
      <c r="U19197" s="27"/>
    </row>
    <row r="19199">
      <c r="T19199" s="26"/>
      <c r="U19199" s="26"/>
    </row>
    <row r="19202">
      <c r="S19202" s="26"/>
      <c r="T19202" s="26"/>
      <c r="U19202" s="27"/>
    </row>
    <row r="19205">
      <c r="T19205" s="35"/>
      <c r="U19205" s="35"/>
    </row>
    <row r="19207">
      <c r="T19207" s="27"/>
    </row>
    <row r="19209">
      <c r="S19209" s="26"/>
      <c r="T19209" s="26"/>
      <c r="U19209" s="26"/>
    </row>
    <row r="19215">
      <c r="S19215" s="27"/>
      <c r="T19215" s="27"/>
      <c r="U19215" s="27"/>
    </row>
    <row r="19216">
      <c r="S19216" s="27"/>
      <c r="T19216" s="27"/>
      <c r="U19216" s="27"/>
    </row>
    <row r="19218">
      <c r="S19218" s="27"/>
      <c r="T19218" s="27"/>
      <c r="U19218" s="27"/>
    </row>
    <row r="19219">
      <c r="S19219" s="27"/>
      <c r="T19219" s="27"/>
      <c r="U19219" s="27"/>
    </row>
    <row r="19221">
      <c r="S19221" s="27"/>
      <c r="T19221" s="27"/>
      <c r="U19221" s="33"/>
    </row>
    <row r="19222">
      <c r="U19222" s="27"/>
    </row>
    <row r="19224">
      <c r="S19224" s="27"/>
      <c r="T19224" s="27"/>
    </row>
    <row r="19225">
      <c r="S19225" s="27"/>
      <c r="T19225" s="27"/>
      <c r="U19225" s="27"/>
    </row>
    <row r="19227">
      <c r="S19227" s="27"/>
      <c r="T19227" s="27"/>
      <c r="U19227" s="27"/>
    </row>
    <row r="19228">
      <c r="S19228" s="27"/>
      <c r="T19228" s="27"/>
      <c r="U19228" s="27"/>
    </row>
    <row r="19233">
      <c r="S19233" s="27"/>
      <c r="T19233" s="27"/>
      <c r="U19233" s="27"/>
    </row>
    <row r="19234">
      <c r="S19234" s="27"/>
      <c r="T19234" s="27"/>
      <c r="U19234" s="27"/>
    </row>
    <row r="19236">
      <c r="S19236" s="27"/>
      <c r="T19236" s="27"/>
      <c r="U19236" s="27"/>
    </row>
    <row r="19237">
      <c r="S19237" s="27"/>
      <c r="T19237" s="27"/>
      <c r="U19237" s="27"/>
    </row>
    <row r="19239">
      <c r="S19239" s="27"/>
      <c r="T19239" s="27"/>
      <c r="U19239" s="27"/>
    </row>
    <row r="19240">
      <c r="S19240" s="27"/>
      <c r="T19240" s="27"/>
      <c r="U19240" s="27"/>
    </row>
    <row r="19242">
      <c r="S19242" s="33"/>
      <c r="T19242" s="33"/>
      <c r="U19242" s="33"/>
    </row>
    <row r="19245">
      <c r="S19245" s="27"/>
      <c r="T19245" s="27"/>
      <c r="U19245" s="27"/>
    </row>
    <row r="19246">
      <c r="S19246" s="27"/>
      <c r="T19246" s="27"/>
      <c r="U19246" s="27"/>
    </row>
    <row r="19248">
      <c r="S19248" s="27"/>
      <c r="T19248" s="27"/>
      <c r="U19248" s="27"/>
    </row>
    <row r="19251">
      <c r="S19251" s="27"/>
      <c r="T19251" s="27"/>
      <c r="U19251" s="27"/>
    </row>
    <row r="19252">
      <c r="S19252" s="27"/>
      <c r="T19252" s="27"/>
      <c r="U19252" s="27"/>
    </row>
    <row r="19254">
      <c r="S19254" s="27"/>
      <c r="T19254" s="27"/>
      <c r="U19254" s="27"/>
    </row>
    <row r="19255">
      <c r="S19255" s="26"/>
      <c r="T19255" s="26"/>
      <c r="U19255" s="26"/>
    </row>
    <row r="19257">
      <c r="S19257" s="27"/>
      <c r="T19257" s="27"/>
      <c r="U19257" s="27"/>
    </row>
    <row r="19258">
      <c r="S19258" s="27"/>
      <c r="T19258" s="27"/>
      <c r="U19258" s="27"/>
    </row>
    <row r="19260">
      <c r="S19260" s="27"/>
      <c r="T19260" s="27"/>
      <c r="U19260" s="27"/>
    </row>
    <row r="19261">
      <c r="S19261" s="27"/>
      <c r="T19261" s="27"/>
      <c r="U19261" s="27"/>
    </row>
    <row r="19263">
      <c r="S19263" s="27"/>
      <c r="T19263" s="27"/>
      <c r="U19263" s="27"/>
    </row>
    <row r="19264">
      <c r="S19264" s="27"/>
      <c r="T19264" s="27"/>
      <c r="U19264" s="27"/>
    </row>
    <row r="19266">
      <c r="S19266" s="27"/>
      <c r="T19266" s="27"/>
      <c r="U19266" s="27"/>
    </row>
    <row r="19267">
      <c r="S19267" s="27"/>
      <c r="T19267" s="27"/>
      <c r="U19267" s="27"/>
    </row>
    <row r="19272">
      <c r="S19272" s="27"/>
      <c r="T19272" s="27"/>
      <c r="U19272" s="27"/>
    </row>
    <row r="19273">
      <c r="S19273" s="27"/>
      <c r="T19273" s="27"/>
      <c r="U19273" s="27"/>
    </row>
    <row r="19275">
      <c r="S19275" s="27"/>
      <c r="T19275" s="27"/>
      <c r="U19275" s="27"/>
    </row>
    <row r="19276">
      <c r="S19276" s="27"/>
      <c r="T19276" s="27"/>
      <c r="U19276" s="27"/>
    </row>
    <row r="19278">
      <c r="S19278" s="27"/>
      <c r="T19278" s="27"/>
      <c r="U19278" s="27"/>
    </row>
    <row r="19281">
      <c r="T19281" s="27"/>
      <c r="U19281" s="27"/>
    </row>
    <row r="19282">
      <c r="S19282" s="27"/>
      <c r="T19282" s="27"/>
    </row>
    <row r="19284">
      <c r="S19284" s="27"/>
      <c r="T19284" s="27"/>
      <c r="U19284" s="27"/>
    </row>
    <row r="19285">
      <c r="S19285" s="27"/>
      <c r="T19285" s="27"/>
      <c r="U19285" s="27"/>
    </row>
    <row r="19287">
      <c r="S19287" s="27"/>
      <c r="T19287" s="27"/>
      <c r="U19287" s="27"/>
    </row>
    <row r="19288">
      <c r="S19288" s="27"/>
      <c r="T19288" s="27"/>
      <c r="U19288" s="27"/>
    </row>
    <row r="19290">
      <c r="S19290" s="27"/>
      <c r="T19290" s="27"/>
      <c r="U19290" s="27"/>
    </row>
    <row r="19291">
      <c r="S19291" s="26"/>
      <c r="T19291" s="26"/>
      <c r="U19291" s="26"/>
    </row>
    <row r="19293">
      <c r="S19293" s="27"/>
      <c r="T19293" s="27"/>
      <c r="U19293" s="27"/>
    </row>
    <row r="19294">
      <c r="S19294" s="27"/>
      <c r="T19294" s="27"/>
      <c r="U19294" s="27"/>
    </row>
    <row r="19296">
      <c r="S19296" s="26"/>
      <c r="T19296" s="26"/>
      <c r="U19296" s="26"/>
    </row>
    <row r="19299">
      <c r="S19299" s="27"/>
      <c r="T19299" s="27"/>
      <c r="U19299" s="27"/>
    </row>
    <row r="19302">
      <c r="S19302" s="27"/>
      <c r="T19302" s="27"/>
      <c r="U19302" s="27"/>
    </row>
    <row r="19303">
      <c r="S19303" s="27"/>
      <c r="T19303" s="27"/>
      <c r="U19303" s="27"/>
    </row>
    <row r="19305">
      <c r="S19305" s="27"/>
      <c r="T19305" s="27"/>
      <c r="U19305" s="27"/>
    </row>
    <row r="19306">
      <c r="S19306" s="27"/>
      <c r="T19306" s="27"/>
      <c r="U19306" s="27"/>
    </row>
    <row r="19308">
      <c r="S19308" s="27"/>
      <c r="T19308" s="27"/>
      <c r="U19308" s="27"/>
    </row>
    <row r="19309">
      <c r="S19309" s="27"/>
      <c r="T19309" s="27"/>
      <c r="U19309" s="27"/>
    </row>
    <row r="19311">
      <c r="S19311" s="27"/>
    </row>
    <row r="19312">
      <c r="T19312" s="26"/>
      <c r="U19312" s="26"/>
    </row>
    <row r="19314">
      <c r="S19314" s="27"/>
      <c r="T19314" s="27"/>
      <c r="U19314" s="27"/>
    </row>
    <row r="19315">
      <c r="S19315" s="27"/>
      <c r="T19315" s="27"/>
      <c r="U19315" s="27"/>
    </row>
    <row r="19317">
      <c r="S19317" s="27"/>
      <c r="T19317" s="27"/>
      <c r="U19317" s="27"/>
    </row>
    <row r="19318">
      <c r="S19318" s="27"/>
      <c r="T19318" s="27"/>
      <c r="U19318" s="27"/>
    </row>
    <row r="19320">
      <c r="S19320" s="27"/>
      <c r="T19320" s="27"/>
      <c r="U19320" s="27"/>
    </row>
    <row r="19321">
      <c r="S19321" s="27"/>
      <c r="T19321" s="27"/>
      <c r="U19321" s="27"/>
    </row>
    <row r="19323">
      <c r="S19323" s="27"/>
      <c r="T19323" s="27"/>
      <c r="U19323" s="27"/>
    </row>
    <row r="19324">
      <c r="S19324" s="27"/>
      <c r="T19324" s="27"/>
      <c r="U19324" s="27"/>
    </row>
    <row r="19326">
      <c r="S19326" s="27"/>
      <c r="T19326" s="27"/>
      <c r="U19326" s="27"/>
    </row>
    <row r="19327">
      <c r="S19327" s="27"/>
      <c r="T19327" s="27"/>
      <c r="U19327" s="27"/>
    </row>
    <row r="19329">
      <c r="S19329" s="27"/>
      <c r="T19329" s="27"/>
      <c r="U19329" s="27"/>
    </row>
    <row r="19330">
      <c r="S19330" s="27"/>
      <c r="T19330" s="27"/>
      <c r="U19330" s="27"/>
    </row>
    <row r="19332">
      <c r="S19332" s="27"/>
      <c r="T19332" s="27"/>
      <c r="U19332" s="27"/>
    </row>
    <row r="19333">
      <c r="S19333" s="27"/>
      <c r="T19333" s="27"/>
      <c r="U19333" s="27"/>
    </row>
    <row r="19335">
      <c r="S19335" s="27"/>
      <c r="T19335" s="27"/>
      <c r="U19335" s="27"/>
    </row>
    <row r="19336">
      <c r="S19336" s="27"/>
      <c r="T19336" s="27"/>
      <c r="U19336" s="27"/>
    </row>
    <row r="19338">
      <c r="S19338" s="27"/>
      <c r="T19338" s="27"/>
      <c r="U19338" s="27"/>
    </row>
    <row r="19339">
      <c r="S19339" s="27"/>
      <c r="T19339" s="27"/>
      <c r="U19339" s="27"/>
    </row>
    <row r="19341">
      <c r="S19341" s="27"/>
      <c r="T19341" s="27"/>
      <c r="U19341" s="27"/>
    </row>
    <row r="19342">
      <c r="S19342" s="27"/>
      <c r="T19342" s="27"/>
      <c r="U19342" s="27"/>
    </row>
    <row r="19344">
      <c r="S19344" s="27"/>
      <c r="T19344" s="27"/>
      <c r="U19344" s="27"/>
    </row>
    <row r="19345">
      <c r="S19345" s="27"/>
      <c r="T19345" s="27"/>
      <c r="U19345" s="27"/>
    </row>
    <row r="19347">
      <c r="S19347" s="27"/>
      <c r="T19347" s="27"/>
      <c r="U19347" s="27"/>
    </row>
    <row r="19348">
      <c r="S19348" s="27"/>
      <c r="T19348" s="27"/>
      <c r="U19348" s="27"/>
    </row>
    <row r="19350">
      <c r="S19350" s="27"/>
      <c r="T19350" s="27"/>
      <c r="U19350" s="27"/>
    </row>
    <row r="19351">
      <c r="S19351" s="27"/>
      <c r="T19351" s="27"/>
      <c r="U19351" s="27"/>
    </row>
    <row r="19353">
      <c r="S19353" s="27"/>
      <c r="T19353" s="27"/>
      <c r="U19353" s="27"/>
    </row>
    <row r="19354">
      <c r="S19354" s="27"/>
      <c r="T19354" s="27"/>
      <c r="U19354" s="27"/>
    </row>
    <row r="19356">
      <c r="S19356" s="27"/>
      <c r="T19356" s="27"/>
      <c r="U19356" s="27"/>
    </row>
    <row r="19357">
      <c r="S19357" s="27"/>
      <c r="T19357" s="27"/>
      <c r="U19357" s="27"/>
    </row>
    <row r="19359">
      <c r="S19359" s="27"/>
      <c r="T19359" s="27"/>
      <c r="U19359" s="27"/>
    </row>
    <row r="19360">
      <c r="S19360" s="27"/>
      <c r="T19360" s="27"/>
      <c r="U19360" s="27"/>
    </row>
    <row r="19362">
      <c r="S19362" s="27"/>
      <c r="T19362" s="27"/>
      <c r="U19362" s="27"/>
    </row>
    <row r="19363">
      <c r="S19363" s="27"/>
      <c r="T19363" s="27"/>
      <c r="U19363" s="27"/>
    </row>
    <row r="19365">
      <c r="S19365" s="27"/>
      <c r="T19365" s="27"/>
      <c r="U19365" s="27"/>
    </row>
    <row r="19366">
      <c r="S19366" s="27"/>
      <c r="T19366" s="27"/>
      <c r="U19366" s="27"/>
    </row>
    <row r="19368">
      <c r="S19368" s="27"/>
      <c r="T19368" s="27"/>
      <c r="U19368" s="27"/>
    </row>
    <row r="19369">
      <c r="S19369" s="27"/>
      <c r="T19369" s="27"/>
      <c r="U19369" s="27"/>
    </row>
    <row r="19371">
      <c r="S19371" s="27"/>
      <c r="T19371" s="27"/>
      <c r="U19371" s="27"/>
    </row>
    <row r="19372">
      <c r="S19372" s="27"/>
      <c r="T19372" s="27"/>
      <c r="U19372" s="27"/>
    </row>
    <row r="19374">
      <c r="S19374" s="27"/>
      <c r="T19374" s="27"/>
      <c r="U19374" s="27"/>
    </row>
    <row r="19375">
      <c r="S19375" s="27"/>
      <c r="T19375" s="27"/>
      <c r="U19375" s="27"/>
    </row>
    <row r="19377">
      <c r="S19377" s="27"/>
      <c r="T19377" s="27"/>
      <c r="U19377" s="27"/>
    </row>
    <row r="19378">
      <c r="S19378" s="27"/>
      <c r="T19378" s="27"/>
      <c r="U19378" s="27"/>
    </row>
    <row r="19380">
      <c r="S19380" s="27"/>
      <c r="T19380" s="27"/>
      <c r="U19380" s="27"/>
    </row>
    <row r="19381">
      <c r="S19381" s="27"/>
      <c r="T19381" s="27"/>
      <c r="U19381" s="27"/>
    </row>
    <row r="19383">
      <c r="S19383" s="27"/>
      <c r="T19383" s="27"/>
      <c r="U19383" s="27"/>
    </row>
    <row r="19384">
      <c r="S19384" s="27"/>
      <c r="T19384" s="27"/>
      <c r="U19384" s="27"/>
    </row>
    <row r="19386">
      <c r="S19386" s="27"/>
      <c r="T19386" s="27"/>
      <c r="U19386" s="27"/>
    </row>
    <row r="19387">
      <c r="S19387" s="27"/>
      <c r="T19387" s="27"/>
      <c r="U19387" s="27"/>
    </row>
    <row r="19389">
      <c r="S19389" s="27"/>
      <c r="T19389" s="27"/>
      <c r="U19389" s="27"/>
    </row>
    <row r="19390">
      <c r="S19390" s="27"/>
      <c r="T19390" s="27"/>
      <c r="U19390" s="27"/>
    </row>
    <row r="19392">
      <c r="S19392" s="27"/>
      <c r="T19392" s="27"/>
      <c r="U19392" s="27"/>
    </row>
    <row r="19393">
      <c r="S19393" s="27"/>
      <c r="T19393" s="27"/>
      <c r="U19393" s="27"/>
    </row>
    <row r="19395">
      <c r="S19395" s="27"/>
      <c r="T19395" s="27"/>
      <c r="U19395" s="27"/>
    </row>
    <row r="19396">
      <c r="S19396" s="27"/>
      <c r="T19396" s="27"/>
      <c r="U19396" s="27"/>
    </row>
    <row r="19398">
      <c r="S19398" s="27"/>
      <c r="T19398" s="27"/>
      <c r="U19398" s="27"/>
    </row>
    <row r="19399">
      <c r="S19399" s="27"/>
      <c r="T19399" s="27"/>
      <c r="U19399" s="27"/>
    </row>
    <row r="19401">
      <c r="S19401" s="27"/>
      <c r="T19401" s="27"/>
      <c r="U19401" s="27"/>
    </row>
    <row r="19402">
      <c r="S19402" s="27"/>
      <c r="T19402" s="27"/>
      <c r="U19402" s="27"/>
    </row>
    <row r="19404">
      <c r="S19404" s="27"/>
      <c r="T19404" s="27"/>
      <c r="U19404" s="27"/>
    </row>
    <row r="19405">
      <c r="S19405" s="27"/>
      <c r="T19405" s="27"/>
      <c r="U19405" s="27"/>
    </row>
    <row r="19407">
      <c r="S19407" s="27"/>
      <c r="T19407" s="27"/>
      <c r="U19407" s="27"/>
    </row>
    <row r="19408">
      <c r="S19408" s="27"/>
      <c r="T19408" s="27"/>
      <c r="U19408" s="27"/>
    </row>
    <row r="19410">
      <c r="S19410" s="27"/>
      <c r="T19410" s="27"/>
      <c r="U19410" s="27"/>
    </row>
    <row r="19412">
      <c r="S19412" s="27"/>
      <c r="T19412" s="27"/>
      <c r="U19412" s="27"/>
    </row>
    <row r="19413">
      <c r="S19413" s="27"/>
      <c r="T19413" s="27"/>
      <c r="U19413" s="27"/>
    </row>
    <row r="19415">
      <c r="S19415" s="27"/>
      <c r="T19415" s="27"/>
      <c r="U19415" s="27"/>
    </row>
    <row r="19416">
      <c r="S19416" s="27"/>
      <c r="T19416" s="27"/>
      <c r="U19416" s="27"/>
    </row>
    <row r="19418">
      <c r="S19418" s="27"/>
      <c r="T19418" s="27"/>
      <c r="U19418" s="27"/>
    </row>
    <row r="19419">
      <c r="S19419" s="27"/>
      <c r="T19419" s="27"/>
      <c r="U19419" s="27"/>
    </row>
    <row r="19421">
      <c r="S19421" s="27"/>
      <c r="T19421" s="27"/>
      <c r="U19421" s="27"/>
    </row>
    <row r="19422">
      <c r="S19422" s="27"/>
      <c r="T19422" s="27"/>
      <c r="U19422" s="27"/>
    </row>
    <row r="19424">
      <c r="S19424" s="27"/>
      <c r="T19424" s="27"/>
      <c r="U19424" s="27"/>
    </row>
    <row r="19425">
      <c r="S19425" s="27"/>
      <c r="T19425" s="27"/>
      <c r="U19425" s="27"/>
    </row>
    <row r="19427">
      <c r="S19427" s="27"/>
      <c r="T19427" s="27"/>
      <c r="U19427" s="27"/>
    </row>
    <row r="19428">
      <c r="S19428" s="27"/>
      <c r="T19428" s="27"/>
      <c r="U19428" s="27"/>
    </row>
    <row r="19430">
      <c r="S19430" s="27"/>
      <c r="T19430" s="27"/>
      <c r="U19430" s="27"/>
    </row>
    <row r="19431">
      <c r="S19431" s="27"/>
      <c r="T19431" s="27"/>
      <c r="U19431" s="27"/>
    </row>
    <row r="19433">
      <c r="S19433" s="27"/>
      <c r="T19433" s="27"/>
      <c r="U19433" s="27"/>
    </row>
    <row r="19435">
      <c r="S19435" s="27"/>
      <c r="T19435" s="27"/>
      <c r="U19435" s="27"/>
    </row>
    <row r="19437">
      <c r="T19437" s="27"/>
      <c r="U19437" s="27"/>
    </row>
    <row r="19439">
      <c r="S19439" s="27"/>
      <c r="T19439" s="27"/>
      <c r="U19439" s="27"/>
    </row>
    <row r="19441">
      <c r="S19441" s="27"/>
      <c r="T19441" s="27"/>
      <c r="U19441" s="27"/>
    </row>
    <row r="19442">
      <c r="S19442" s="27"/>
      <c r="T19442" s="27"/>
      <c r="U19442" s="27"/>
    </row>
    <row r="19444">
      <c r="S19444" s="27"/>
      <c r="T19444" s="27"/>
      <c r="U19444" s="27"/>
    </row>
    <row r="19445">
      <c r="S19445" s="27"/>
      <c r="T19445" s="27"/>
      <c r="U19445" s="27"/>
    </row>
    <row r="19447">
      <c r="S19447" s="27"/>
      <c r="T19447" s="27"/>
      <c r="U19447" s="27"/>
    </row>
    <row r="19448">
      <c r="S19448" s="27"/>
      <c r="T19448" s="27"/>
      <c r="U19448" s="27"/>
    </row>
    <row r="19450">
      <c r="S19450" s="27"/>
      <c r="T19450" s="27"/>
      <c r="U19450" s="27"/>
    </row>
    <row r="19451">
      <c r="S19451" s="27"/>
      <c r="T19451" s="27"/>
      <c r="U19451" s="27"/>
    </row>
    <row r="19453">
      <c r="S19453" s="27"/>
      <c r="T19453" s="27"/>
      <c r="U19453" s="27"/>
    </row>
    <row r="19454">
      <c r="S19454" s="27"/>
      <c r="T19454" s="27"/>
      <c r="U19454" s="27"/>
    </row>
    <row r="19457">
      <c r="S19457" s="27"/>
      <c r="T19457" s="27"/>
      <c r="U19457" s="27"/>
    </row>
    <row r="19458">
      <c r="S19458" s="27"/>
      <c r="T19458" s="27"/>
      <c r="U19458" s="27"/>
    </row>
    <row r="19460">
      <c r="S19460" s="26"/>
      <c r="T19460" s="27"/>
      <c r="U19460" s="27"/>
    </row>
    <row r="19463">
      <c r="S19463" s="27"/>
      <c r="T19463" s="27"/>
      <c r="U19463" s="27"/>
    </row>
    <row r="19466">
      <c r="S19466" s="27"/>
      <c r="T19466" s="27"/>
      <c r="U19466" s="27"/>
    </row>
    <row r="19467">
      <c r="S19467" s="27"/>
      <c r="T19467" s="27"/>
      <c r="U19467" s="27"/>
    </row>
    <row r="19469">
      <c r="S19469" s="27"/>
      <c r="T19469" s="27"/>
      <c r="U19469" s="27"/>
    </row>
    <row r="19470">
      <c r="S19470" s="27"/>
      <c r="T19470" s="27"/>
      <c r="U19470" s="27"/>
    </row>
    <row r="19472">
      <c r="S19472" s="27"/>
      <c r="T19472" s="27"/>
      <c r="U19472" s="27"/>
    </row>
    <row r="19473">
      <c r="S19473" s="27"/>
      <c r="T19473" s="27"/>
      <c r="U19473" s="27"/>
    </row>
    <row r="19478">
      <c r="S19478" s="27"/>
      <c r="T19478" s="27"/>
      <c r="U19478" s="27"/>
    </row>
    <row r="19479">
      <c r="S19479" s="27"/>
      <c r="T19479" s="27"/>
      <c r="U19479" s="27"/>
    </row>
    <row r="19481">
      <c r="S19481" s="27"/>
      <c r="T19481" s="27"/>
      <c r="U19481" s="27"/>
    </row>
    <row r="19482">
      <c r="S19482" s="27"/>
      <c r="T19482" s="27"/>
      <c r="U19482" s="27"/>
    </row>
    <row r="19484">
      <c r="S19484" s="27"/>
      <c r="T19484" s="27"/>
      <c r="U19484" s="27"/>
    </row>
    <row r="19485">
      <c r="S19485" s="27"/>
      <c r="T19485" s="27"/>
      <c r="U19485" s="27"/>
    </row>
    <row r="19487">
      <c r="T19487" s="27"/>
    </row>
    <row r="19490">
      <c r="S19490" s="26"/>
    </row>
    <row r="19491">
      <c r="S19491" s="26"/>
    </row>
    <row r="19493">
      <c r="S19493" s="27"/>
      <c r="T19493" s="27"/>
      <c r="U19493" s="27"/>
    </row>
    <row r="19494">
      <c r="S19494" s="27"/>
      <c r="T19494" s="27"/>
      <c r="U19494" s="27"/>
    </row>
    <row r="19496">
      <c r="S19496" s="27"/>
      <c r="T19496" s="27"/>
      <c r="U19496" s="27"/>
    </row>
    <row r="19497">
      <c r="S19497" s="27"/>
      <c r="T19497" s="27"/>
      <c r="U19497" s="27"/>
    </row>
    <row r="19502">
      <c r="T19502" s="26"/>
      <c r="U19502" s="26"/>
    </row>
    <row r="19505">
      <c r="S19505" s="27"/>
      <c r="T19505" s="27"/>
      <c r="U19505" s="27"/>
    </row>
    <row r="19508">
      <c r="S19508" s="27"/>
      <c r="T19508" s="27"/>
      <c r="U19508" s="27"/>
    </row>
    <row r="19509">
      <c r="S19509" s="27"/>
      <c r="T19509" s="27"/>
      <c r="U19509" s="27"/>
    </row>
    <row r="19511">
      <c r="S19511" s="27"/>
      <c r="T19511" s="27"/>
      <c r="U19511" s="27"/>
    </row>
    <row r="19512">
      <c r="S19512" s="27"/>
      <c r="T19512" s="27"/>
      <c r="U19512" s="27"/>
    </row>
    <row r="19514">
      <c r="S19514" s="27"/>
      <c r="T19514" s="27"/>
      <c r="U19514" s="27"/>
    </row>
    <row r="19515">
      <c r="S19515" s="27"/>
      <c r="T19515" s="27"/>
      <c r="U19515" s="27"/>
    </row>
    <row r="19517">
      <c r="S19517" s="27"/>
      <c r="T19517" s="27"/>
      <c r="U19517" s="27"/>
    </row>
    <row r="19518">
      <c r="S19518" s="27"/>
      <c r="T19518" s="27"/>
      <c r="U19518" s="27"/>
    </row>
    <row r="19520">
      <c r="S19520" s="27"/>
      <c r="T19520" s="27"/>
      <c r="U19520" s="27"/>
    </row>
    <row r="19521">
      <c r="S19521" s="27"/>
      <c r="T19521" s="27"/>
      <c r="U19521" s="27"/>
    </row>
    <row r="19523">
      <c r="S19523" s="27"/>
      <c r="T19523" s="27"/>
      <c r="U19523" s="27"/>
    </row>
    <row r="19524">
      <c r="S19524" s="27"/>
      <c r="T19524" s="27"/>
      <c r="U19524" s="27"/>
    </row>
    <row r="19526">
      <c r="S19526" s="27"/>
      <c r="T19526" s="27"/>
      <c r="U19526" s="27"/>
    </row>
    <row r="19527">
      <c r="S19527" s="27"/>
      <c r="T19527" s="27"/>
      <c r="U19527" s="27"/>
    </row>
    <row r="19529">
      <c r="S19529" s="27"/>
      <c r="T19529" s="27"/>
      <c r="U19529" s="27"/>
    </row>
    <row r="19530">
      <c r="S19530" s="27"/>
      <c r="T19530" s="27"/>
      <c r="U19530" s="27"/>
    </row>
    <row r="19532">
      <c r="S19532" s="27"/>
      <c r="T19532" s="27"/>
      <c r="U19532" s="27"/>
    </row>
    <row r="19533">
      <c r="S19533" s="27"/>
      <c r="T19533" s="27"/>
      <c r="U19533" s="27"/>
    </row>
    <row r="19535">
      <c r="S19535" s="27"/>
      <c r="T19535" s="27"/>
      <c r="U19535" s="27"/>
    </row>
    <row r="19536">
      <c r="S19536" s="27"/>
      <c r="T19536" s="27"/>
      <c r="U19536" s="27"/>
    </row>
    <row r="19538">
      <c r="S19538" s="27"/>
      <c r="T19538" s="27"/>
      <c r="U19538" s="27"/>
    </row>
    <row r="19539">
      <c r="S19539" s="27"/>
      <c r="T19539" s="27"/>
      <c r="U19539" s="27"/>
    </row>
    <row r="19541">
      <c r="S19541" s="27"/>
      <c r="T19541" s="27"/>
      <c r="U19541" s="27"/>
    </row>
    <row r="19542">
      <c r="S19542" s="27"/>
      <c r="T19542" s="27"/>
      <c r="U19542" s="27"/>
    </row>
    <row r="19544">
      <c r="S19544" s="27"/>
      <c r="T19544" s="27"/>
      <c r="U19544" s="27"/>
    </row>
    <row r="19545">
      <c r="S19545" s="27"/>
      <c r="T19545" s="27"/>
      <c r="U19545" s="27"/>
    </row>
    <row r="19547">
      <c r="S19547" s="27"/>
      <c r="T19547" s="27"/>
      <c r="U19547" s="27"/>
    </row>
    <row r="19548">
      <c r="S19548" s="27"/>
      <c r="T19548" s="27"/>
      <c r="U19548" s="27"/>
    </row>
    <row r="19550">
      <c r="S19550" s="27"/>
      <c r="T19550" s="27"/>
      <c r="U19550" s="27"/>
    </row>
    <row r="19551">
      <c r="S19551" s="27"/>
      <c r="T19551" s="27"/>
      <c r="U19551" s="27"/>
    </row>
    <row r="19553">
      <c r="S19553" s="27"/>
      <c r="T19553" s="27"/>
      <c r="U19553" s="27"/>
    </row>
    <row r="19554">
      <c r="S19554" s="27"/>
      <c r="T19554" s="27"/>
      <c r="U19554" s="27"/>
    </row>
    <row r="19556">
      <c r="S19556" s="27"/>
      <c r="T19556" s="27"/>
      <c r="U19556" s="27"/>
    </row>
    <row r="19557">
      <c r="S19557" s="27"/>
      <c r="T19557" s="27"/>
      <c r="U19557" s="27"/>
    </row>
    <row r="19559">
      <c r="S19559" s="27"/>
      <c r="T19559" s="27"/>
      <c r="U19559" s="27"/>
    </row>
    <row r="19560">
      <c r="S19560" s="27"/>
      <c r="T19560" s="27"/>
      <c r="U19560" s="27"/>
    </row>
    <row r="19562">
      <c r="S19562" s="27"/>
      <c r="T19562" s="27"/>
      <c r="U19562" s="27"/>
    </row>
    <row r="19563">
      <c r="S19563" s="27"/>
      <c r="T19563" s="27"/>
      <c r="U19563" s="27"/>
    </row>
    <row r="19565">
      <c r="S19565" s="27"/>
      <c r="T19565" s="27"/>
      <c r="U19565" s="27"/>
    </row>
    <row r="19566">
      <c r="S19566" s="27"/>
      <c r="T19566" s="27"/>
      <c r="U19566" s="27"/>
    </row>
    <row r="19568">
      <c r="S19568" s="27"/>
      <c r="T19568" s="27"/>
      <c r="U19568" s="27"/>
    </row>
    <row r="19569">
      <c r="S19569" s="27"/>
      <c r="T19569" s="27"/>
      <c r="U19569" s="27"/>
    </row>
    <row r="19571">
      <c r="S19571" s="27"/>
      <c r="T19571" s="27"/>
      <c r="U19571" s="27"/>
    </row>
    <row r="19572">
      <c r="S19572" s="27"/>
      <c r="T19572" s="27"/>
      <c r="U19572" s="27"/>
    </row>
    <row r="19574">
      <c r="S19574" s="27"/>
      <c r="T19574" s="27"/>
      <c r="U19574" s="27"/>
    </row>
    <row r="19575">
      <c r="S19575" s="27"/>
      <c r="T19575" s="27"/>
      <c r="U19575" s="27"/>
    </row>
    <row r="19577">
      <c r="S19577" s="27"/>
      <c r="T19577" s="27"/>
      <c r="U19577" s="27"/>
    </row>
    <row r="19578">
      <c r="S19578" s="27"/>
      <c r="T19578" s="27"/>
      <c r="U19578" s="27"/>
    </row>
    <row r="19580">
      <c r="S19580" s="27"/>
      <c r="T19580" s="27"/>
      <c r="U19580" s="27"/>
    </row>
    <row r="19581">
      <c r="S19581" s="27"/>
      <c r="T19581" s="27"/>
      <c r="U19581" s="27"/>
    </row>
    <row r="19583">
      <c r="S19583" s="27"/>
      <c r="T19583" s="27"/>
      <c r="U19583" s="27"/>
    </row>
    <row r="19584">
      <c r="S19584" s="27"/>
      <c r="T19584" s="27"/>
      <c r="U19584" s="27"/>
    </row>
    <row r="19587">
      <c r="S19587" s="26"/>
      <c r="T19587" s="27"/>
      <c r="U19587" s="27"/>
    </row>
    <row r="19589">
      <c r="S19589" s="27"/>
      <c r="T19589" s="27"/>
      <c r="U19589" s="27"/>
    </row>
    <row r="19590">
      <c r="S19590" s="27"/>
      <c r="T19590" s="27"/>
      <c r="U19590" s="27"/>
    </row>
    <row r="19592">
      <c r="S19592" s="27"/>
      <c r="T19592" s="27"/>
      <c r="U19592" s="27"/>
    </row>
    <row r="19593">
      <c r="S19593" s="27"/>
      <c r="T19593" s="27"/>
      <c r="U19593" s="27"/>
    </row>
    <row r="19595">
      <c r="S19595" s="26"/>
      <c r="T19595" s="27"/>
      <c r="U19595" s="27"/>
    </row>
    <row r="19596">
      <c r="S19596" s="26"/>
      <c r="T19596" s="27"/>
      <c r="U19596" s="27"/>
    </row>
    <row r="19598">
      <c r="S19598" s="27"/>
      <c r="U19598" s="27"/>
    </row>
    <row r="19599">
      <c r="S19599" s="27"/>
      <c r="T19599" s="27"/>
      <c r="U19599" s="27"/>
    </row>
    <row r="19601">
      <c r="S19601" s="27"/>
      <c r="T19601" s="27"/>
      <c r="U19601" s="27"/>
    </row>
    <row r="19602">
      <c r="S19602" s="27"/>
      <c r="T19602" s="27"/>
      <c r="U19602" s="27"/>
    </row>
    <row r="19604">
      <c r="T19604" s="27"/>
    </row>
    <row r="19605">
      <c r="S19605" s="27"/>
      <c r="T19605" s="27"/>
      <c r="U19605" s="27"/>
    </row>
    <row r="19610">
      <c r="S19610" s="26"/>
      <c r="T19610" s="26"/>
      <c r="U19610" s="26"/>
    </row>
    <row r="19613">
      <c r="T19613" s="27"/>
      <c r="U19613" s="27"/>
    </row>
    <row r="19615">
      <c r="S19615" s="27"/>
      <c r="U19615" s="27"/>
    </row>
    <row r="19617">
      <c r="S19617" s="26"/>
      <c r="T19617" s="26"/>
      <c r="U19617" s="26"/>
    </row>
    <row r="19620">
      <c r="S19620" s="27"/>
      <c r="T19620" s="27"/>
      <c r="U19620" s="27"/>
    </row>
    <row r="19623">
      <c r="S19623" s="27"/>
      <c r="T19623" s="27"/>
      <c r="U19623" s="27"/>
    </row>
    <row r="19624">
      <c r="S19624" s="27"/>
      <c r="T19624" s="27"/>
      <c r="U19624" s="27"/>
    </row>
    <row r="19626">
      <c r="S19626" s="27"/>
      <c r="T19626" s="27"/>
      <c r="U19626" s="27"/>
    </row>
    <row r="19627">
      <c r="S19627" s="27"/>
      <c r="T19627" s="27"/>
      <c r="U19627" s="27"/>
    </row>
    <row r="19629">
      <c r="S19629" s="27"/>
      <c r="T19629" s="33"/>
      <c r="U19629" s="27"/>
    </row>
    <row r="19630">
      <c r="T19630" s="27"/>
      <c r="U19630" s="27"/>
    </row>
    <row r="19633">
      <c r="S19633" s="26"/>
      <c r="T19633" s="27"/>
      <c r="U19633" s="27"/>
    </row>
    <row r="19635">
      <c r="S19635" s="27"/>
      <c r="T19635" s="27"/>
      <c r="U19635" s="27"/>
    </row>
    <row r="19636">
      <c r="S19636" s="27"/>
      <c r="T19636" s="27"/>
      <c r="U19636" s="27"/>
    </row>
    <row r="19639">
      <c r="S19639" s="26"/>
      <c r="T19639" s="26"/>
      <c r="U19639" s="26"/>
    </row>
    <row r="19641">
      <c r="S19641" s="27"/>
      <c r="T19641" s="27"/>
      <c r="U19641" s="27"/>
    </row>
    <row r="19642">
      <c r="S19642" s="27"/>
      <c r="T19642" s="27"/>
      <c r="U19642" s="27"/>
    </row>
    <row r="19644">
      <c r="S19644" s="27"/>
      <c r="T19644" s="27"/>
      <c r="U19644" s="33"/>
    </row>
    <row r="19645">
      <c r="S19645" s="26"/>
      <c r="T19645" s="27"/>
    </row>
    <row r="19647">
      <c r="S19647" s="27"/>
      <c r="T19647" s="27"/>
      <c r="U19647" s="27"/>
    </row>
    <row r="19648">
      <c r="S19648" s="27"/>
      <c r="T19648" s="27"/>
      <c r="U19648" s="27"/>
    </row>
    <row r="19650">
      <c r="S19650" s="33"/>
      <c r="T19650" s="33"/>
      <c r="U19650" s="33"/>
    </row>
    <row r="19653">
      <c r="S19653" s="27"/>
      <c r="T19653" s="27"/>
      <c r="U19653" s="27"/>
    </row>
    <row r="19654">
      <c r="S19654" s="27"/>
      <c r="T19654" s="27"/>
      <c r="U19654" s="27"/>
    </row>
    <row r="19656">
      <c r="S19656" s="27"/>
      <c r="T19656" s="27"/>
      <c r="U19656" s="27"/>
    </row>
    <row r="19659">
      <c r="S19659" s="27"/>
      <c r="T19659" s="33"/>
      <c r="U19659" s="33"/>
    </row>
    <row r="19660">
      <c r="S19660" s="27"/>
      <c r="T19660" s="27"/>
      <c r="U19660" s="27"/>
    </row>
    <row r="19665">
      <c r="S19665" s="27"/>
      <c r="T19665" s="27"/>
      <c r="U19665" s="27"/>
    </row>
    <row r="19666">
      <c r="S19666" s="27"/>
      <c r="T19666" s="27"/>
      <c r="U19666" s="27"/>
    </row>
    <row r="19668">
      <c r="S19668" s="27"/>
      <c r="T19668" s="27"/>
      <c r="U19668" s="27"/>
    </row>
    <row r="19669">
      <c r="S19669" s="27"/>
      <c r="T19669" s="27"/>
      <c r="U19669" s="27"/>
    </row>
    <row r="19671">
      <c r="S19671" s="27"/>
      <c r="T19671" s="27"/>
      <c r="U19671" s="27"/>
    </row>
    <row r="19672">
      <c r="S19672" s="27"/>
      <c r="T19672" s="27"/>
      <c r="U19672" s="27"/>
    </row>
    <row r="19674">
      <c r="S19674" s="27"/>
      <c r="T19674" s="27"/>
      <c r="U19674" s="27"/>
    </row>
    <row r="19675">
      <c r="S19675" s="27"/>
      <c r="T19675" s="27"/>
      <c r="U19675" s="27"/>
    </row>
    <row r="19680">
      <c r="S19680" s="27"/>
      <c r="T19680" s="27"/>
      <c r="U19680" s="33"/>
    </row>
    <row r="19681">
      <c r="S19681" s="27"/>
      <c r="T19681" s="27"/>
      <c r="U19681" s="27"/>
    </row>
    <row r="19684">
      <c r="S19684" s="27"/>
      <c r="T19684" s="27"/>
      <c r="U19684" s="27"/>
    </row>
    <row r="19686">
      <c r="S19686" s="27"/>
      <c r="T19686" s="27"/>
      <c r="U19686" s="27"/>
    </row>
    <row r="19689">
      <c r="S19689" s="27"/>
      <c r="T19689" s="27"/>
    </row>
    <row r="19690">
      <c r="S19690" s="27"/>
      <c r="U19690" s="27"/>
    </row>
    <row r="19692">
      <c r="S19692" s="27"/>
      <c r="T19692" s="27"/>
      <c r="U19692" s="27"/>
    </row>
    <row r="19693">
      <c r="S19693" s="27"/>
      <c r="T19693" s="27"/>
      <c r="U19693" s="27"/>
    </row>
    <row r="19695">
      <c r="S19695" s="27"/>
      <c r="T19695" s="27"/>
      <c r="U19695" s="27"/>
    </row>
    <row r="19696">
      <c r="S19696" s="27"/>
      <c r="T19696" s="27"/>
      <c r="U19696" s="27"/>
    </row>
    <row r="19698">
      <c r="S19698" s="27"/>
      <c r="T19698" s="27"/>
      <c r="U19698" s="27"/>
    </row>
    <row r="19699">
      <c r="T19699" s="26"/>
      <c r="U19699" s="26"/>
    </row>
    <row r="19702">
      <c r="S19702" s="26"/>
      <c r="T19702" s="26"/>
      <c r="U19702" s="26"/>
    </row>
    <row r="19707">
      <c r="S19707" s="27"/>
      <c r="T19707" s="27"/>
      <c r="U19707" s="27"/>
    </row>
    <row r="19710">
      <c r="S19710" s="27"/>
      <c r="T19710" s="27"/>
      <c r="U19710" s="27"/>
    </row>
    <row r="19711">
      <c r="S19711" s="27"/>
      <c r="T19711" s="27"/>
      <c r="U19711" s="27"/>
    </row>
    <row r="19713">
      <c r="S19713" s="27"/>
      <c r="T19713" s="27"/>
      <c r="U19713" s="27"/>
    </row>
    <row r="19714">
      <c r="S19714" s="27"/>
      <c r="T19714" s="27"/>
      <c r="U19714" s="27"/>
    </row>
    <row r="19716">
      <c r="S19716" s="27"/>
      <c r="T19716" s="27"/>
      <c r="U19716" s="27"/>
    </row>
    <row r="19717">
      <c r="S19717" s="27"/>
      <c r="T19717" s="27"/>
      <c r="U19717" s="27"/>
    </row>
    <row r="19719">
      <c r="S19719" s="27"/>
      <c r="T19719" s="27"/>
    </row>
    <row r="19720">
      <c r="U19720" s="26"/>
    </row>
    <row r="19722">
      <c r="S19722" s="27"/>
      <c r="T19722" s="27"/>
      <c r="U19722" s="27"/>
    </row>
    <row r="19723">
      <c r="S19723" s="27"/>
      <c r="T19723" s="27"/>
      <c r="U19723" s="27"/>
    </row>
    <row r="19725">
      <c r="S19725" s="27"/>
      <c r="T19725" s="27"/>
      <c r="U19725" s="27"/>
    </row>
    <row r="19726">
      <c r="S19726" s="27"/>
      <c r="T19726" s="27"/>
      <c r="U19726" s="27"/>
    </row>
    <row r="19728">
      <c r="S19728" s="27"/>
      <c r="T19728" s="27"/>
      <c r="U19728" s="27"/>
    </row>
    <row r="19729">
      <c r="S19729" s="27"/>
      <c r="T19729" s="27"/>
      <c r="U19729" s="27"/>
    </row>
    <row r="19731">
      <c r="S19731" s="27"/>
      <c r="T19731" s="27"/>
      <c r="U19731" s="27"/>
    </row>
    <row r="19732">
      <c r="S19732" s="27"/>
      <c r="T19732" s="27"/>
      <c r="U19732" s="27"/>
    </row>
    <row r="19734">
      <c r="S19734" s="27"/>
      <c r="T19734" s="27"/>
      <c r="U19734" s="27"/>
    </row>
    <row r="19735">
      <c r="S19735" s="27"/>
      <c r="T19735" s="27"/>
      <c r="U19735" s="27"/>
    </row>
    <row r="19737">
      <c r="S19737" s="27"/>
      <c r="T19737" s="27"/>
      <c r="U19737" s="27"/>
    </row>
    <row r="19738">
      <c r="S19738" s="27"/>
      <c r="T19738" s="27"/>
      <c r="U19738" s="27"/>
    </row>
    <row r="19740">
      <c r="S19740" s="27"/>
      <c r="T19740" s="27"/>
      <c r="U19740" s="27"/>
    </row>
    <row r="19741">
      <c r="S19741" s="27"/>
      <c r="T19741" s="27"/>
      <c r="U19741" s="27"/>
    </row>
    <row r="19743">
      <c r="S19743" s="27"/>
      <c r="T19743" s="27"/>
      <c r="U19743" s="27"/>
    </row>
    <row r="19744">
      <c r="S19744" s="27"/>
      <c r="T19744" s="27"/>
      <c r="U19744" s="27"/>
    </row>
    <row r="19746">
      <c r="S19746" s="27"/>
      <c r="T19746" s="27"/>
      <c r="U19746" s="27"/>
    </row>
    <row r="19747">
      <c r="S19747" s="27"/>
      <c r="T19747" s="27"/>
      <c r="U19747" s="27"/>
    </row>
    <row r="19749">
      <c r="S19749" s="27"/>
      <c r="T19749" s="27"/>
      <c r="U19749" s="27"/>
    </row>
    <row r="19750">
      <c r="S19750" s="27"/>
      <c r="T19750" s="27"/>
      <c r="U19750" s="27"/>
    </row>
    <row r="19752">
      <c r="S19752" s="27"/>
      <c r="T19752" s="27"/>
      <c r="U19752" s="27"/>
    </row>
    <row r="19753">
      <c r="S19753" s="27"/>
      <c r="T19753" s="27"/>
      <c r="U19753" s="27"/>
    </row>
    <row r="19755">
      <c r="S19755" s="27"/>
      <c r="T19755" s="27"/>
      <c r="U19755" s="27"/>
    </row>
    <row r="19756">
      <c r="S19756" s="27"/>
      <c r="T19756" s="27"/>
      <c r="U19756" s="27"/>
    </row>
    <row r="19758">
      <c r="S19758" s="27"/>
      <c r="T19758" s="27"/>
      <c r="U19758" s="27"/>
    </row>
    <row r="19759">
      <c r="S19759" s="27"/>
      <c r="T19759" s="27"/>
      <c r="U19759" s="27"/>
    </row>
    <row r="19761">
      <c r="S19761" s="27"/>
      <c r="T19761" s="27"/>
      <c r="U19761" s="27"/>
    </row>
    <row r="19762">
      <c r="S19762" s="27"/>
      <c r="T19762" s="27"/>
      <c r="U19762" s="27"/>
    </row>
    <row r="19764">
      <c r="S19764" s="27"/>
      <c r="T19764" s="27"/>
      <c r="U19764" s="27"/>
    </row>
    <row r="19765">
      <c r="S19765" s="27"/>
      <c r="T19765" s="27"/>
      <c r="U19765" s="27"/>
    </row>
    <row r="19767">
      <c r="S19767" s="27"/>
      <c r="T19767" s="27"/>
      <c r="U19767" s="27"/>
    </row>
    <row r="19768">
      <c r="S19768" s="27"/>
      <c r="T19768" s="27"/>
      <c r="U19768" s="27"/>
    </row>
    <row r="19770">
      <c r="S19770" s="27"/>
      <c r="T19770" s="27"/>
      <c r="U19770" s="27"/>
    </row>
    <row r="19771">
      <c r="S19771" s="27"/>
      <c r="T19771" s="27"/>
      <c r="U19771" s="27"/>
    </row>
    <row r="19773">
      <c r="S19773" s="27"/>
      <c r="T19773" s="27"/>
      <c r="U19773" s="27"/>
    </row>
    <row r="19774">
      <c r="S19774" s="27"/>
      <c r="T19774" s="27"/>
      <c r="U19774" s="27"/>
    </row>
    <row r="19776">
      <c r="S19776" s="27"/>
      <c r="T19776" s="27"/>
      <c r="U19776" s="27"/>
    </row>
    <row r="19777">
      <c r="S19777" s="27"/>
      <c r="T19777" s="27"/>
      <c r="U19777" s="27"/>
    </row>
    <row r="19779">
      <c r="S19779" s="27"/>
      <c r="T19779" s="27"/>
      <c r="U19779" s="27"/>
    </row>
    <row r="19780">
      <c r="S19780" s="27"/>
      <c r="T19780" s="27"/>
      <c r="U19780" s="27"/>
    </row>
    <row r="19782">
      <c r="S19782" s="27"/>
      <c r="T19782" s="27"/>
      <c r="U19782" s="27"/>
    </row>
    <row r="19783">
      <c r="S19783" s="27"/>
      <c r="T19783" s="27"/>
      <c r="U19783" s="27"/>
    </row>
    <row r="19785">
      <c r="S19785" s="27"/>
      <c r="T19785" s="27"/>
      <c r="U19785" s="27"/>
    </row>
    <row r="19786">
      <c r="S19786" s="27"/>
      <c r="T19786" s="27"/>
      <c r="U19786" s="27"/>
    </row>
    <row r="19788">
      <c r="S19788" s="27"/>
      <c r="T19788" s="27"/>
      <c r="U19788" s="27"/>
    </row>
    <row r="19789">
      <c r="S19789" s="27"/>
      <c r="T19789" s="27"/>
      <c r="U19789" s="27"/>
    </row>
    <row r="19791">
      <c r="S19791" s="27"/>
      <c r="T19791" s="27"/>
      <c r="U19791" s="27"/>
    </row>
    <row r="19792">
      <c r="S19792" s="27"/>
      <c r="T19792" s="27"/>
      <c r="U19792" s="27"/>
    </row>
    <row r="19794">
      <c r="S19794" s="27"/>
      <c r="T19794" s="27"/>
      <c r="U19794" s="27"/>
    </row>
    <row r="19795">
      <c r="S19795" s="27"/>
      <c r="T19795" s="27"/>
      <c r="U19795" s="27"/>
    </row>
    <row r="19797">
      <c r="S19797" s="27"/>
      <c r="T19797" s="27"/>
      <c r="U19797" s="27"/>
    </row>
    <row r="19798">
      <c r="S19798" s="27"/>
      <c r="T19798" s="27"/>
      <c r="U19798" s="27"/>
    </row>
    <row r="19800">
      <c r="S19800" s="27"/>
      <c r="T19800" s="27"/>
      <c r="U19800" s="27"/>
    </row>
    <row r="19801">
      <c r="S19801" s="27"/>
      <c r="T19801" s="27"/>
      <c r="U19801" s="27"/>
    </row>
    <row r="19803">
      <c r="S19803" s="27"/>
      <c r="T19803" s="27"/>
      <c r="U19803" s="27"/>
    </row>
    <row r="19804">
      <c r="S19804" s="27"/>
      <c r="T19804" s="27"/>
      <c r="U19804" s="27"/>
    </row>
    <row r="19806">
      <c r="S19806" s="27"/>
      <c r="T19806" s="27"/>
      <c r="U19806" s="27"/>
    </row>
    <row r="19807">
      <c r="S19807" s="27"/>
      <c r="T19807" s="27"/>
      <c r="U19807" s="27"/>
    </row>
    <row r="19809">
      <c r="S19809" s="27"/>
      <c r="T19809" s="27"/>
      <c r="U19809" s="27"/>
    </row>
    <row r="19810">
      <c r="S19810" s="27"/>
      <c r="T19810" s="27"/>
      <c r="U19810" s="27"/>
    </row>
    <row r="19812">
      <c r="S19812" s="27"/>
      <c r="T19812" s="27"/>
      <c r="U19812" s="27"/>
    </row>
    <row r="19813">
      <c r="S19813" s="27"/>
      <c r="T19813" s="27"/>
      <c r="U19813" s="27"/>
    </row>
    <row r="19815">
      <c r="S19815" s="27"/>
      <c r="T19815" s="27"/>
      <c r="U19815" s="27"/>
    </row>
    <row r="19816">
      <c r="S19816" s="27"/>
      <c r="T19816" s="27"/>
      <c r="U19816" s="27"/>
    </row>
    <row r="19818">
      <c r="S19818" s="27"/>
      <c r="T19818" s="27"/>
      <c r="U19818" s="27"/>
    </row>
    <row r="19820">
      <c r="T19820" s="27"/>
      <c r="U19820" s="27"/>
    </row>
    <row r="19821">
      <c r="S19821" s="27"/>
      <c r="T19821" s="27"/>
      <c r="U19821" s="27"/>
    </row>
    <row r="19823">
      <c r="S19823" s="27"/>
      <c r="T19823" s="27"/>
      <c r="U19823" s="27"/>
    </row>
    <row r="19824">
      <c r="S19824" s="27"/>
      <c r="T19824" s="27"/>
      <c r="U19824" s="27"/>
    </row>
    <row r="19826">
      <c r="S19826" s="27"/>
      <c r="T19826" s="27"/>
      <c r="U19826" s="27"/>
    </row>
    <row r="19827">
      <c r="S19827" s="27"/>
      <c r="T19827" s="27"/>
      <c r="U19827" s="27"/>
    </row>
    <row r="19829">
      <c r="S19829" s="27"/>
      <c r="T19829" s="27"/>
      <c r="U19829" s="27"/>
    </row>
    <row r="19830">
      <c r="S19830" s="27"/>
      <c r="T19830" s="27"/>
      <c r="U19830" s="27"/>
    </row>
    <row r="19832">
      <c r="S19832" s="27"/>
      <c r="T19832" s="27"/>
      <c r="U19832" s="27"/>
    </row>
    <row r="19833">
      <c r="S19833" s="27"/>
      <c r="T19833" s="27"/>
      <c r="U19833" s="27"/>
    </row>
    <row r="19835">
      <c r="S19835" s="27"/>
      <c r="T19835" s="27"/>
      <c r="U19835" s="27"/>
    </row>
    <row r="19836">
      <c r="S19836" s="27"/>
      <c r="T19836" s="27"/>
      <c r="U19836" s="27"/>
    </row>
    <row r="19838">
      <c r="S19838" s="27"/>
    </row>
    <row r="19839">
      <c r="S19839" s="27"/>
      <c r="T19839" s="27"/>
      <c r="U19839" s="27"/>
    </row>
    <row r="19841">
      <c r="T19841" s="27"/>
      <c r="U19841" s="27"/>
    </row>
    <row r="19843">
      <c r="S19843" s="27"/>
      <c r="T19843" s="27"/>
      <c r="U19843" s="27"/>
    </row>
    <row r="19845">
      <c r="U19845" s="27"/>
    </row>
    <row r="19847">
      <c r="S19847" s="27"/>
      <c r="T19847" s="27"/>
      <c r="U19847" s="27"/>
    </row>
    <row r="19849">
      <c r="S19849" s="27"/>
      <c r="T19849" s="27"/>
      <c r="U19849" s="27"/>
    </row>
    <row r="19850">
      <c r="S19850" s="27"/>
      <c r="T19850" s="27"/>
      <c r="U19850" s="27"/>
    </row>
    <row r="19852">
      <c r="S19852" s="27"/>
      <c r="T19852" s="27"/>
      <c r="U19852" s="27"/>
    </row>
    <row r="19853">
      <c r="S19853" s="27"/>
      <c r="T19853" s="27"/>
      <c r="U19853" s="27"/>
    </row>
    <row r="19855">
      <c r="S19855" s="27"/>
      <c r="T19855" s="27"/>
      <c r="U19855" s="27"/>
    </row>
    <row r="19856">
      <c r="S19856" s="27"/>
      <c r="T19856" s="27"/>
      <c r="U19856" s="27"/>
    </row>
    <row r="19858">
      <c r="S19858" s="27"/>
      <c r="T19858" s="27"/>
      <c r="U19858" s="27"/>
    </row>
    <row r="19859">
      <c r="S19859" s="27"/>
      <c r="T19859" s="27"/>
      <c r="U19859" s="27"/>
    </row>
    <row r="19861">
      <c r="S19861" s="27"/>
      <c r="T19861" s="27"/>
      <c r="U19861" s="27"/>
    </row>
    <row r="19862">
      <c r="S19862" s="27"/>
      <c r="T19862" s="27"/>
      <c r="U19862" s="27"/>
    </row>
    <row r="19864">
      <c r="S19864" s="27"/>
      <c r="T19864" s="27"/>
      <c r="U19864" s="27"/>
    </row>
    <row r="19865">
      <c r="S19865" s="27"/>
      <c r="T19865" s="27"/>
      <c r="U19865" s="27"/>
    </row>
    <row r="19867">
      <c r="S19867" s="27"/>
      <c r="T19867" s="27"/>
      <c r="U19867" s="27"/>
    </row>
    <row r="19868">
      <c r="S19868" s="27"/>
      <c r="T19868" s="27"/>
      <c r="U19868" s="27"/>
    </row>
    <row r="19870">
      <c r="S19870" s="26"/>
      <c r="T19870" s="26"/>
      <c r="U19870" s="26"/>
    </row>
    <row r="19873">
      <c r="S19873" s="27"/>
      <c r="T19873" s="27"/>
      <c r="U19873" s="27"/>
    </row>
    <row r="19876">
      <c r="S19876" s="27"/>
      <c r="T19876" s="27"/>
      <c r="U19876" s="27"/>
    </row>
    <row r="19877">
      <c r="S19877" s="27"/>
      <c r="T19877" s="27"/>
      <c r="U19877" s="27"/>
    </row>
    <row r="19879">
      <c r="S19879" s="27"/>
      <c r="T19879" s="27"/>
      <c r="U19879" s="27"/>
    </row>
    <row r="19880">
      <c r="S19880" s="27"/>
      <c r="T19880" s="27"/>
      <c r="U19880" s="27"/>
    </row>
    <row r="19882">
      <c r="S19882" s="27"/>
      <c r="T19882" s="27"/>
      <c r="U19882" s="27"/>
    </row>
    <row r="19883">
      <c r="S19883" s="27"/>
      <c r="T19883" s="27"/>
      <c r="U19883" s="27"/>
    </row>
    <row r="19885">
      <c r="U19885" s="26"/>
    </row>
    <row r="19888">
      <c r="S19888" s="27"/>
      <c r="T19888" s="27"/>
      <c r="U19888" s="27"/>
    </row>
    <row r="19889">
      <c r="S19889" s="27"/>
      <c r="T19889" s="27"/>
      <c r="U19889" s="27"/>
    </row>
    <row r="19891">
      <c r="S19891" s="27"/>
      <c r="T19891" s="27"/>
      <c r="U19891" s="27"/>
    </row>
    <row r="19892">
      <c r="S19892" s="27"/>
      <c r="T19892" s="27"/>
      <c r="U19892" s="27"/>
    </row>
    <row r="19894">
      <c r="S19894" s="27"/>
      <c r="T19894" s="27"/>
      <c r="U19894" s="27"/>
    </row>
    <row r="19895">
      <c r="S19895" s="27"/>
      <c r="T19895" s="27"/>
      <c r="U19895" s="27"/>
    </row>
    <row r="19897">
      <c r="S19897" s="27"/>
      <c r="T19897" s="27"/>
      <c r="U19897" s="27"/>
    </row>
    <row r="19900">
      <c r="S19900" s="26"/>
      <c r="T19900" s="26"/>
      <c r="U19900" s="26"/>
    </row>
    <row r="19903">
      <c r="S19903" s="27"/>
      <c r="T19903" s="27"/>
      <c r="U19903" s="27"/>
    </row>
    <row r="19904">
      <c r="S19904" s="27"/>
      <c r="T19904" s="27"/>
      <c r="U19904" s="27"/>
    </row>
    <row r="19906">
      <c r="S19906" s="27"/>
      <c r="T19906" s="27"/>
      <c r="U19906" s="27"/>
    </row>
    <row r="19907">
      <c r="S19907" s="27"/>
      <c r="T19907" s="27"/>
      <c r="U19907" s="27"/>
    </row>
    <row r="19912">
      <c r="S19912" s="27"/>
      <c r="T19912" s="27"/>
      <c r="U19912" s="27"/>
    </row>
    <row r="19915">
      <c r="S19915" s="27"/>
      <c r="T19915" s="27"/>
      <c r="U19915" s="27"/>
    </row>
    <row r="19918">
      <c r="S19918" s="27"/>
      <c r="T19918" s="27"/>
      <c r="U19918" s="27"/>
    </row>
    <row r="19919">
      <c r="S19919" s="27"/>
      <c r="T19919" s="27"/>
      <c r="U19919" s="27"/>
    </row>
    <row r="19921">
      <c r="S19921" s="27"/>
      <c r="T19921" s="27"/>
      <c r="U19921" s="27"/>
    </row>
    <row r="19922">
      <c r="S19922" s="27"/>
      <c r="T19922" s="27"/>
      <c r="U19922" s="27"/>
    </row>
    <row r="19924">
      <c r="S19924" s="27"/>
      <c r="T19924" s="27"/>
      <c r="U19924" s="27"/>
    </row>
    <row r="19925">
      <c r="S19925" s="27"/>
      <c r="T19925" s="27"/>
      <c r="U19925" s="27"/>
    </row>
    <row r="19927">
      <c r="S19927" s="27"/>
      <c r="T19927" s="27"/>
      <c r="U19927" s="27"/>
    </row>
    <row r="19928">
      <c r="S19928" s="27"/>
      <c r="T19928" s="27"/>
      <c r="U19928" s="27"/>
    </row>
    <row r="19930">
      <c r="S19930" s="27"/>
      <c r="T19930" s="27"/>
      <c r="U19930" s="27"/>
    </row>
    <row r="19931">
      <c r="S19931" s="27"/>
      <c r="T19931" s="27"/>
      <c r="U19931" s="27"/>
    </row>
    <row r="19933">
      <c r="S19933" s="27"/>
      <c r="T19933" s="27"/>
      <c r="U19933" s="27"/>
    </row>
    <row r="19934">
      <c r="S19934" s="27"/>
      <c r="T19934" s="27"/>
      <c r="U19934" s="27"/>
    </row>
    <row r="19936">
      <c r="S19936" s="27"/>
      <c r="T19936" s="27"/>
      <c r="U19936" s="27"/>
    </row>
    <row r="19937">
      <c r="S19937" s="27"/>
      <c r="T19937" s="27"/>
      <c r="U19937" s="27"/>
    </row>
    <row r="19939">
      <c r="S19939" s="27"/>
      <c r="T19939" s="27"/>
      <c r="U19939" s="27"/>
    </row>
    <row r="19940">
      <c r="S19940" s="27"/>
      <c r="T19940" s="27"/>
      <c r="U19940" s="27"/>
    </row>
    <row r="19942">
      <c r="S19942" s="27"/>
      <c r="T19942" s="27"/>
      <c r="U19942" s="27"/>
    </row>
    <row r="19943">
      <c r="S19943" s="27"/>
      <c r="T19943" s="27"/>
      <c r="U19943" s="27"/>
    </row>
    <row r="19945">
      <c r="S19945" s="27"/>
      <c r="T19945" s="27"/>
      <c r="U19945" s="27"/>
    </row>
    <row r="19946">
      <c r="S19946" s="27"/>
      <c r="T19946" s="27"/>
      <c r="U19946" s="27"/>
    </row>
    <row r="19948">
      <c r="S19948" s="27"/>
      <c r="T19948" s="27"/>
      <c r="U19948" s="27"/>
    </row>
    <row r="19949">
      <c r="S19949" s="27"/>
      <c r="T19949" s="27"/>
      <c r="U19949" s="27"/>
    </row>
    <row r="19951">
      <c r="S19951" s="27"/>
      <c r="T19951" s="27"/>
      <c r="U19951" s="27"/>
    </row>
    <row r="19952">
      <c r="S19952" s="27"/>
      <c r="T19952" s="27"/>
      <c r="U19952" s="27"/>
    </row>
    <row r="19954">
      <c r="S19954" s="27"/>
      <c r="T19954" s="27"/>
      <c r="U19954" s="27"/>
    </row>
    <row r="19955">
      <c r="S19955" s="27"/>
      <c r="T19955" s="27"/>
      <c r="U19955" s="27"/>
    </row>
    <row r="19957">
      <c r="S19957" s="27"/>
      <c r="T19957" s="27"/>
      <c r="U19957" s="27"/>
    </row>
    <row r="19958">
      <c r="S19958" s="27"/>
      <c r="T19958" s="27"/>
      <c r="U19958" s="27"/>
    </row>
    <row r="19960">
      <c r="S19960" s="27"/>
      <c r="T19960" s="27"/>
      <c r="U19960" s="27"/>
    </row>
    <row r="19961">
      <c r="S19961" s="27"/>
      <c r="T19961" s="27"/>
      <c r="U19961" s="27"/>
    </row>
    <row r="19963">
      <c r="S19963" s="27"/>
      <c r="T19963" s="27"/>
      <c r="U19963" s="27"/>
    </row>
    <row r="19964">
      <c r="S19964" s="27"/>
      <c r="T19964" s="27"/>
      <c r="U19964" s="27"/>
    </row>
    <row r="19966">
      <c r="S19966" s="27"/>
      <c r="T19966" s="27"/>
      <c r="U19966" s="27"/>
    </row>
    <row r="19967">
      <c r="S19967" s="27"/>
      <c r="T19967" s="27"/>
      <c r="U19967" s="27"/>
    </row>
    <row r="19969">
      <c r="S19969" s="27"/>
      <c r="T19969" s="27"/>
      <c r="U19969" s="27"/>
    </row>
    <row r="19970">
      <c r="S19970" s="27"/>
      <c r="T19970" s="27"/>
      <c r="U19970" s="27"/>
    </row>
    <row r="19972">
      <c r="S19972" s="27"/>
      <c r="T19972" s="27"/>
      <c r="U19972" s="27"/>
    </row>
    <row r="19973">
      <c r="S19973" s="27"/>
      <c r="T19973" s="27"/>
      <c r="U19973" s="27"/>
    </row>
    <row r="19975">
      <c r="S19975" s="27"/>
      <c r="T19975" s="27"/>
      <c r="U19975" s="27"/>
    </row>
    <row r="19976">
      <c r="S19976" s="27"/>
      <c r="T19976" s="27"/>
      <c r="U19976" s="27"/>
    </row>
    <row r="19978">
      <c r="S19978" s="27"/>
      <c r="T19978" s="27"/>
      <c r="U19978" s="27"/>
    </row>
    <row r="19979">
      <c r="S19979" s="27"/>
      <c r="T19979" s="27"/>
      <c r="U19979" s="27"/>
    </row>
    <row r="19981">
      <c r="S19981" s="27"/>
      <c r="T19981" s="27"/>
      <c r="U19981" s="27"/>
    </row>
    <row r="19982">
      <c r="S19982" s="27"/>
      <c r="T19982" s="27"/>
      <c r="U19982" s="27"/>
    </row>
    <row r="19984">
      <c r="S19984" s="27"/>
      <c r="T19984" s="27"/>
      <c r="U19984" s="27"/>
    </row>
    <row r="19985">
      <c r="S19985" s="27"/>
      <c r="T19985" s="27"/>
      <c r="U19985" s="27"/>
    </row>
    <row r="19987">
      <c r="S19987" s="27"/>
      <c r="T19987" s="27"/>
      <c r="U19987" s="27"/>
    </row>
    <row r="19988">
      <c r="S19988" s="27"/>
      <c r="T19988" s="27"/>
      <c r="U19988" s="27"/>
    </row>
    <row r="19991">
      <c r="S19991" s="27"/>
      <c r="T19991" s="27"/>
      <c r="U19991" s="27"/>
    </row>
    <row r="19993">
      <c r="S19993" s="33"/>
      <c r="T19993" s="27"/>
      <c r="U19993" s="27"/>
    </row>
    <row r="19994">
      <c r="S19994" s="27"/>
      <c r="T19994" s="27"/>
      <c r="U19994" s="27"/>
    </row>
    <row r="19996">
      <c r="S19996" s="27"/>
      <c r="T19996" s="27"/>
      <c r="U19996" s="27"/>
    </row>
    <row r="19999">
      <c r="S19999" s="27"/>
      <c r="T19999" s="27"/>
      <c r="U19999" s="33"/>
    </row>
    <row r="20000">
      <c r="S20000" s="27"/>
      <c r="T20000" s="27"/>
      <c r="U20000" s="27"/>
    </row>
    <row r="20002">
      <c r="S20002" s="27"/>
      <c r="T20002" s="27"/>
      <c r="U20002" s="27"/>
    </row>
    <row r="20003">
      <c r="S20003" s="27"/>
      <c r="T20003" s="27"/>
      <c r="U20003" s="27"/>
    </row>
    <row r="20005">
      <c r="S20005" s="27"/>
      <c r="T20005" s="27"/>
      <c r="U20005" s="27"/>
    </row>
    <row r="20006">
      <c r="S20006" s="26"/>
      <c r="T20006" s="27"/>
      <c r="U20006" s="27"/>
    </row>
    <row r="20008">
      <c r="S20008" s="27"/>
      <c r="T20008" s="27"/>
      <c r="U20008" s="27"/>
    </row>
    <row r="20009">
      <c r="S20009" s="27"/>
      <c r="T20009" s="27"/>
      <c r="U20009" s="27"/>
    </row>
    <row r="20011">
      <c r="S20011" s="27"/>
      <c r="T20011" s="27"/>
      <c r="U20011" s="27"/>
    </row>
    <row r="20012">
      <c r="S20012" s="27"/>
      <c r="T20012" s="27"/>
      <c r="U20012" s="27"/>
    </row>
    <row r="20014">
      <c r="S20014" s="27"/>
      <c r="T20014" s="27"/>
      <c r="U20014" s="27"/>
    </row>
    <row r="20015">
      <c r="S20015" s="27"/>
      <c r="T20015" s="27"/>
      <c r="U20015" s="27"/>
    </row>
    <row r="20020">
      <c r="S20020" s="26"/>
      <c r="T20020" s="26"/>
      <c r="U20020" s="26"/>
    </row>
    <row r="20025">
      <c r="S20025" s="27"/>
      <c r="T20025" s="27"/>
      <c r="U20025" s="27"/>
    </row>
    <row r="20030">
      <c r="S20030" s="27"/>
      <c r="T20030" s="27"/>
      <c r="U20030" s="27"/>
    </row>
    <row r="20033">
      <c r="S20033" s="27"/>
      <c r="T20033" s="27"/>
      <c r="U20033" s="27"/>
    </row>
    <row r="20034">
      <c r="S20034" s="27"/>
      <c r="T20034" s="27"/>
      <c r="U20034" s="27"/>
    </row>
    <row r="20036">
      <c r="S20036" s="27"/>
    </row>
    <row r="20037">
      <c r="S20037" s="27"/>
      <c r="T20037" s="27"/>
      <c r="U20037" s="27"/>
    </row>
    <row r="20039">
      <c r="S20039" s="27"/>
      <c r="T20039" s="27"/>
      <c r="U20039" s="27"/>
    </row>
    <row r="20040">
      <c r="U20040" s="27"/>
    </row>
    <row r="20042">
      <c r="S20042" s="27"/>
      <c r="T20042" s="27"/>
      <c r="U20042" s="27"/>
    </row>
    <row r="20043">
      <c r="S20043" s="26"/>
      <c r="T20043" s="26"/>
      <c r="U20043" s="26"/>
    </row>
    <row r="20045">
      <c r="S20045" s="27"/>
      <c r="T20045" s="27"/>
      <c r="U20045" s="27"/>
    </row>
    <row r="20046">
      <c r="S20046" s="27"/>
      <c r="T20046" s="27"/>
      <c r="U20046" s="27"/>
    </row>
    <row r="20051">
      <c r="S20051" s="27"/>
      <c r="T20051" s="27"/>
      <c r="U20051" s="27"/>
    </row>
    <row r="20052">
      <c r="S20052" s="27"/>
      <c r="T20052" s="27"/>
      <c r="U20052" s="27"/>
    </row>
    <row r="20054">
      <c r="S20054" s="27"/>
      <c r="T20054" s="27"/>
      <c r="U20054" s="27"/>
    </row>
    <row r="20055">
      <c r="S20055" s="27"/>
      <c r="T20055" s="27"/>
      <c r="U20055" s="27"/>
    </row>
    <row r="20057">
      <c r="S20057" s="27"/>
      <c r="T20057" s="27"/>
      <c r="U20057" s="27"/>
    </row>
    <row r="20058">
      <c r="S20058" s="27"/>
      <c r="T20058" s="27"/>
      <c r="U20058" s="27"/>
    </row>
    <row r="20060">
      <c r="S20060" s="33"/>
      <c r="T20060" s="33"/>
      <c r="U20060" s="33"/>
    </row>
    <row r="20066">
      <c r="S20066" s="27"/>
      <c r="T20066" s="27"/>
      <c r="U20066" s="27"/>
    </row>
    <row r="20069">
      <c r="S20069" s="27"/>
      <c r="T20069" s="27"/>
      <c r="U20069" s="27"/>
    </row>
    <row r="20070">
      <c r="S20070" s="33"/>
      <c r="T20070" s="33"/>
      <c r="U20070" s="33"/>
    </row>
    <row r="20072">
      <c r="S20072" s="27"/>
    </row>
    <row r="20075">
      <c r="S20075" s="27"/>
      <c r="T20075" s="27"/>
      <c r="U20075" s="27"/>
    </row>
    <row r="20076">
      <c r="S20076" s="27"/>
      <c r="T20076" s="27"/>
      <c r="U20076" s="27"/>
    </row>
    <row r="20078">
      <c r="S20078" s="27"/>
      <c r="T20078" s="27"/>
      <c r="U20078" s="27"/>
    </row>
    <row r="20079">
      <c r="S20079" s="27"/>
      <c r="T20079" s="27"/>
      <c r="U20079" s="27"/>
    </row>
    <row r="20081">
      <c r="S20081" s="27"/>
      <c r="T20081" s="27"/>
      <c r="U20081" s="27"/>
    </row>
    <row r="20082">
      <c r="S20082" s="27"/>
      <c r="T20082" s="27"/>
      <c r="U20082" s="27"/>
    </row>
    <row r="20084">
      <c r="S20084" s="27"/>
      <c r="T20084" s="27"/>
      <c r="U20084" s="27"/>
    </row>
    <row r="20085">
      <c r="S20085" s="27"/>
      <c r="T20085" s="27"/>
      <c r="U20085" s="27"/>
    </row>
    <row r="20090">
      <c r="S20090" s="27"/>
      <c r="T20090" s="27"/>
      <c r="U20090" s="27"/>
    </row>
    <row r="20091">
      <c r="S20091" s="27"/>
      <c r="T20091" s="27"/>
      <c r="U20091" s="27"/>
    </row>
    <row r="20093">
      <c r="S20093" s="27"/>
      <c r="T20093" s="27"/>
      <c r="U20093" s="27"/>
    </row>
    <row r="20094">
      <c r="S20094" s="27"/>
      <c r="T20094" s="27"/>
      <c r="U20094" s="27"/>
    </row>
    <row r="20096">
      <c r="S20096" s="27"/>
      <c r="T20096" s="27"/>
      <c r="U20096" s="27"/>
    </row>
    <row r="20099">
      <c r="S20099" s="27"/>
      <c r="T20099" s="27"/>
    </row>
    <row r="20100">
      <c r="U20100" s="27"/>
    </row>
    <row r="20102">
      <c r="S20102" s="27"/>
      <c r="T20102" s="27"/>
      <c r="U20102" s="27"/>
    </row>
    <row r="20103">
      <c r="S20103" s="27"/>
      <c r="T20103" s="27"/>
      <c r="U20103" s="27"/>
    </row>
    <row r="20105">
      <c r="S20105" s="27"/>
      <c r="T20105" s="27"/>
      <c r="U20105" s="27"/>
    </row>
    <row r="20106">
      <c r="S20106" s="27"/>
      <c r="T20106" s="27"/>
      <c r="U20106" s="27"/>
    </row>
    <row r="20108">
      <c r="S20108" s="27"/>
      <c r="T20108" s="27"/>
      <c r="U20108" s="27"/>
    </row>
    <row r="20111">
      <c r="S20111" s="27"/>
      <c r="T20111" s="27"/>
      <c r="U20111" s="27"/>
    </row>
    <row r="20112">
      <c r="S20112" s="27"/>
      <c r="T20112" s="27"/>
      <c r="U20112" s="27"/>
    </row>
    <row r="20114">
      <c r="S20114" s="26"/>
      <c r="T20114" s="26"/>
      <c r="U20114" s="26"/>
    </row>
    <row r="20117">
      <c r="S20117" s="27"/>
      <c r="T20117" s="27"/>
      <c r="U20117" s="27"/>
    </row>
    <row r="20120">
      <c r="S20120" s="27"/>
      <c r="T20120" s="27"/>
      <c r="U20120" s="27"/>
    </row>
    <row r="20121">
      <c r="S20121" s="27"/>
      <c r="T20121" s="27"/>
      <c r="U20121" s="27"/>
    </row>
    <row r="20123">
      <c r="S20123" s="27"/>
      <c r="T20123" s="27"/>
      <c r="U20123" s="27"/>
    </row>
    <row r="20124">
      <c r="S20124" s="27"/>
      <c r="T20124" s="27"/>
      <c r="U20124" s="27"/>
    </row>
    <row r="20126">
      <c r="S20126" s="27"/>
      <c r="T20126" s="27"/>
      <c r="U20126" s="27"/>
    </row>
    <row r="20127">
      <c r="S20127" s="27"/>
      <c r="T20127" s="27"/>
      <c r="U20127" s="27"/>
    </row>
    <row r="20129">
      <c r="S20129" s="27"/>
      <c r="T20129" s="27"/>
    </row>
    <row r="20130">
      <c r="T20130" s="26"/>
    </row>
    <row r="20132">
      <c r="S20132" s="27"/>
      <c r="T20132" s="27"/>
      <c r="U20132" s="27"/>
    </row>
    <row r="20133">
      <c r="S20133" s="27"/>
      <c r="T20133" s="27"/>
      <c r="U20133" s="27"/>
    </row>
    <row r="20135">
      <c r="S20135" s="27"/>
      <c r="T20135" s="27"/>
      <c r="U20135" s="27"/>
    </row>
    <row r="20136">
      <c r="S20136" s="27"/>
      <c r="T20136" s="27"/>
      <c r="U20136" s="27"/>
    </row>
    <row r="20138">
      <c r="S20138" s="27"/>
      <c r="T20138" s="27"/>
      <c r="U20138" s="27"/>
    </row>
    <row r="20141">
      <c r="S20141" s="27"/>
      <c r="T20141" s="27"/>
      <c r="U20141" s="27"/>
    </row>
    <row r="20142">
      <c r="S20142" s="27"/>
      <c r="T20142" s="27"/>
      <c r="U20142" s="27"/>
    </row>
    <row r="20144">
      <c r="S20144" s="27"/>
      <c r="T20144" s="27"/>
      <c r="U20144" s="27"/>
    </row>
    <row r="20145">
      <c r="S20145" s="27"/>
      <c r="T20145" s="27"/>
      <c r="U20145" s="27"/>
    </row>
    <row r="20147">
      <c r="S20147" s="27"/>
      <c r="T20147" s="27"/>
      <c r="U20147" s="27"/>
    </row>
    <row r="20148">
      <c r="S20148" s="27"/>
      <c r="T20148" s="27"/>
      <c r="U20148" s="27"/>
    </row>
    <row r="20150">
      <c r="S20150" s="27"/>
      <c r="T20150" s="27"/>
      <c r="U20150" s="27"/>
    </row>
    <row r="20151">
      <c r="S20151" s="27"/>
      <c r="T20151" s="27"/>
      <c r="U20151" s="27"/>
    </row>
    <row r="20153">
      <c r="S20153" s="27"/>
      <c r="T20153" s="27"/>
      <c r="U20153" s="27"/>
    </row>
    <row r="20154">
      <c r="S20154" s="27"/>
      <c r="T20154" s="27"/>
      <c r="U20154" s="27"/>
    </row>
    <row r="20156">
      <c r="S20156" s="27"/>
      <c r="T20156" s="27"/>
      <c r="U20156" s="27"/>
    </row>
    <row r="20157">
      <c r="S20157" s="27"/>
      <c r="T20157" s="27"/>
      <c r="U20157" s="27"/>
    </row>
    <row r="20159">
      <c r="S20159" s="27"/>
      <c r="T20159" s="27"/>
      <c r="U20159" s="27"/>
    </row>
    <row r="20160">
      <c r="S20160" s="27"/>
      <c r="T20160" s="27"/>
      <c r="U20160" s="27"/>
    </row>
    <row r="20162">
      <c r="S20162" s="27"/>
      <c r="T20162" s="27"/>
      <c r="U20162" s="27"/>
    </row>
    <row r="20163">
      <c r="S20163" s="27"/>
      <c r="T20163" s="27"/>
      <c r="U20163" s="27"/>
    </row>
    <row r="20165">
      <c r="S20165" s="27"/>
      <c r="T20165" s="27"/>
      <c r="U20165" s="27"/>
    </row>
    <row r="20166">
      <c r="S20166" s="27"/>
      <c r="T20166" s="27"/>
      <c r="U20166" s="27"/>
    </row>
    <row r="20168">
      <c r="S20168" s="27"/>
      <c r="T20168" s="27"/>
      <c r="U20168" s="27"/>
    </row>
    <row r="20169">
      <c r="S20169" s="27"/>
      <c r="T20169" s="27"/>
      <c r="U20169" s="27"/>
    </row>
    <row r="20171">
      <c r="S20171" s="27"/>
      <c r="T20171" s="27"/>
      <c r="U20171" s="27"/>
    </row>
    <row r="20172">
      <c r="S20172" s="27"/>
      <c r="T20172" s="27"/>
      <c r="U20172" s="27"/>
    </row>
    <row r="20174">
      <c r="S20174" s="27"/>
      <c r="T20174" s="27"/>
      <c r="U20174" s="27"/>
    </row>
    <row r="20175">
      <c r="S20175" s="27"/>
      <c r="T20175" s="27"/>
      <c r="U20175" s="27"/>
    </row>
    <row r="20177">
      <c r="S20177" s="27"/>
      <c r="T20177" s="27"/>
      <c r="U20177" s="27"/>
    </row>
    <row r="20178">
      <c r="S20178" s="27"/>
      <c r="T20178" s="27"/>
      <c r="U20178" s="27"/>
    </row>
    <row r="20180">
      <c r="S20180" s="27"/>
      <c r="T20180" s="27"/>
      <c r="U20180" s="27"/>
    </row>
    <row r="20181">
      <c r="S20181" s="27"/>
      <c r="T20181" s="27"/>
      <c r="U20181" s="27"/>
    </row>
    <row r="20183">
      <c r="S20183" s="27"/>
      <c r="T20183" s="27"/>
      <c r="U20183" s="27"/>
    </row>
    <row r="20184">
      <c r="S20184" s="27"/>
      <c r="T20184" s="27"/>
      <c r="U20184" s="27"/>
    </row>
    <row r="20186">
      <c r="S20186" s="27"/>
      <c r="T20186" s="27"/>
      <c r="U20186" s="27"/>
    </row>
    <row r="20187">
      <c r="S20187" s="27"/>
      <c r="T20187" s="27"/>
      <c r="U20187" s="27"/>
    </row>
    <row r="20189">
      <c r="S20189" s="27"/>
      <c r="T20189" s="27"/>
      <c r="U20189" s="27"/>
    </row>
    <row r="20190">
      <c r="S20190" s="27"/>
      <c r="T20190" s="27"/>
      <c r="U20190" s="27"/>
    </row>
    <row r="20192">
      <c r="S20192" s="27"/>
      <c r="T20192" s="27"/>
      <c r="U20192" s="27"/>
    </row>
    <row r="20193">
      <c r="S20193" s="27"/>
      <c r="T20193" s="27"/>
      <c r="U20193" s="27"/>
    </row>
    <row r="20195">
      <c r="S20195" s="27"/>
      <c r="T20195" s="27"/>
      <c r="U20195" s="27"/>
    </row>
    <row r="20196">
      <c r="S20196" s="27"/>
      <c r="T20196" s="27"/>
      <c r="U20196" s="27"/>
    </row>
    <row r="20198">
      <c r="S20198" s="27"/>
      <c r="T20198" s="27"/>
      <c r="U20198" s="27"/>
    </row>
    <row r="20199">
      <c r="S20199" s="27"/>
      <c r="T20199" s="27"/>
      <c r="U20199" s="27"/>
    </row>
    <row r="20201">
      <c r="S20201" s="27"/>
      <c r="T20201" s="27"/>
      <c r="U20201" s="27"/>
    </row>
    <row r="20202">
      <c r="S20202" s="27"/>
      <c r="T20202" s="27"/>
      <c r="U20202" s="27"/>
    </row>
    <row r="20204">
      <c r="S20204" s="27"/>
      <c r="T20204" s="27"/>
      <c r="U20204" s="27"/>
    </row>
    <row r="20205">
      <c r="S20205" s="27"/>
      <c r="T20205" s="27"/>
      <c r="U20205" s="27"/>
    </row>
    <row r="20207">
      <c r="S20207" s="27"/>
      <c r="T20207" s="27"/>
      <c r="U20207" s="27"/>
    </row>
    <row r="20208">
      <c r="S20208" s="27"/>
      <c r="T20208" s="27"/>
      <c r="U20208" s="27"/>
    </row>
    <row r="20210">
      <c r="S20210" s="27"/>
      <c r="T20210" s="27"/>
      <c r="U20210" s="27"/>
    </row>
    <row r="20211">
      <c r="S20211" s="27"/>
      <c r="T20211" s="27"/>
      <c r="U20211" s="27"/>
    </row>
    <row r="20213">
      <c r="S20213" s="27"/>
      <c r="T20213" s="27"/>
      <c r="U20213" s="27"/>
    </row>
    <row r="20214">
      <c r="S20214" s="27"/>
      <c r="T20214" s="27"/>
      <c r="U20214" s="27"/>
    </row>
    <row r="20216">
      <c r="S20216" s="27"/>
      <c r="T20216" s="27"/>
      <c r="U20216" s="27"/>
    </row>
    <row r="20217">
      <c r="S20217" s="27"/>
      <c r="T20217" s="27"/>
      <c r="U20217" s="27"/>
    </row>
    <row r="20219">
      <c r="S20219" s="27"/>
      <c r="T20219" s="27"/>
      <c r="U20219" s="27"/>
    </row>
    <row r="20220">
      <c r="S20220" s="27"/>
      <c r="T20220" s="27"/>
      <c r="U20220" s="27"/>
    </row>
    <row r="20222">
      <c r="S20222" s="27"/>
      <c r="T20222" s="27"/>
      <c r="U20222" s="27"/>
    </row>
    <row r="20223">
      <c r="S20223" s="27"/>
      <c r="T20223" s="27"/>
      <c r="U20223" s="27"/>
    </row>
    <row r="20225">
      <c r="S20225" s="27"/>
      <c r="T20225" s="27"/>
      <c r="U20225" s="27"/>
    </row>
    <row r="20226">
      <c r="S20226" s="27"/>
      <c r="T20226" s="27"/>
      <c r="U20226" s="27"/>
    </row>
    <row r="20228">
      <c r="S20228" s="27"/>
      <c r="T20228" s="27"/>
      <c r="U20228" s="27"/>
    </row>
    <row r="20230">
      <c r="S20230" s="27"/>
      <c r="T20230" s="27"/>
      <c r="U20230" s="27"/>
    </row>
    <row r="20231">
      <c r="S20231" s="27"/>
      <c r="T20231" s="27"/>
      <c r="U20231" s="27"/>
    </row>
    <row r="20233">
      <c r="S20233" s="27"/>
      <c r="T20233" s="27"/>
      <c r="U20233" s="27"/>
    </row>
    <row r="20234">
      <c r="S20234" s="27"/>
      <c r="T20234" s="27"/>
      <c r="U20234" s="27"/>
    </row>
    <row r="20236">
      <c r="S20236" s="27"/>
      <c r="T20236" s="27"/>
      <c r="U20236" s="27"/>
    </row>
    <row r="20237">
      <c r="S20237" s="27"/>
      <c r="T20237" s="27"/>
      <c r="U20237" s="27"/>
    </row>
    <row r="20239">
      <c r="S20239" s="27"/>
      <c r="T20239" s="27"/>
      <c r="U20239" s="27"/>
    </row>
    <row r="20240">
      <c r="S20240" s="27"/>
      <c r="T20240" s="27"/>
      <c r="U20240" s="27"/>
    </row>
    <row r="20242">
      <c r="S20242" s="27"/>
      <c r="T20242" s="27"/>
      <c r="U20242" s="27"/>
    </row>
    <row r="20243">
      <c r="S20243" s="27"/>
      <c r="T20243" s="27"/>
      <c r="U20243" s="27"/>
    </row>
    <row r="20245">
      <c r="S20245" s="27"/>
      <c r="T20245" s="27"/>
      <c r="U20245" s="27"/>
    </row>
    <row r="20246">
      <c r="S20246" s="27"/>
      <c r="T20246" s="27"/>
      <c r="U20246" s="27"/>
    </row>
    <row r="20248">
      <c r="S20248" s="27"/>
      <c r="T20248" s="27"/>
      <c r="U20248" s="27"/>
    </row>
    <row r="20249">
      <c r="S20249" s="27"/>
      <c r="T20249" s="27"/>
      <c r="U20249" s="27"/>
    </row>
    <row r="20251">
      <c r="S20251" s="27"/>
      <c r="T20251" s="27"/>
      <c r="U20251" s="27"/>
    </row>
    <row r="20253">
      <c r="S20253" s="27"/>
      <c r="T20253" s="27"/>
      <c r="U20253" s="27"/>
    </row>
    <row r="20255">
      <c r="S20255" s="27"/>
      <c r="T20255" s="27"/>
      <c r="U20255" s="27"/>
    </row>
    <row r="20257">
      <c r="S20257" s="27"/>
      <c r="T20257" s="27"/>
      <c r="U20257" s="27"/>
    </row>
    <row r="20260">
      <c r="S20260" s="27"/>
      <c r="T20260" s="27"/>
      <c r="U20260" s="27"/>
    </row>
    <row r="20262">
      <c r="S20262" s="27"/>
      <c r="T20262" s="27"/>
      <c r="U20262" s="27"/>
    </row>
    <row r="20263">
      <c r="S20263" s="27"/>
      <c r="T20263" s="27"/>
      <c r="U20263" s="27"/>
    </row>
    <row r="20265">
      <c r="S20265" s="27"/>
      <c r="T20265" s="27"/>
      <c r="U20265" s="27"/>
    </row>
    <row r="20266">
      <c r="S20266" s="27"/>
      <c r="T20266" s="27"/>
      <c r="U20266" s="33"/>
    </row>
    <row r="20268">
      <c r="S20268" s="27"/>
      <c r="T20268" s="27"/>
      <c r="U20268" s="27"/>
    </row>
    <row r="20269">
      <c r="S20269" s="27"/>
      <c r="T20269" s="27"/>
      <c r="U20269" s="27"/>
    </row>
    <row r="20271">
      <c r="S20271" s="27"/>
      <c r="T20271" s="27"/>
      <c r="U20271" s="27"/>
    </row>
    <row r="20272">
      <c r="S20272" s="27"/>
      <c r="T20272" s="27"/>
      <c r="U20272" s="27"/>
    </row>
    <row r="20274">
      <c r="S20274" s="27"/>
      <c r="T20274" s="27"/>
      <c r="U20274" s="27"/>
    </row>
    <row r="20275">
      <c r="S20275" s="27"/>
      <c r="T20275" s="27"/>
      <c r="U20275" s="27"/>
    </row>
    <row r="20277">
      <c r="S20277" s="27"/>
      <c r="T20277" s="27"/>
      <c r="U20277" s="27"/>
    </row>
    <row r="20278">
      <c r="S20278" s="27"/>
      <c r="T20278" s="27"/>
      <c r="U20278" s="27"/>
    </row>
    <row r="20280">
      <c r="S20280" s="26"/>
      <c r="T20280" s="26"/>
      <c r="U20280" s="26"/>
    </row>
    <row r="20283">
      <c r="S20283" s="33"/>
      <c r="T20283" s="33"/>
      <c r="U20283" s="33"/>
    </row>
    <row r="20284">
      <c r="S20284" s="26"/>
      <c r="T20284" s="26"/>
      <c r="U20284" s="26"/>
    </row>
    <row r="20286">
      <c r="S20286" s="27"/>
      <c r="T20286" s="27"/>
      <c r="U20286" s="27"/>
    </row>
    <row r="20287">
      <c r="S20287" s="27"/>
      <c r="T20287" s="27"/>
      <c r="U20287" s="27"/>
    </row>
    <row r="20289">
      <c r="S20289" s="27"/>
      <c r="T20289" s="27"/>
      <c r="U20289" s="27"/>
    </row>
    <row r="20290">
      <c r="S20290" s="27"/>
      <c r="T20290" s="27"/>
      <c r="U20290" s="27"/>
    </row>
    <row r="20292">
      <c r="S20292" s="27"/>
      <c r="T20292" s="27"/>
      <c r="U20292" s="27"/>
    </row>
    <row r="20293">
      <c r="S20293" s="27"/>
      <c r="T20293" s="27"/>
      <c r="U20293" s="27"/>
    </row>
    <row r="20298">
      <c r="S20298" s="27"/>
      <c r="T20298" s="27"/>
      <c r="U20298" s="27"/>
    </row>
    <row r="20299">
      <c r="S20299" s="27"/>
      <c r="T20299" s="27"/>
      <c r="U20299" s="27"/>
    </row>
    <row r="20301">
      <c r="S20301" s="27"/>
      <c r="T20301" s="27"/>
      <c r="U20301" s="27"/>
    </row>
    <row r="20302">
      <c r="S20302" s="27"/>
      <c r="T20302" s="27"/>
      <c r="U20302" s="27"/>
    </row>
    <row r="20304">
      <c r="S20304" s="26"/>
      <c r="T20304" s="27"/>
      <c r="U20304" s="27"/>
    </row>
    <row r="20305">
      <c r="T20305" s="27"/>
      <c r="U20305" s="27"/>
    </row>
    <row r="20307">
      <c r="S20307" s="27"/>
      <c r="T20307" s="27"/>
      <c r="U20307" s="27"/>
    </row>
    <row r="20310">
      <c r="S20310" s="26"/>
      <c r="T20310" s="27"/>
    </row>
    <row r="20313">
      <c r="S20313" s="27"/>
      <c r="T20313" s="27"/>
      <c r="U20313" s="27"/>
    </row>
    <row r="20314">
      <c r="S20314" s="27"/>
      <c r="T20314" s="27"/>
      <c r="U20314" s="27"/>
    </row>
    <row r="20316">
      <c r="S20316" s="27"/>
      <c r="T20316" s="27"/>
      <c r="U20316" s="27"/>
    </row>
    <row r="20317">
      <c r="S20317" s="27"/>
      <c r="T20317" s="27"/>
      <c r="U20317" s="27"/>
    </row>
    <row r="20319">
      <c r="S20319" s="26"/>
      <c r="T20319" s="26"/>
      <c r="U20319" s="26"/>
    </row>
    <row r="20325">
      <c r="S20325" s="27"/>
      <c r="T20325" s="27"/>
      <c r="U20325" s="27"/>
    </row>
    <row r="20328">
      <c r="S20328" s="27"/>
      <c r="T20328" s="27"/>
      <c r="U20328" s="27"/>
    </row>
    <row r="20329">
      <c r="S20329" s="27"/>
      <c r="T20329" s="27"/>
      <c r="U20329" s="27"/>
    </row>
    <row r="20331">
      <c r="S20331" s="27"/>
      <c r="T20331" s="27"/>
      <c r="U20331" s="27"/>
    </row>
    <row r="20332">
      <c r="S20332" s="27"/>
      <c r="T20332" s="27"/>
      <c r="U20332" s="27"/>
    </row>
    <row r="20334">
      <c r="S20334" s="27"/>
      <c r="T20334" s="27"/>
      <c r="U20334" s="27"/>
    </row>
    <row r="20335">
      <c r="S20335" s="27"/>
      <c r="T20335" s="27"/>
      <c r="U20335" s="27"/>
    </row>
    <row r="20337">
      <c r="S20337" s="27"/>
      <c r="T20337" s="27"/>
      <c r="U20337" s="27"/>
    </row>
    <row r="20338">
      <c r="S20338" s="27"/>
      <c r="T20338" s="27"/>
      <c r="U20338" s="27"/>
    </row>
    <row r="20340">
      <c r="S20340" s="27"/>
      <c r="T20340" s="27"/>
      <c r="U20340" s="27"/>
    </row>
    <row r="20341">
      <c r="S20341" s="27"/>
      <c r="T20341" s="27"/>
      <c r="U20341" s="27"/>
    </row>
    <row r="20343">
      <c r="S20343" s="27"/>
      <c r="T20343" s="27"/>
      <c r="U20343" s="27"/>
    </row>
    <row r="20344">
      <c r="S20344" s="27"/>
      <c r="T20344" s="27"/>
      <c r="U20344" s="27"/>
    </row>
    <row r="20346">
      <c r="S20346" s="27"/>
      <c r="T20346" s="27"/>
      <c r="U20346" s="27"/>
    </row>
    <row r="20347">
      <c r="S20347" s="27"/>
      <c r="T20347" s="27"/>
      <c r="U20347" s="27"/>
    </row>
    <row r="20349">
      <c r="S20349" s="27"/>
      <c r="T20349" s="27"/>
      <c r="U20349" s="27"/>
    </row>
    <row r="20350">
      <c r="S20350" s="27"/>
      <c r="T20350" s="27"/>
      <c r="U20350" s="27"/>
    </row>
    <row r="20352">
      <c r="S20352" s="27"/>
      <c r="T20352" s="27"/>
      <c r="U20352" s="27"/>
    </row>
    <row r="20353">
      <c r="S20353" s="27"/>
      <c r="T20353" s="27"/>
      <c r="U20353" s="27"/>
    </row>
    <row r="20355">
      <c r="S20355" s="27"/>
      <c r="T20355" s="27"/>
      <c r="U20355" s="27"/>
    </row>
    <row r="20356">
      <c r="S20356" s="27"/>
      <c r="T20356" s="27"/>
      <c r="U20356" s="27"/>
    </row>
    <row r="20358">
      <c r="S20358" s="27"/>
      <c r="T20358" s="27"/>
      <c r="U20358" s="27"/>
    </row>
    <row r="20359">
      <c r="S20359" s="27"/>
      <c r="T20359" s="27"/>
      <c r="U20359" s="27"/>
    </row>
    <row r="20361">
      <c r="S20361" s="27"/>
      <c r="T20361" s="27"/>
      <c r="U20361" s="27"/>
    </row>
    <row r="20362">
      <c r="S20362" s="27"/>
      <c r="T20362" s="27"/>
      <c r="U20362" s="27"/>
    </row>
    <row r="20364">
      <c r="S20364" s="27"/>
      <c r="T20364" s="27"/>
      <c r="U20364" s="27"/>
    </row>
    <row r="20365">
      <c r="S20365" s="27"/>
      <c r="T20365" s="27"/>
      <c r="U20365" s="27"/>
    </row>
    <row r="20367">
      <c r="S20367" s="27"/>
      <c r="T20367" s="27"/>
      <c r="U20367" s="27"/>
    </row>
    <row r="20368">
      <c r="S20368" s="27"/>
      <c r="T20368" s="27"/>
      <c r="U20368" s="27"/>
    </row>
    <row r="20370">
      <c r="S20370" s="27"/>
      <c r="T20370" s="27"/>
      <c r="U20370" s="27"/>
    </row>
    <row r="20371">
      <c r="S20371" s="27"/>
      <c r="T20371" s="27"/>
      <c r="U20371" s="27"/>
    </row>
    <row r="20373">
      <c r="S20373" s="27"/>
      <c r="T20373" s="27"/>
      <c r="U20373" s="27"/>
    </row>
    <row r="20374">
      <c r="S20374" s="27"/>
      <c r="T20374" s="27"/>
      <c r="U20374" s="27"/>
    </row>
    <row r="20376">
      <c r="S20376" s="27"/>
      <c r="T20376" s="27"/>
      <c r="U20376" s="27"/>
    </row>
    <row r="20377">
      <c r="S20377" s="27"/>
      <c r="T20377" s="27"/>
      <c r="U20377" s="27"/>
    </row>
    <row r="20379">
      <c r="S20379" s="27"/>
      <c r="T20379" s="27"/>
      <c r="U20379" s="27"/>
    </row>
    <row r="20380">
      <c r="S20380" s="27"/>
      <c r="T20380" s="27"/>
      <c r="U20380" s="27"/>
    </row>
    <row r="20382">
      <c r="S20382" s="27"/>
      <c r="T20382" s="27"/>
      <c r="U20382" s="27"/>
    </row>
    <row r="20383">
      <c r="S20383" s="27"/>
      <c r="T20383" s="27"/>
      <c r="U20383" s="27"/>
    </row>
    <row r="20385">
      <c r="S20385" s="27"/>
      <c r="T20385" s="27"/>
      <c r="U20385" s="27"/>
    </row>
    <row r="20386">
      <c r="S20386" s="27"/>
      <c r="T20386" s="27"/>
      <c r="U20386" s="27"/>
    </row>
    <row r="20388">
      <c r="S20388" s="27"/>
      <c r="T20388" s="27"/>
      <c r="U20388" s="27"/>
    </row>
    <row r="20389">
      <c r="S20389" s="27"/>
      <c r="T20389" s="27"/>
      <c r="U20389" s="27"/>
    </row>
    <row r="20391">
      <c r="S20391" s="27"/>
      <c r="T20391" s="27"/>
      <c r="U20391" s="27"/>
    </row>
    <row r="20392">
      <c r="S20392" s="27"/>
      <c r="T20392" s="27"/>
      <c r="U20392" s="27"/>
    </row>
    <row r="20394">
      <c r="S20394" s="27"/>
      <c r="T20394" s="27"/>
      <c r="U20394" s="27"/>
    </row>
    <row r="20395">
      <c r="S20395" s="27"/>
      <c r="T20395" s="27"/>
      <c r="U20395" s="27"/>
    </row>
    <row r="20397">
      <c r="S20397" s="27"/>
      <c r="T20397" s="27"/>
      <c r="U20397" s="27"/>
    </row>
    <row r="20398">
      <c r="S20398" s="27"/>
      <c r="T20398" s="27"/>
      <c r="U20398" s="27"/>
    </row>
    <row r="20404">
      <c r="U20404" s="27"/>
    </row>
    <row r="20409">
      <c r="S20409" s="33"/>
      <c r="T20409" s="33"/>
      <c r="U20409" s="33"/>
    </row>
    <row r="20410">
      <c r="S20410" s="27"/>
      <c r="T20410" s="27"/>
      <c r="U20410" s="27"/>
    </row>
    <row r="20412">
      <c r="S20412" s="27"/>
      <c r="T20412" s="27"/>
      <c r="U20412" s="27"/>
    </row>
    <row r="20413">
      <c r="S20413" s="27"/>
      <c r="T20413" s="27"/>
      <c r="U20413" s="27"/>
    </row>
    <row r="20415">
      <c r="S20415" s="27"/>
      <c r="T20415" s="26"/>
      <c r="U20415" s="26"/>
    </row>
    <row r="20416">
      <c r="T20416" s="26"/>
      <c r="U20416" s="26"/>
    </row>
    <row r="20418">
      <c r="S20418" s="27"/>
      <c r="T20418" s="27"/>
      <c r="U20418" s="27"/>
    </row>
    <row r="20421">
      <c r="S20421" s="27"/>
      <c r="T20421" s="27"/>
      <c r="U20421" s="27"/>
    </row>
    <row r="20422">
      <c r="S20422" s="27"/>
      <c r="T20422" s="27"/>
      <c r="U20422" s="27"/>
    </row>
    <row r="20424">
      <c r="S20424" s="27"/>
      <c r="T20424" s="27"/>
      <c r="U20424" s="27"/>
    </row>
    <row r="20425">
      <c r="S20425" s="27"/>
      <c r="T20425" s="27"/>
      <c r="U20425" s="27"/>
    </row>
    <row r="20430">
      <c r="S20430" s="26"/>
    </row>
    <row r="20433">
      <c r="S20433" s="27"/>
      <c r="T20433" s="27"/>
      <c r="U20433" s="27"/>
    </row>
    <row r="20437">
      <c r="S20437" s="26"/>
      <c r="T20437" s="26"/>
      <c r="U20437" s="26"/>
    </row>
    <row r="20440">
      <c r="S20440" s="27"/>
      <c r="T20440" s="27"/>
      <c r="U20440" s="27"/>
    </row>
    <row r="20443">
      <c r="S20443" s="27"/>
      <c r="T20443" s="27"/>
      <c r="U20443" s="27"/>
    </row>
    <row r="20444">
      <c r="S20444" s="27"/>
      <c r="T20444" s="27"/>
      <c r="U20444" s="27"/>
    </row>
    <row r="20446">
      <c r="S20446" s="27"/>
      <c r="T20446" s="27"/>
      <c r="U20446" s="27"/>
    </row>
    <row r="20447">
      <c r="S20447" s="27"/>
      <c r="T20447" s="27"/>
      <c r="U20447" s="27"/>
    </row>
    <row r="20449">
      <c r="S20449" s="27"/>
      <c r="T20449" s="27"/>
      <c r="U20449" s="27"/>
    </row>
    <row r="20452">
      <c r="S20452" s="27"/>
      <c r="T20452" s="27"/>
      <c r="U20452" s="27"/>
    </row>
    <row r="20453">
      <c r="S20453" s="27"/>
      <c r="T20453" s="27"/>
      <c r="U20453" s="27"/>
    </row>
    <row r="20455">
      <c r="S20455" s="27"/>
      <c r="T20455" s="27"/>
      <c r="U20455" s="27"/>
    </row>
    <row r="20456">
      <c r="S20456" s="27"/>
      <c r="T20456" s="27"/>
      <c r="U20456" s="27"/>
    </row>
    <row r="20461">
      <c r="S20461" s="27"/>
      <c r="T20461" s="27"/>
      <c r="U20461" s="27"/>
    </row>
    <row r="20462">
      <c r="S20462" s="27"/>
      <c r="T20462" s="27"/>
      <c r="U20462" s="27"/>
    </row>
    <row r="20464">
      <c r="S20464" s="27"/>
      <c r="T20464" s="27"/>
      <c r="U20464" s="27"/>
    </row>
    <row r="20465">
      <c r="S20465" s="27"/>
      <c r="T20465" s="27"/>
      <c r="U20465" s="27"/>
    </row>
    <row r="20467">
      <c r="S20467" s="27"/>
      <c r="T20467" s="27"/>
      <c r="U20467" s="27"/>
    </row>
    <row r="20468">
      <c r="S20468" s="27"/>
      <c r="T20468" s="27"/>
      <c r="U20468" s="27"/>
    </row>
    <row r="20470">
      <c r="S20470" s="33"/>
      <c r="T20470" s="33"/>
      <c r="U20470" s="33"/>
    </row>
    <row r="20473">
      <c r="S20473" s="27"/>
      <c r="T20473" s="27"/>
      <c r="U20473" s="27"/>
    </row>
    <row r="20474">
      <c r="S20474" s="27"/>
      <c r="T20474" s="27"/>
      <c r="U20474" s="27"/>
    </row>
    <row r="20476">
      <c r="S20476" s="27"/>
      <c r="T20476" s="27"/>
      <c r="U20476" s="27"/>
    </row>
    <row r="20479">
      <c r="S20479" s="27"/>
      <c r="T20479" s="27"/>
      <c r="U20479" s="27"/>
    </row>
    <row r="20480">
      <c r="S20480" s="33"/>
      <c r="T20480" s="33"/>
      <c r="U20480" s="33"/>
    </row>
    <row r="20485">
      <c r="S20485" s="27"/>
      <c r="T20485" s="27"/>
      <c r="U20485" s="27"/>
    </row>
    <row r="20486">
      <c r="S20486" s="27"/>
      <c r="T20486" s="27"/>
      <c r="U20486" s="27"/>
    </row>
    <row r="20488">
      <c r="S20488" s="27"/>
      <c r="U20488" s="27"/>
    </row>
    <row r="20489">
      <c r="S20489" s="27"/>
      <c r="T20489" s="27"/>
      <c r="U20489" s="27"/>
    </row>
    <row r="20491">
      <c r="S20491" s="27"/>
      <c r="T20491" s="27"/>
      <c r="U20491" s="27"/>
    </row>
    <row r="20492">
      <c r="S20492" s="27"/>
      <c r="T20492" s="27"/>
      <c r="U20492" s="27"/>
    </row>
    <row r="20494">
      <c r="S20494" s="27"/>
      <c r="T20494" s="27"/>
      <c r="U20494" s="27"/>
    </row>
    <row r="20495">
      <c r="S20495" s="27"/>
      <c r="T20495" s="27"/>
      <c r="U20495" s="27"/>
    </row>
    <row r="20500">
      <c r="S20500" s="27"/>
      <c r="T20500" s="27"/>
      <c r="U20500" s="27"/>
    </row>
    <row r="20501">
      <c r="S20501" s="27"/>
      <c r="T20501" s="27"/>
      <c r="U20501" s="27"/>
    </row>
    <row r="20503">
      <c r="S20503" s="27"/>
      <c r="T20503" s="27"/>
      <c r="U20503" s="27"/>
    </row>
    <row r="20504">
      <c r="S20504" s="27"/>
      <c r="T20504" s="27"/>
      <c r="U20504" s="27"/>
    </row>
    <row r="20506">
      <c r="S20506" s="27"/>
      <c r="T20506" s="27"/>
      <c r="U20506" s="27"/>
    </row>
    <row r="20507">
      <c r="U20507" s="26"/>
    </row>
    <row r="20509">
      <c r="S20509" s="27"/>
      <c r="T20509" s="27"/>
      <c r="U20509" s="27"/>
    </row>
    <row r="20510">
      <c r="S20510" s="27"/>
      <c r="T20510" s="27"/>
      <c r="U20510" s="27"/>
    </row>
    <row r="20512">
      <c r="S20512" s="27"/>
      <c r="T20512" s="27"/>
      <c r="U20512" s="27"/>
    </row>
    <row r="20513">
      <c r="S20513" s="27"/>
      <c r="T20513" s="27"/>
      <c r="U20513" s="27"/>
    </row>
    <row r="20515">
      <c r="S20515" s="27"/>
      <c r="T20515" s="27"/>
      <c r="U20515" s="27"/>
    </row>
    <row r="20516">
      <c r="S20516" s="27"/>
      <c r="T20516" s="27"/>
      <c r="U20516" s="27"/>
    </row>
    <row r="20518">
      <c r="S20518" s="27"/>
      <c r="T20518" s="27"/>
      <c r="U20518" s="27"/>
    </row>
    <row r="20519">
      <c r="S20519" s="26"/>
      <c r="T20519" s="26"/>
      <c r="U20519" s="26"/>
    </row>
    <row r="20521">
      <c r="S20521" s="27"/>
      <c r="T20521" s="27"/>
      <c r="U20521" s="27"/>
    </row>
    <row r="20522">
      <c r="S20522" s="27"/>
      <c r="T20522" s="27"/>
      <c r="U20522" s="27"/>
    </row>
    <row r="20524">
      <c r="S20524" s="26"/>
      <c r="T20524" s="26"/>
      <c r="U20524" s="26"/>
    </row>
    <row r="20531">
      <c r="S20531" s="27"/>
      <c r="T20531" s="27"/>
      <c r="U20531" s="27"/>
    </row>
    <row r="20532">
      <c r="S20532" s="27"/>
      <c r="T20532" s="27"/>
      <c r="U20532" s="27"/>
    </row>
    <row r="20534">
      <c r="S20534" s="27"/>
      <c r="T20534" s="27"/>
      <c r="U20534" s="27"/>
    </row>
    <row r="20535">
      <c r="S20535" s="27"/>
      <c r="T20535" s="27"/>
      <c r="U20535" s="27"/>
    </row>
    <row r="20537">
      <c r="S20537" s="26"/>
      <c r="T20537" s="27"/>
    </row>
    <row r="20540">
      <c r="S20540" s="27"/>
      <c r="T20540" s="27"/>
      <c r="U20540" s="27"/>
    </row>
    <row r="20541">
      <c r="S20541" s="27"/>
      <c r="T20541" s="27"/>
      <c r="U20541" s="27"/>
    </row>
    <row r="20543">
      <c r="S20543" s="27"/>
      <c r="T20543" s="27"/>
      <c r="U20543" s="27"/>
    </row>
    <row r="20544">
      <c r="S20544" s="27"/>
      <c r="T20544" s="27"/>
      <c r="U20544" s="27"/>
    </row>
    <row r="20546">
      <c r="S20546" s="27"/>
      <c r="T20546" s="27"/>
      <c r="U20546" s="27"/>
    </row>
    <row r="20547">
      <c r="S20547" s="27"/>
      <c r="T20547" s="27"/>
      <c r="U20547" s="27"/>
    </row>
    <row r="20549">
      <c r="S20549" s="27"/>
      <c r="T20549" s="27"/>
      <c r="U20549" s="27"/>
    </row>
    <row r="20550">
      <c r="S20550" s="27"/>
      <c r="T20550" s="27"/>
      <c r="U20550" s="27"/>
    </row>
    <row r="20552">
      <c r="S20552" s="27"/>
      <c r="T20552" s="27"/>
      <c r="U20552" s="27"/>
    </row>
    <row r="20553">
      <c r="S20553" s="27"/>
      <c r="T20553" s="27"/>
      <c r="U20553" s="27"/>
    </row>
    <row r="20555">
      <c r="S20555" s="27"/>
      <c r="T20555" s="27"/>
      <c r="U20555" s="27"/>
    </row>
    <row r="20556">
      <c r="S20556" s="27"/>
      <c r="T20556" s="27"/>
      <c r="U20556" s="27"/>
    </row>
    <row r="20558">
      <c r="S20558" s="27"/>
      <c r="T20558" s="27"/>
      <c r="U20558" s="27"/>
    </row>
    <row r="20559">
      <c r="S20559" s="27"/>
      <c r="T20559" s="27"/>
      <c r="U20559" s="27"/>
    </row>
    <row r="20561">
      <c r="S20561" s="27"/>
      <c r="T20561" s="27"/>
      <c r="U20561" s="27"/>
    </row>
    <row r="20562">
      <c r="S20562" s="27"/>
      <c r="T20562" s="27"/>
      <c r="U20562" s="27"/>
    </row>
    <row r="20564">
      <c r="S20564" s="27"/>
      <c r="T20564" s="27"/>
      <c r="U20564" s="27"/>
    </row>
    <row r="20565">
      <c r="S20565" s="27"/>
      <c r="T20565" s="27"/>
      <c r="U20565" s="27"/>
    </row>
    <row r="20567">
      <c r="S20567" s="27"/>
      <c r="T20567" s="27"/>
      <c r="U20567" s="27"/>
    </row>
    <row r="20568">
      <c r="S20568" s="27"/>
      <c r="T20568" s="27"/>
      <c r="U20568" s="27"/>
    </row>
    <row r="20570">
      <c r="S20570" s="27"/>
      <c r="T20570" s="27"/>
      <c r="U20570" s="27"/>
    </row>
    <row r="20571">
      <c r="S20571" s="27"/>
      <c r="T20571" s="27"/>
      <c r="U20571" s="27"/>
    </row>
    <row r="20573">
      <c r="S20573" s="27"/>
      <c r="T20573" s="27"/>
      <c r="U20573" s="27"/>
    </row>
    <row r="20574">
      <c r="S20574" s="27"/>
      <c r="T20574" s="27"/>
      <c r="U20574" s="27"/>
    </row>
    <row r="20576">
      <c r="S20576" s="27"/>
      <c r="T20576" s="27"/>
      <c r="U20576" s="27"/>
    </row>
    <row r="20577">
      <c r="S20577" s="27"/>
      <c r="T20577" s="27"/>
      <c r="U20577" s="27"/>
    </row>
    <row r="20579">
      <c r="S20579" s="27"/>
      <c r="T20579" s="27"/>
      <c r="U20579" s="27"/>
    </row>
    <row r="20580">
      <c r="S20580" s="27"/>
      <c r="T20580" s="27"/>
      <c r="U20580" s="27"/>
    </row>
    <row r="20582">
      <c r="S20582" s="27"/>
      <c r="T20582" s="27"/>
      <c r="U20582" s="27"/>
    </row>
    <row r="20583">
      <c r="S20583" s="27"/>
      <c r="T20583" s="27"/>
      <c r="U20583" s="27"/>
    </row>
    <row r="20585">
      <c r="S20585" s="27"/>
      <c r="T20585" s="27"/>
      <c r="U20585" s="27"/>
    </row>
    <row r="20586">
      <c r="S20586" s="27"/>
      <c r="T20586" s="27"/>
      <c r="U20586" s="27"/>
    </row>
    <row r="20588">
      <c r="S20588" s="27"/>
      <c r="T20588" s="27"/>
      <c r="U20588" s="27"/>
    </row>
    <row r="20589">
      <c r="S20589" s="27"/>
      <c r="T20589" s="27"/>
      <c r="U20589" s="27"/>
    </row>
    <row r="20591">
      <c r="S20591" s="27"/>
      <c r="T20591" s="27"/>
      <c r="U20591" s="27"/>
    </row>
    <row r="20592">
      <c r="S20592" s="27"/>
      <c r="T20592" s="27"/>
      <c r="U20592" s="27"/>
    </row>
    <row r="20594">
      <c r="S20594" s="27"/>
      <c r="T20594" s="27"/>
      <c r="U20594" s="27"/>
    </row>
    <row r="20595">
      <c r="S20595" s="27"/>
      <c r="T20595" s="27"/>
      <c r="U20595" s="27"/>
    </row>
    <row r="20597">
      <c r="S20597" s="27"/>
      <c r="T20597" s="27"/>
      <c r="U20597" s="27"/>
    </row>
    <row r="20598">
      <c r="S20598" s="27"/>
      <c r="T20598" s="27"/>
      <c r="U20598" s="27"/>
    </row>
    <row r="20600">
      <c r="S20600" s="27"/>
      <c r="T20600" s="27"/>
      <c r="U20600" s="27"/>
    </row>
    <row r="20601">
      <c r="S20601" s="27"/>
      <c r="T20601" s="27"/>
      <c r="U20601" s="27"/>
    </row>
    <row r="20603">
      <c r="S20603" s="27"/>
      <c r="T20603" s="27"/>
      <c r="U20603" s="27"/>
    </row>
    <row r="20604">
      <c r="S20604" s="27"/>
      <c r="T20604" s="27"/>
      <c r="U20604" s="27"/>
    </row>
    <row r="20606">
      <c r="S20606" s="27"/>
      <c r="T20606" s="27"/>
      <c r="U20606" s="27"/>
    </row>
    <row r="20607">
      <c r="S20607" s="27"/>
      <c r="T20607" s="27"/>
      <c r="U20607" s="27"/>
    </row>
    <row r="20609">
      <c r="S20609" s="27"/>
      <c r="T20609" s="27"/>
      <c r="U20609" s="27"/>
    </row>
    <row r="20610">
      <c r="S20610" s="27"/>
      <c r="T20610" s="27"/>
      <c r="U20610" s="27"/>
    </row>
    <row r="20612">
      <c r="S20612" s="27"/>
      <c r="T20612" s="27"/>
      <c r="U20612" s="27"/>
    </row>
    <row r="20613">
      <c r="S20613" s="27"/>
      <c r="T20613" s="27"/>
      <c r="U20613" s="27"/>
    </row>
    <row r="20615">
      <c r="S20615" s="27"/>
      <c r="T20615" s="27"/>
      <c r="U20615" s="27"/>
    </row>
    <row r="20616">
      <c r="S20616" s="27"/>
      <c r="T20616" s="27"/>
      <c r="U20616" s="27"/>
    </row>
    <row r="20618">
      <c r="S20618" s="27"/>
      <c r="T20618" s="27"/>
      <c r="U20618" s="27"/>
    </row>
    <row r="20619">
      <c r="S20619" s="27"/>
      <c r="T20619" s="27"/>
      <c r="U20619" s="27"/>
    </row>
    <row r="20621">
      <c r="S20621" s="27"/>
      <c r="T20621" s="27"/>
      <c r="U20621" s="27"/>
    </row>
    <row r="20622">
      <c r="S20622" s="27"/>
      <c r="T20622" s="27"/>
      <c r="U20622" s="27"/>
    </row>
    <row r="20624">
      <c r="S20624" s="27"/>
      <c r="T20624" s="27"/>
      <c r="U20624" s="27"/>
    </row>
    <row r="20625">
      <c r="S20625" s="27"/>
      <c r="T20625" s="27"/>
      <c r="U20625" s="27"/>
    </row>
    <row r="20627">
      <c r="S20627" s="27"/>
      <c r="T20627" s="27"/>
      <c r="U20627" s="27"/>
    </row>
    <row r="20628">
      <c r="S20628" s="27"/>
      <c r="T20628" s="27"/>
      <c r="U20628" s="27"/>
    </row>
    <row r="20630">
      <c r="S20630" s="27"/>
      <c r="T20630" s="27"/>
      <c r="U20630" s="27"/>
    </row>
    <row r="20631">
      <c r="S20631" s="27"/>
      <c r="T20631" s="27"/>
      <c r="U20631" s="27"/>
    </row>
    <row r="20633">
      <c r="S20633" s="27"/>
      <c r="T20633" s="27"/>
      <c r="U20633" s="27"/>
    </row>
    <row r="20635">
      <c r="S20635" s="27"/>
      <c r="T20635" s="27"/>
      <c r="U20635" s="27"/>
    </row>
    <row r="20636">
      <c r="S20636" s="27"/>
      <c r="T20636" s="27"/>
      <c r="U20636" s="27"/>
    </row>
    <row r="20638">
      <c r="S20638" s="27"/>
      <c r="T20638" s="27"/>
      <c r="U20638" s="27"/>
    </row>
    <row r="20639">
      <c r="S20639" s="27"/>
      <c r="T20639" s="27"/>
      <c r="U20639" s="27"/>
    </row>
    <row r="20641">
      <c r="S20641" s="27"/>
      <c r="T20641" s="27"/>
      <c r="U20641" s="27"/>
    </row>
    <row r="20642">
      <c r="S20642" s="27"/>
      <c r="T20642" s="27"/>
      <c r="U20642" s="27"/>
    </row>
    <row r="20644">
      <c r="S20644" s="27"/>
      <c r="T20644" s="27"/>
      <c r="U20644" s="27"/>
    </row>
    <row r="20645">
      <c r="S20645" s="27"/>
      <c r="T20645" s="27"/>
      <c r="U20645" s="27"/>
    </row>
    <row r="20647">
      <c r="S20647" s="27"/>
      <c r="T20647" s="27"/>
      <c r="U20647" s="27"/>
    </row>
    <row r="20648">
      <c r="S20648" s="27"/>
      <c r="T20648" s="27"/>
      <c r="U20648" s="27"/>
    </row>
    <row r="20650">
      <c r="S20650" s="27"/>
      <c r="T20650" s="27"/>
      <c r="U20650" s="27"/>
    </row>
    <row r="20651">
      <c r="S20651" s="27"/>
      <c r="T20651" s="27"/>
      <c r="U20651" s="27"/>
    </row>
    <row r="20653">
      <c r="S20653" s="27"/>
      <c r="T20653" s="27"/>
      <c r="U20653" s="27"/>
    </row>
    <row r="20654">
      <c r="S20654" s="27"/>
      <c r="T20654" s="27"/>
      <c r="U20654" s="27"/>
    </row>
    <row r="20656">
      <c r="S20656" s="27"/>
      <c r="T20656" s="27"/>
      <c r="U20656" s="27"/>
    </row>
    <row r="20658">
      <c r="S20658" s="27"/>
      <c r="T20658" s="27"/>
      <c r="U20658" s="27"/>
    </row>
    <row r="20660">
      <c r="T20660" s="27"/>
      <c r="U20660" s="27"/>
    </row>
    <row r="20662">
      <c r="S20662" s="27"/>
      <c r="T20662" s="27"/>
      <c r="U20662" s="27"/>
    </row>
    <row r="20664">
      <c r="S20664" s="27"/>
    </row>
    <row r="20665">
      <c r="S20665" s="27"/>
      <c r="T20665" s="27"/>
      <c r="U20665" s="27"/>
    </row>
    <row r="20667">
      <c r="S20667" s="27"/>
      <c r="T20667" s="27"/>
      <c r="U20667" s="27"/>
    </row>
    <row r="20668">
      <c r="S20668" s="27"/>
      <c r="T20668" s="27"/>
      <c r="U20668" s="27"/>
    </row>
    <row r="20670">
      <c r="S20670" s="27"/>
      <c r="T20670" s="27"/>
      <c r="U20670" s="27"/>
    </row>
    <row r="20671">
      <c r="S20671" s="27"/>
      <c r="T20671" s="27"/>
      <c r="U20671" s="27"/>
    </row>
    <row r="20673">
      <c r="S20673" s="27"/>
      <c r="T20673" s="27"/>
      <c r="U20673" s="27"/>
    </row>
    <row r="20674">
      <c r="S20674" s="27"/>
      <c r="T20674" s="27"/>
      <c r="U20674" s="27"/>
    </row>
    <row r="20676">
      <c r="S20676" s="27"/>
      <c r="T20676" s="27"/>
      <c r="U20676" s="27"/>
    </row>
    <row r="20677">
      <c r="S20677" s="27"/>
      <c r="T20677" s="27"/>
      <c r="U20677" s="27"/>
    </row>
    <row r="20679">
      <c r="S20679" s="27"/>
      <c r="T20679" s="27"/>
      <c r="U20679" s="27"/>
    </row>
    <row r="20680">
      <c r="S20680" s="27"/>
      <c r="T20680" s="27"/>
      <c r="U20680" s="27"/>
    </row>
    <row r="20682">
      <c r="S20682" s="27"/>
      <c r="T20682" s="27"/>
      <c r="U20682" s="27"/>
    </row>
    <row r="20683">
      <c r="S20683" s="27"/>
      <c r="T20683" s="27"/>
      <c r="U20683" s="27"/>
    </row>
    <row r="20685">
      <c r="S20685" s="26"/>
      <c r="T20685" s="27"/>
      <c r="U20685" s="27"/>
    </row>
    <row r="20688">
      <c r="S20688" s="27"/>
      <c r="T20688" s="27"/>
      <c r="U20688" s="27"/>
    </row>
    <row r="20691">
      <c r="S20691" s="27"/>
      <c r="T20691" s="27"/>
      <c r="U20691" s="27"/>
    </row>
    <row r="20692">
      <c r="S20692" s="27"/>
      <c r="T20692" s="27"/>
      <c r="U20692" s="27"/>
    </row>
    <row r="20694">
      <c r="S20694" s="27"/>
      <c r="T20694" s="27"/>
      <c r="U20694" s="27"/>
    </row>
    <row r="20695">
      <c r="S20695" s="27"/>
      <c r="T20695" s="27"/>
      <c r="U20695" s="27"/>
    </row>
    <row r="20697">
      <c r="S20697" s="27"/>
      <c r="T20697" s="27"/>
      <c r="U20697" s="27"/>
    </row>
    <row r="20698">
      <c r="S20698" s="27"/>
      <c r="T20698" s="27"/>
      <c r="U20698" s="27"/>
    </row>
    <row r="20700">
      <c r="S20700" s="26"/>
      <c r="T20700" s="26"/>
      <c r="U20700" s="26"/>
    </row>
    <row r="20703">
      <c r="S20703" s="27"/>
      <c r="T20703" s="27"/>
      <c r="U20703" s="27"/>
    </row>
    <row r="20704">
      <c r="S20704" s="27"/>
      <c r="T20704" s="27"/>
      <c r="U20704" s="27"/>
    </row>
    <row r="20706">
      <c r="S20706" s="27"/>
      <c r="T20706" s="27"/>
      <c r="U20706" s="27"/>
    </row>
    <row r="20707">
      <c r="S20707" s="27"/>
      <c r="T20707" s="27"/>
      <c r="U20707" s="27"/>
    </row>
    <row r="20709">
      <c r="S20709" s="27"/>
      <c r="T20709" s="26"/>
      <c r="U20709" s="27"/>
    </row>
    <row r="20710">
      <c r="S20710" s="27"/>
      <c r="U20710" s="27"/>
    </row>
    <row r="20712">
      <c r="S20712" s="27"/>
      <c r="T20712" s="27"/>
      <c r="U20712" s="27"/>
    </row>
    <row r="20715">
      <c r="S20715" s="26"/>
      <c r="T20715" s="26"/>
      <c r="U20715" s="26"/>
    </row>
    <row r="20718">
      <c r="S20718" s="27"/>
      <c r="T20718" s="27"/>
      <c r="U20718" s="27"/>
    </row>
    <row r="20719">
      <c r="S20719" s="27"/>
      <c r="T20719" s="27"/>
      <c r="U20719" s="27"/>
    </row>
    <row r="20721">
      <c r="S20721" s="27"/>
      <c r="T20721" s="27"/>
      <c r="U20721" s="27"/>
    </row>
    <row r="20722">
      <c r="S20722" s="27"/>
      <c r="T20722" s="27"/>
      <c r="U20722" s="27"/>
    </row>
    <row r="20724">
      <c r="S20724" s="26"/>
      <c r="T20724" s="26"/>
      <c r="U20724" s="26"/>
    </row>
    <row r="20727">
      <c r="S20727" s="27"/>
      <c r="T20727" s="27"/>
      <c r="U20727" s="27"/>
    </row>
    <row r="20730">
      <c r="S20730" s="27"/>
      <c r="T20730" s="27"/>
      <c r="U20730" s="27"/>
    </row>
    <row r="20731">
      <c r="S20731" s="27"/>
      <c r="T20731" s="27"/>
      <c r="U20731" s="27"/>
    </row>
    <row r="20733">
      <c r="S20733" s="27"/>
      <c r="T20733" s="27"/>
      <c r="U20733" s="27"/>
    </row>
    <row r="20734">
      <c r="S20734" s="27"/>
      <c r="T20734" s="27"/>
      <c r="U20734" s="27"/>
    </row>
    <row r="20736">
      <c r="S20736" s="27"/>
      <c r="T20736" s="27"/>
      <c r="U20736" s="27"/>
    </row>
    <row r="20737">
      <c r="S20737" s="27"/>
      <c r="T20737" s="27"/>
      <c r="U20737" s="27"/>
    </row>
    <row r="20739">
      <c r="S20739" s="27"/>
      <c r="T20739" s="27"/>
      <c r="U20739" s="27"/>
    </row>
    <row r="20740">
      <c r="S20740" s="27"/>
      <c r="T20740" s="27"/>
      <c r="U20740" s="27"/>
    </row>
    <row r="20742">
      <c r="S20742" s="27"/>
      <c r="T20742" s="27"/>
      <c r="U20742" s="27"/>
    </row>
    <row r="20743">
      <c r="S20743" s="27"/>
      <c r="T20743" s="27"/>
      <c r="U20743" s="27"/>
    </row>
    <row r="20745">
      <c r="S20745" s="27"/>
      <c r="T20745" s="27"/>
      <c r="U20745" s="27"/>
    </row>
    <row r="20746">
      <c r="S20746" s="27"/>
      <c r="T20746" s="27"/>
      <c r="U20746" s="27"/>
    </row>
    <row r="20748">
      <c r="S20748" s="27"/>
      <c r="T20748" s="27"/>
      <c r="U20748" s="27"/>
    </row>
    <row r="20749">
      <c r="S20749" s="27"/>
      <c r="T20749" s="27"/>
      <c r="U20749" s="27"/>
    </row>
    <row r="20751">
      <c r="S20751" s="26"/>
      <c r="T20751" s="27"/>
      <c r="U20751" s="27"/>
    </row>
    <row r="20752">
      <c r="S20752" s="26"/>
      <c r="T20752" s="27"/>
      <c r="U20752" s="27"/>
    </row>
    <row r="20754">
      <c r="S20754" s="27"/>
      <c r="T20754" s="27"/>
      <c r="U20754" s="27"/>
    </row>
    <row r="20755">
      <c r="S20755" s="27"/>
      <c r="T20755" s="27"/>
      <c r="U20755" s="27"/>
    </row>
    <row r="20757">
      <c r="S20757" s="27"/>
      <c r="T20757" s="27"/>
      <c r="U20757" s="27"/>
    </row>
    <row r="20758">
      <c r="S20758" s="27"/>
      <c r="T20758" s="27"/>
      <c r="U20758" s="27"/>
    </row>
    <row r="20760">
      <c r="S20760" s="27"/>
      <c r="T20760" s="27"/>
      <c r="U20760" s="27"/>
    </row>
    <row r="20761">
      <c r="S20761" s="27"/>
      <c r="T20761" s="27"/>
      <c r="U20761" s="27"/>
    </row>
    <row r="20763">
      <c r="S20763" s="27"/>
      <c r="T20763" s="27"/>
      <c r="U20763" s="27"/>
    </row>
    <row r="20764">
      <c r="S20764" s="27"/>
      <c r="T20764" s="27"/>
      <c r="U20764" s="27"/>
    </row>
    <row r="20766">
      <c r="S20766" s="27"/>
      <c r="T20766" s="27"/>
      <c r="U20766" s="27"/>
    </row>
    <row r="20767">
      <c r="S20767" s="27"/>
      <c r="T20767" s="27"/>
      <c r="U20767" s="27"/>
    </row>
    <row r="20769">
      <c r="S20769" s="27"/>
      <c r="T20769" s="27"/>
      <c r="U20769" s="27"/>
    </row>
    <row r="20770">
      <c r="S20770" s="27"/>
      <c r="T20770" s="27"/>
      <c r="U20770" s="27"/>
    </row>
    <row r="20772">
      <c r="S20772" s="27"/>
      <c r="T20772" s="27"/>
      <c r="U20772" s="27"/>
    </row>
    <row r="20773">
      <c r="S20773" s="27"/>
      <c r="T20773" s="27"/>
      <c r="U20773" s="27"/>
    </row>
    <row r="20775">
      <c r="S20775" s="27"/>
      <c r="T20775" s="27"/>
      <c r="U20775" s="27"/>
    </row>
    <row r="20776">
      <c r="S20776" s="27"/>
      <c r="T20776" s="27"/>
      <c r="U20776" s="27"/>
    </row>
    <row r="20778">
      <c r="S20778" s="27"/>
      <c r="T20778" s="27"/>
      <c r="U20778" s="27"/>
    </row>
    <row r="20779">
      <c r="S20779" s="27"/>
      <c r="T20779" s="27"/>
      <c r="U20779" s="27"/>
    </row>
    <row r="20781">
      <c r="S20781" s="27"/>
      <c r="T20781" s="27"/>
      <c r="U20781" s="27"/>
    </row>
    <row r="20782">
      <c r="S20782" s="27"/>
      <c r="T20782" s="27"/>
      <c r="U20782" s="27"/>
    </row>
    <row r="20784">
      <c r="S20784" s="27"/>
      <c r="T20784" s="27"/>
      <c r="U20784" s="27"/>
    </row>
    <row r="20785">
      <c r="S20785" s="27"/>
      <c r="T20785" s="27"/>
      <c r="U20785" s="27"/>
    </row>
    <row r="20787">
      <c r="S20787" s="27"/>
      <c r="T20787" s="27"/>
      <c r="U20787" s="27"/>
    </row>
    <row r="20788">
      <c r="S20788" s="27"/>
      <c r="T20788" s="27"/>
      <c r="U20788" s="27"/>
    </row>
    <row r="20790">
      <c r="S20790" s="27"/>
      <c r="T20790" s="27"/>
      <c r="U20790" s="27"/>
    </row>
    <row r="20791">
      <c r="S20791" s="27"/>
      <c r="T20791" s="27"/>
      <c r="U20791" s="27"/>
    </row>
    <row r="20793">
      <c r="S20793" s="27"/>
      <c r="T20793" s="27"/>
      <c r="U20793" s="27"/>
    </row>
    <row r="20794">
      <c r="S20794" s="27"/>
      <c r="T20794" s="27"/>
      <c r="U20794" s="27"/>
    </row>
    <row r="20796">
      <c r="S20796" s="27"/>
      <c r="T20796" s="27"/>
      <c r="U20796" s="27"/>
    </row>
    <row r="20797">
      <c r="S20797" s="27"/>
      <c r="T20797" s="27"/>
      <c r="U20797" s="27"/>
    </row>
    <row r="20802">
      <c r="S20802" s="27"/>
      <c r="T20802" s="27"/>
    </row>
    <row r="20803">
      <c r="S20803" s="27"/>
      <c r="T20803" s="27"/>
      <c r="U20803" s="27"/>
    </row>
    <row r="20805">
      <c r="S20805" s="27"/>
      <c r="T20805" s="27"/>
      <c r="U20805" s="27"/>
    </row>
    <row r="20808">
      <c r="S20808" s="33"/>
    </row>
    <row r="20809">
      <c r="S20809" s="27"/>
    </row>
    <row r="20811">
      <c r="S20811" s="27"/>
      <c r="T20811" s="27"/>
      <c r="U20811" s="27"/>
    </row>
    <row r="20812">
      <c r="S20812" s="27"/>
      <c r="T20812" s="27"/>
      <c r="U20812" s="27"/>
    </row>
    <row r="20814">
      <c r="S20814" s="27"/>
      <c r="T20814" s="27"/>
      <c r="U20814" s="27"/>
    </row>
    <row r="20815">
      <c r="S20815" s="26"/>
      <c r="T20815" s="26"/>
      <c r="U20815" s="26"/>
    </row>
    <row r="20817">
      <c r="T20817" s="27"/>
    </row>
    <row r="20818">
      <c r="S20818" s="27"/>
      <c r="T20818" s="27"/>
      <c r="U20818" s="27"/>
    </row>
    <row r="20821">
      <c r="S20821" s="27"/>
      <c r="T20821" s="27"/>
      <c r="U20821" s="27"/>
    </row>
    <row r="20823">
      <c r="S20823" s="27"/>
      <c r="T20823" s="27"/>
      <c r="U20823" s="27"/>
    </row>
    <row r="20824">
      <c r="S20824" s="27"/>
      <c r="T20824" s="27"/>
      <c r="U20824" s="27"/>
    </row>
    <row r="20826">
      <c r="T20826" s="26"/>
      <c r="U20826" s="26"/>
    </row>
    <row r="20829">
      <c r="U20829" s="26"/>
    </row>
    <row r="20832">
      <c r="S20832" s="27"/>
      <c r="T20832" s="27"/>
      <c r="U20832" s="27"/>
    </row>
    <row r="20834">
      <c r="S20834" s="27"/>
      <c r="T20834" s="27"/>
      <c r="U20834" s="27"/>
    </row>
    <row r="20842">
      <c r="S20842" s="27"/>
      <c r="T20842" s="27"/>
      <c r="U20842" s="27"/>
    </row>
    <row r="20843">
      <c r="S20843" s="27"/>
      <c r="T20843" s="27"/>
      <c r="U20843" s="27"/>
    </row>
    <row r="20845">
      <c r="S20845" s="27"/>
      <c r="T20845" s="27"/>
      <c r="U20845" s="27"/>
    </row>
    <row r="20846">
      <c r="S20846" s="27"/>
      <c r="T20846" s="27"/>
      <c r="U20846" s="27"/>
    </row>
    <row r="20848">
      <c r="S20848" s="27"/>
      <c r="T20848" s="27"/>
      <c r="U20848" s="27"/>
    </row>
    <row r="20849">
      <c r="S20849" s="27"/>
      <c r="U20849" s="27"/>
    </row>
    <row r="20851">
      <c r="S20851" s="27"/>
      <c r="T20851" s="27"/>
      <c r="U20851" s="27"/>
    </row>
    <row r="20852">
      <c r="S20852" s="27"/>
      <c r="T20852" s="27"/>
      <c r="U20852" s="27"/>
    </row>
    <row r="20854">
      <c r="S20854" s="27"/>
      <c r="T20854" s="27"/>
    </row>
    <row r="20855">
      <c r="S20855" s="27"/>
      <c r="T20855" s="27"/>
      <c r="U20855" s="27"/>
    </row>
    <row r="20860">
      <c r="S20860" s="27"/>
      <c r="T20860" s="27"/>
      <c r="U20860" s="27"/>
    </row>
    <row r="20861">
      <c r="S20861" s="27"/>
      <c r="T20861" s="27"/>
      <c r="U20861" s="27"/>
    </row>
    <row r="20863">
      <c r="S20863" s="27"/>
      <c r="T20863" s="27"/>
      <c r="U20863" s="27"/>
    </row>
    <row r="20864">
      <c r="S20864" s="27"/>
      <c r="T20864" s="27"/>
      <c r="U20864" s="27"/>
    </row>
    <row r="20866">
      <c r="S20866" s="27"/>
      <c r="T20866" s="27"/>
      <c r="U20866" s="27"/>
    </row>
    <row r="20867">
      <c r="S20867" s="27"/>
      <c r="T20867" s="27"/>
      <c r="U20867" s="27"/>
    </row>
    <row r="20869">
      <c r="S20869" s="33"/>
      <c r="T20869" s="27"/>
      <c r="U20869" s="33"/>
    </row>
    <row r="20875">
      <c r="S20875" s="27"/>
      <c r="T20875" s="27"/>
      <c r="U20875" s="27"/>
    </row>
    <row r="20878">
      <c r="S20878" s="27"/>
      <c r="T20878" s="27"/>
      <c r="U20878" s="27"/>
    </row>
    <row r="20879">
      <c r="S20879" s="33"/>
      <c r="T20879" s="33"/>
      <c r="U20879" s="33"/>
    </row>
    <row r="20881">
      <c r="S20881" s="27"/>
    </row>
    <row r="20882">
      <c r="T20882" s="26"/>
      <c r="U20882" s="26"/>
    </row>
    <row r="20884">
      <c r="S20884" s="27"/>
      <c r="T20884" s="27"/>
      <c r="U20884" s="27"/>
    </row>
    <row r="20885">
      <c r="S20885" s="27"/>
      <c r="T20885" s="27"/>
      <c r="U20885" s="27"/>
    </row>
    <row r="20887">
      <c r="T20887" s="27"/>
      <c r="U20887" s="27"/>
    </row>
    <row r="20888">
      <c r="S20888" s="27"/>
      <c r="T20888" s="27"/>
      <c r="U20888" s="27"/>
    </row>
    <row r="20890">
      <c r="S20890" s="27"/>
      <c r="T20890" s="27"/>
      <c r="U20890" s="27"/>
    </row>
    <row r="20891">
      <c r="S20891" s="27"/>
      <c r="T20891" s="27"/>
      <c r="U20891" s="27"/>
    </row>
    <row r="20896">
      <c r="S20896" s="27"/>
      <c r="T20896" s="33"/>
      <c r="U20896" s="27"/>
    </row>
    <row r="20897">
      <c r="S20897" s="27"/>
      <c r="T20897" s="27"/>
      <c r="U20897" s="27"/>
    </row>
    <row r="20899">
      <c r="S20899" s="27"/>
      <c r="T20899" s="27"/>
      <c r="U20899" s="27"/>
    </row>
    <row r="20900">
      <c r="S20900" s="27"/>
      <c r="T20900" s="27"/>
      <c r="U20900" s="27"/>
    </row>
    <row r="20902">
      <c r="S20902" s="27"/>
      <c r="T20902" s="27"/>
      <c r="U20902" s="27"/>
    </row>
    <row r="20905">
      <c r="S20905" s="27"/>
      <c r="T20905" s="27"/>
      <c r="U20905" s="27"/>
    </row>
    <row r="20906">
      <c r="T20906" s="27"/>
      <c r="U20906" s="27"/>
    </row>
    <row r="20908">
      <c r="S20908" s="27"/>
      <c r="T20908" s="27"/>
      <c r="U20908" s="27"/>
    </row>
    <row r="20909">
      <c r="S20909" s="27"/>
      <c r="T20909" s="27"/>
      <c r="U20909" s="27"/>
    </row>
    <row r="20911">
      <c r="S20911" s="27"/>
      <c r="T20911" s="27"/>
      <c r="U20911" s="27"/>
    </row>
    <row r="20912">
      <c r="S20912" s="27"/>
      <c r="T20912" s="27"/>
      <c r="U20912" s="27"/>
    </row>
    <row r="20914">
      <c r="S20914" s="27"/>
      <c r="T20914" s="27"/>
      <c r="U20914" s="27"/>
    </row>
    <row r="20917">
      <c r="S20917" s="27"/>
      <c r="T20917" s="27"/>
      <c r="U20917" s="27"/>
    </row>
    <row r="20918">
      <c r="S20918" s="27"/>
      <c r="T20918" s="27"/>
      <c r="U20918" s="27"/>
    </row>
    <row r="20923">
      <c r="S20923" s="27"/>
      <c r="T20923" s="27"/>
      <c r="U20923" s="27"/>
    </row>
    <row r="20927">
      <c r="S20927" s="27"/>
      <c r="T20927" s="27"/>
      <c r="U20927" s="27"/>
    </row>
    <row r="20929">
      <c r="S20929" s="27"/>
      <c r="T20929" s="27"/>
      <c r="U20929" s="27"/>
    </row>
    <row r="20930">
      <c r="S20930" s="27"/>
      <c r="T20930" s="27"/>
      <c r="U20930" s="27"/>
    </row>
    <row r="20932">
      <c r="S20932" s="27"/>
    </row>
    <row r="20933">
      <c r="T20933" s="26"/>
      <c r="U20933" s="26"/>
    </row>
    <row r="20935">
      <c r="S20935" s="27"/>
      <c r="T20935" s="27"/>
      <c r="U20935" s="27"/>
    </row>
    <row r="20936">
      <c r="S20936" s="27"/>
      <c r="T20936" s="27"/>
      <c r="U20936" s="27"/>
    </row>
    <row r="20938">
      <c r="S20938" s="27"/>
      <c r="T20938" s="27"/>
      <c r="U20938" s="27"/>
    </row>
    <row r="20939">
      <c r="S20939" s="27"/>
      <c r="T20939" s="27"/>
      <c r="U20939" s="27"/>
    </row>
    <row r="20941">
      <c r="S20941" s="27"/>
      <c r="T20941" s="27"/>
      <c r="U20941" s="27"/>
    </row>
    <row r="20942">
      <c r="S20942" s="27"/>
      <c r="T20942" s="27"/>
      <c r="U20942" s="27"/>
    </row>
    <row r="20944">
      <c r="S20944" s="27"/>
      <c r="T20944" s="27"/>
      <c r="U20944" s="27"/>
    </row>
    <row r="20945">
      <c r="S20945" s="27"/>
      <c r="T20945" s="27"/>
      <c r="U20945" s="27"/>
    </row>
    <row r="20947">
      <c r="S20947" s="27"/>
      <c r="T20947" s="27"/>
      <c r="U20947" s="27"/>
    </row>
    <row r="20948">
      <c r="S20948" s="27"/>
      <c r="T20948" s="27"/>
      <c r="U20948" s="27"/>
    </row>
    <row r="20950">
      <c r="S20950" s="27"/>
      <c r="T20950" s="27"/>
      <c r="U20950" s="27"/>
    </row>
    <row r="20951">
      <c r="S20951" s="27"/>
      <c r="T20951" s="27"/>
      <c r="U20951" s="27"/>
    </row>
    <row r="20953">
      <c r="S20953" s="27"/>
      <c r="T20953" s="27"/>
      <c r="U20953" s="27"/>
    </row>
    <row r="20954">
      <c r="S20954" s="27"/>
      <c r="T20954" s="27"/>
      <c r="U20954" s="27"/>
    </row>
    <row r="20956">
      <c r="S20956" s="27"/>
      <c r="T20956" s="27"/>
      <c r="U20956" s="27"/>
    </row>
    <row r="20957">
      <c r="S20957" s="27"/>
      <c r="T20957" s="27"/>
      <c r="U20957" s="27"/>
    </row>
    <row r="20959">
      <c r="S20959" s="27"/>
      <c r="T20959" s="27"/>
      <c r="U20959" s="27"/>
    </row>
    <row r="20960">
      <c r="S20960" s="27"/>
      <c r="T20960" s="27"/>
      <c r="U20960" s="27"/>
    </row>
    <row r="20962">
      <c r="S20962" s="27"/>
      <c r="T20962" s="27"/>
      <c r="U20962" s="27"/>
    </row>
    <row r="20963">
      <c r="S20963" s="27"/>
      <c r="T20963" s="27"/>
      <c r="U20963" s="27"/>
    </row>
    <row r="20965">
      <c r="S20965" s="27"/>
      <c r="T20965" s="27"/>
      <c r="U20965" s="27"/>
    </row>
    <row r="20966">
      <c r="S20966" s="27"/>
      <c r="T20966" s="27"/>
      <c r="U20966" s="27"/>
    </row>
    <row r="20968">
      <c r="S20968" s="27"/>
      <c r="T20968" s="27"/>
      <c r="U20968" s="27"/>
    </row>
    <row r="20969">
      <c r="S20969" s="27"/>
      <c r="T20969" s="27"/>
      <c r="U20969" s="27"/>
    </row>
    <row r="20971">
      <c r="S20971" s="27"/>
      <c r="T20971" s="27"/>
      <c r="U20971" s="27"/>
    </row>
    <row r="20972">
      <c r="S20972" s="27"/>
      <c r="T20972" s="27"/>
      <c r="U20972" s="27"/>
    </row>
    <row r="20974">
      <c r="S20974" s="27"/>
      <c r="T20974" s="27"/>
      <c r="U20974" s="27"/>
    </row>
    <row r="20975">
      <c r="S20975" s="27"/>
      <c r="T20975" s="27"/>
      <c r="U20975" s="27"/>
    </row>
    <row r="20977">
      <c r="S20977" s="27"/>
      <c r="T20977" s="27"/>
      <c r="U20977" s="27"/>
    </row>
    <row r="20978">
      <c r="S20978" s="27"/>
      <c r="T20978" s="27"/>
      <c r="U20978" s="27"/>
    </row>
    <row r="20980">
      <c r="S20980" s="27"/>
      <c r="T20980" s="27"/>
      <c r="U20980" s="27"/>
    </row>
    <row r="20981">
      <c r="S20981" s="27"/>
      <c r="T20981" s="27"/>
      <c r="U20981" s="27"/>
    </row>
    <row r="20983">
      <c r="S20983" s="27"/>
      <c r="T20983" s="27"/>
      <c r="U20983" s="27"/>
    </row>
    <row r="20984">
      <c r="S20984" s="27"/>
      <c r="T20984" s="27"/>
      <c r="U20984" s="27"/>
    </row>
    <row r="20986">
      <c r="S20986" s="27"/>
      <c r="T20986" s="27"/>
      <c r="U20986" s="27"/>
    </row>
    <row r="20987">
      <c r="S20987" s="27"/>
      <c r="T20987" s="27"/>
      <c r="U20987" s="27"/>
    </row>
    <row r="20989">
      <c r="S20989" s="27"/>
      <c r="T20989" s="27"/>
      <c r="U20989" s="27"/>
    </row>
    <row r="20990">
      <c r="S20990" s="27"/>
      <c r="T20990" s="27"/>
      <c r="U20990" s="27"/>
    </row>
    <row r="20992">
      <c r="S20992" s="27"/>
      <c r="T20992" s="27"/>
      <c r="U20992" s="27"/>
    </row>
    <row r="20993">
      <c r="S20993" s="27"/>
      <c r="T20993" s="27"/>
      <c r="U20993" s="27"/>
    </row>
    <row r="20995">
      <c r="S20995" s="27"/>
      <c r="T20995" s="27"/>
      <c r="U20995" s="27"/>
    </row>
    <row r="20996">
      <c r="S20996" s="27"/>
      <c r="T20996" s="27"/>
      <c r="U20996" s="27"/>
    </row>
    <row r="20998">
      <c r="S20998" s="27"/>
      <c r="T20998" s="27"/>
      <c r="U20998" s="27"/>
    </row>
    <row r="20999">
      <c r="S20999" s="27"/>
      <c r="T20999" s="27"/>
      <c r="U20999" s="27"/>
    </row>
    <row r="21001">
      <c r="S21001" s="27"/>
      <c r="T21001" s="27"/>
      <c r="U21001" s="27"/>
    </row>
    <row r="21002">
      <c r="S21002" s="27"/>
      <c r="T21002" s="27"/>
      <c r="U21002" s="27"/>
    </row>
    <row r="21004">
      <c r="S21004" s="27"/>
      <c r="T21004" s="27"/>
      <c r="U21004" s="27"/>
    </row>
    <row r="21005">
      <c r="S21005" s="27"/>
      <c r="T21005" s="27"/>
      <c r="U21005" s="27"/>
    </row>
    <row r="21007">
      <c r="S21007" s="27"/>
      <c r="T21007" s="27"/>
      <c r="U21007" s="27"/>
    </row>
    <row r="21008">
      <c r="S21008" s="27"/>
      <c r="T21008" s="27"/>
      <c r="U21008" s="27"/>
    </row>
    <row r="21010">
      <c r="S21010" s="27"/>
      <c r="T21010" s="27"/>
      <c r="U21010" s="27"/>
    </row>
    <row r="21011">
      <c r="S21011" s="27"/>
      <c r="T21011" s="27"/>
      <c r="U21011" s="27"/>
    </row>
    <row r="21013">
      <c r="S21013" s="27"/>
      <c r="T21013" s="27"/>
      <c r="U21013" s="27"/>
    </row>
    <row r="21014">
      <c r="S21014" s="27"/>
      <c r="T21014" s="27"/>
      <c r="U21014" s="27"/>
    </row>
    <row r="21016">
      <c r="S21016" s="27"/>
      <c r="T21016" s="27"/>
      <c r="U21016" s="27"/>
    </row>
    <row r="21017">
      <c r="S21017" s="27"/>
      <c r="T21017" s="27"/>
      <c r="U21017" s="27"/>
    </row>
    <row r="21019">
      <c r="S21019" s="27"/>
      <c r="T21019" s="27"/>
      <c r="U21019" s="27"/>
    </row>
    <row r="21020">
      <c r="S21020" s="27"/>
      <c r="T21020" s="27"/>
      <c r="U21020" s="27"/>
    </row>
    <row r="21022">
      <c r="S21022" s="27"/>
      <c r="T21022" s="27"/>
      <c r="U21022" s="27"/>
    </row>
    <row r="21023">
      <c r="S21023" s="27"/>
      <c r="T21023" s="27"/>
      <c r="U21023" s="27"/>
    </row>
    <row r="21025">
      <c r="S21025" s="27"/>
      <c r="T21025" s="27"/>
      <c r="U21025" s="27"/>
    </row>
    <row r="21026">
      <c r="S21026" s="27"/>
      <c r="T21026" s="27"/>
      <c r="U21026" s="27"/>
    </row>
    <row r="21028">
      <c r="S21028" s="27"/>
      <c r="T21028" s="27"/>
      <c r="U21028" s="27"/>
    </row>
    <row r="21029">
      <c r="S21029" s="27"/>
      <c r="T21029" s="27"/>
      <c r="U21029" s="27"/>
    </row>
    <row r="21031">
      <c r="S21031" s="27"/>
      <c r="T21031" s="27"/>
      <c r="U21031" s="27"/>
    </row>
    <row r="21033">
      <c r="T21033" s="27"/>
      <c r="U21033" s="27"/>
    </row>
    <row r="21034">
      <c r="S21034" s="27"/>
      <c r="T21034" s="27"/>
      <c r="U21034" s="27"/>
    </row>
    <row r="21036">
      <c r="S21036" s="27"/>
      <c r="T21036" s="27"/>
      <c r="U21036" s="27"/>
    </row>
    <row r="21037">
      <c r="S21037" s="27"/>
      <c r="T21037" s="27"/>
      <c r="U21037" s="27"/>
    </row>
    <row r="21039">
      <c r="S21039" s="27"/>
      <c r="T21039" s="27"/>
      <c r="U21039" s="27"/>
    </row>
    <row r="21040">
      <c r="S21040" s="27"/>
      <c r="T21040" s="27"/>
      <c r="U21040" s="27"/>
    </row>
    <row r="21042">
      <c r="S21042" s="27"/>
      <c r="T21042" s="27"/>
      <c r="U21042" s="27"/>
    </row>
    <row r="21043">
      <c r="S21043" s="27"/>
      <c r="T21043" s="27"/>
      <c r="U21043" s="27"/>
    </row>
    <row r="21045">
      <c r="S21045" s="27"/>
      <c r="T21045" s="27"/>
      <c r="U21045" s="27"/>
    </row>
    <row r="21046">
      <c r="S21046" s="27"/>
      <c r="T21046" s="27"/>
      <c r="U21046" s="27"/>
    </row>
    <row r="21048">
      <c r="S21048" s="27"/>
      <c r="T21048" s="27"/>
      <c r="U21048" s="27"/>
    </row>
    <row r="21049">
      <c r="S21049" s="27"/>
      <c r="T21049" s="27"/>
      <c r="U21049" s="27"/>
    </row>
    <row r="21051">
      <c r="S21051" s="27"/>
      <c r="T21051" s="27"/>
      <c r="U21051" s="27"/>
    </row>
    <row r="21052">
      <c r="S21052" s="27"/>
      <c r="T21052" s="27"/>
      <c r="U21052" s="27"/>
    </row>
    <row r="21054">
      <c r="S21054" s="27"/>
      <c r="T21054" s="27"/>
      <c r="U21054" s="27"/>
    </row>
    <row r="21056">
      <c r="S21056" s="27"/>
      <c r="T21056" s="27"/>
      <c r="U21056" s="27"/>
    </row>
    <row r="21058">
      <c r="S21058" s="27"/>
      <c r="T21058" s="27"/>
      <c r="U21058" s="27"/>
    </row>
    <row r="21060">
      <c r="S21060" s="27"/>
      <c r="T21060" s="27"/>
      <c r="U21060" s="27"/>
    </row>
    <row r="21062">
      <c r="S21062" s="27"/>
      <c r="T21062" s="27"/>
    </row>
    <row r="21063">
      <c r="S21063" s="27"/>
      <c r="T21063" s="27"/>
      <c r="U21063" s="27"/>
    </row>
    <row r="21066">
      <c r="S21066" s="27"/>
      <c r="T21066" s="27"/>
      <c r="U21066" s="27"/>
    </row>
    <row r="21068">
      <c r="S21068" s="27"/>
      <c r="T21068" s="27"/>
      <c r="U21068" s="27"/>
    </row>
    <row r="21069">
      <c r="S21069" s="27"/>
      <c r="T21069" s="27"/>
    </row>
    <row r="21071">
      <c r="S21071" s="27"/>
      <c r="T21071" s="27"/>
      <c r="U21071" s="27"/>
    </row>
    <row r="21072">
      <c r="S21072" s="27"/>
      <c r="T21072" s="27"/>
      <c r="U21072" s="27"/>
    </row>
    <row r="21074">
      <c r="S21074" s="27"/>
      <c r="T21074" s="27"/>
      <c r="U21074" s="27"/>
    </row>
    <row r="21075">
      <c r="S21075" s="27"/>
      <c r="T21075" s="27"/>
      <c r="U21075" s="27"/>
    </row>
    <row r="21077">
      <c r="S21077" s="27"/>
      <c r="T21077" s="27"/>
      <c r="U21077" s="27"/>
    </row>
    <row r="21078">
      <c r="S21078" s="27"/>
      <c r="T21078" s="27"/>
      <c r="U21078" s="27"/>
    </row>
    <row r="21083">
      <c r="S21083" s="26"/>
      <c r="T21083" s="26"/>
      <c r="U21083" s="26"/>
    </row>
    <row r="21086">
      <c r="S21086" s="27"/>
      <c r="T21086" s="27"/>
      <c r="U21086" s="27"/>
    </row>
    <row r="21089">
      <c r="S21089" s="27"/>
      <c r="T21089" s="27"/>
      <c r="U21089" s="27"/>
    </row>
    <row r="21090">
      <c r="S21090" s="27"/>
      <c r="T21090" s="27"/>
      <c r="U21090" s="27"/>
    </row>
    <row r="21092">
      <c r="S21092" s="27"/>
      <c r="T21092" s="27"/>
      <c r="U21092" s="27"/>
    </row>
    <row r="21093">
      <c r="S21093" s="27"/>
      <c r="T21093" s="27"/>
      <c r="U21093" s="27"/>
    </row>
    <row r="21095">
      <c r="S21095" s="27"/>
      <c r="T21095" s="27"/>
      <c r="U21095" s="27"/>
    </row>
    <row r="21096">
      <c r="S21096" s="27"/>
      <c r="T21096" s="27"/>
      <c r="U21096" s="27"/>
    </row>
    <row r="21098">
      <c r="S21098" s="26"/>
      <c r="T21098" s="26"/>
    </row>
    <row r="21101">
      <c r="S21101" s="27"/>
      <c r="T21101" s="27"/>
      <c r="U21101" s="27"/>
    </row>
    <row r="21102">
      <c r="S21102" s="27"/>
      <c r="T21102" s="27"/>
      <c r="U21102" s="27"/>
    </row>
    <row r="21104">
      <c r="S21104" s="27"/>
      <c r="T21104" s="27"/>
      <c r="U21104" s="27"/>
    </row>
    <row r="21105">
      <c r="S21105" s="27"/>
      <c r="T21105" s="27"/>
      <c r="U21105" s="27"/>
    </row>
    <row r="21107">
      <c r="S21107" s="27"/>
      <c r="T21107" s="27"/>
      <c r="U21107" s="27"/>
    </row>
    <row r="21108">
      <c r="S21108" s="27"/>
      <c r="T21108" s="27"/>
      <c r="U21108" s="27"/>
    </row>
    <row r="21110">
      <c r="S21110" s="27"/>
      <c r="T21110" s="27"/>
      <c r="U21110" s="27"/>
    </row>
    <row r="21113">
      <c r="S21113" s="26"/>
      <c r="T21113" s="26"/>
      <c r="U21113" s="26"/>
    </row>
    <row r="21116">
      <c r="S21116" s="27"/>
      <c r="T21116" s="27"/>
      <c r="U21116" s="27"/>
    </row>
    <row r="21117">
      <c r="S21117" s="27"/>
      <c r="T21117" s="27"/>
      <c r="U21117" s="27"/>
    </row>
    <row r="21119">
      <c r="S21119" s="27"/>
      <c r="T21119" s="27"/>
      <c r="U21119" s="27"/>
    </row>
    <row r="21120">
      <c r="S21120" s="27"/>
      <c r="T21120" s="27"/>
      <c r="U21120" s="27"/>
    </row>
    <row r="21128">
      <c r="S21128" s="27"/>
      <c r="T21128" s="27"/>
      <c r="U21128" s="27"/>
    </row>
    <row r="21131">
      <c r="S21131" s="27"/>
      <c r="T21131" s="27"/>
      <c r="U21131" s="27"/>
    </row>
    <row r="21132">
      <c r="S21132" s="27"/>
      <c r="T21132" s="27"/>
      <c r="U21132" s="27"/>
    </row>
    <row r="21134">
      <c r="S21134" s="27"/>
      <c r="T21134" s="27"/>
      <c r="U21134" s="27"/>
    </row>
    <row r="21135">
      <c r="S21135" s="27"/>
      <c r="T21135" s="27"/>
      <c r="U21135" s="27"/>
    </row>
    <row r="21137">
      <c r="S21137" s="27"/>
      <c r="T21137" s="27"/>
      <c r="U21137" s="27"/>
    </row>
    <row r="21138">
      <c r="S21138" s="27"/>
      <c r="T21138" s="27"/>
      <c r="U21138" s="27"/>
    </row>
    <row r="21140">
      <c r="S21140" s="27"/>
      <c r="T21140" s="27"/>
      <c r="U21140" s="27"/>
    </row>
    <row r="21141">
      <c r="S21141" s="27"/>
      <c r="T21141" s="27"/>
      <c r="U21141" s="27"/>
    </row>
    <row r="21143">
      <c r="S21143" s="27"/>
      <c r="T21143" s="27"/>
      <c r="U21143" s="27"/>
    </row>
    <row r="21144">
      <c r="S21144" s="27"/>
      <c r="T21144" s="27"/>
      <c r="U21144" s="27"/>
    </row>
    <row r="21146">
      <c r="S21146" s="27"/>
      <c r="T21146" s="27"/>
      <c r="U21146" s="27"/>
    </row>
    <row r="21147">
      <c r="S21147" s="27"/>
      <c r="T21147" s="27"/>
      <c r="U21147" s="27"/>
    </row>
    <row r="21149">
      <c r="S21149" s="27"/>
      <c r="T21149" s="27"/>
    </row>
    <row r="21150">
      <c r="S21150" s="27"/>
      <c r="T21150" s="27"/>
    </row>
    <row r="21152">
      <c r="S21152" s="27"/>
      <c r="T21152" s="27"/>
      <c r="U21152" s="27"/>
    </row>
    <row r="21153">
      <c r="S21153" s="27"/>
      <c r="T21153" s="27"/>
      <c r="U21153" s="27"/>
    </row>
    <row r="21155">
      <c r="S21155" s="27"/>
      <c r="T21155" s="27"/>
      <c r="U21155" s="27"/>
    </row>
    <row r="21156">
      <c r="S21156" s="27"/>
      <c r="T21156" s="27"/>
      <c r="U21156" s="27"/>
    </row>
    <row r="21158">
      <c r="S21158" s="27"/>
      <c r="T21158" s="27"/>
      <c r="U21158" s="27"/>
    </row>
    <row r="21159">
      <c r="S21159" s="27"/>
      <c r="T21159" s="27"/>
      <c r="U21159" s="27"/>
    </row>
    <row r="21161">
      <c r="S21161" s="27"/>
      <c r="T21161" s="27"/>
      <c r="U21161" s="27"/>
    </row>
    <row r="21162">
      <c r="S21162" s="27"/>
      <c r="T21162" s="27"/>
      <c r="U21162" s="27"/>
    </row>
    <row r="21164">
      <c r="S21164" s="27"/>
      <c r="T21164" s="27"/>
      <c r="U21164" s="27"/>
    </row>
    <row r="21165">
      <c r="S21165" s="27"/>
      <c r="T21165" s="27"/>
      <c r="U21165" s="27"/>
    </row>
    <row r="21167">
      <c r="S21167" s="27"/>
      <c r="T21167" s="27"/>
      <c r="U21167" s="27"/>
    </row>
    <row r="21168">
      <c r="S21168" s="27"/>
      <c r="T21168" s="27"/>
      <c r="U21168" s="27"/>
    </row>
    <row r="21170">
      <c r="S21170" s="27"/>
      <c r="T21170" s="27"/>
      <c r="U21170" s="27"/>
    </row>
    <row r="21171">
      <c r="S21171" s="27"/>
      <c r="T21171" s="27"/>
      <c r="U21171" s="27"/>
    </row>
    <row r="21173">
      <c r="S21173" s="27"/>
      <c r="T21173" s="27"/>
      <c r="U21173" s="27"/>
    </row>
    <row r="21174">
      <c r="S21174" s="27"/>
      <c r="T21174" s="27"/>
      <c r="U21174" s="27"/>
    </row>
    <row r="21176">
      <c r="S21176" s="27"/>
      <c r="T21176" s="27"/>
      <c r="U21176" s="27"/>
    </row>
    <row r="21177">
      <c r="S21177" s="27"/>
      <c r="T21177" s="27"/>
      <c r="U21177" s="27"/>
    </row>
    <row r="21179">
      <c r="S21179" s="27"/>
      <c r="T21179" s="27"/>
      <c r="U21179" s="27"/>
    </row>
    <row r="21180">
      <c r="S21180" s="27"/>
      <c r="T21180" s="27"/>
      <c r="U21180" s="27"/>
    </row>
    <row r="21182">
      <c r="S21182" s="27"/>
      <c r="T21182" s="27"/>
      <c r="U21182" s="27"/>
    </row>
    <row r="21183">
      <c r="S21183" s="27"/>
      <c r="T21183" s="27"/>
      <c r="U21183" s="27"/>
    </row>
    <row r="21185">
      <c r="S21185" s="27"/>
      <c r="T21185" s="27"/>
      <c r="U21185" s="27"/>
    </row>
    <row r="21186">
      <c r="S21186" s="27"/>
      <c r="T21186" s="27"/>
      <c r="U21186" s="27"/>
    </row>
    <row r="21188">
      <c r="S21188" s="27"/>
      <c r="T21188" s="27"/>
      <c r="U21188" s="27"/>
    </row>
    <row r="21189">
      <c r="S21189" s="27"/>
      <c r="T21189" s="27"/>
      <c r="U21189" s="27"/>
    </row>
    <row r="21191">
      <c r="S21191" s="27"/>
      <c r="T21191" s="27"/>
      <c r="U21191" s="27"/>
    </row>
    <row r="21192">
      <c r="S21192" s="27"/>
      <c r="T21192" s="27"/>
      <c r="U21192" s="27"/>
    </row>
    <row r="21194">
      <c r="S21194" s="27"/>
      <c r="T21194" s="27"/>
      <c r="U21194" s="27"/>
    </row>
    <row r="21195">
      <c r="S21195" s="27"/>
      <c r="T21195" s="27"/>
      <c r="U21195" s="27"/>
    </row>
    <row r="21197">
      <c r="S21197" s="27"/>
      <c r="T21197" s="27"/>
      <c r="U21197" s="27"/>
    </row>
    <row r="21198">
      <c r="S21198" s="27"/>
      <c r="T21198" s="27"/>
      <c r="U21198" s="27"/>
    </row>
    <row r="21200">
      <c r="S21200" s="27"/>
      <c r="T21200" s="27"/>
      <c r="U21200" s="27"/>
    </row>
    <row r="21201">
      <c r="S21201" s="27"/>
      <c r="T21201" s="27"/>
      <c r="U21201" s="27"/>
    </row>
    <row r="21203">
      <c r="S21203" s="27"/>
      <c r="T21203" s="27"/>
      <c r="U21203" s="27"/>
    </row>
    <row r="21204">
      <c r="S21204" s="27"/>
      <c r="T21204" s="27"/>
      <c r="U21204" s="27"/>
    </row>
    <row r="21206">
      <c r="S21206" s="27"/>
      <c r="T21206" s="27"/>
      <c r="U21206" s="27"/>
    </row>
    <row r="21207">
      <c r="S21207" s="27"/>
      <c r="T21207" s="27"/>
      <c r="U21207" s="27"/>
    </row>
    <row r="21209">
      <c r="S21209" s="27"/>
      <c r="T21209" s="27"/>
      <c r="U21209" s="27"/>
    </row>
    <row r="21212">
      <c r="S21212" s="33"/>
      <c r="T21212" s="33"/>
      <c r="U21212" s="33"/>
    </row>
    <row r="21213">
      <c r="S21213" s="27"/>
      <c r="T21213" s="27"/>
      <c r="U21213" s="27"/>
    </row>
    <row r="21215">
      <c r="S21215" s="27"/>
      <c r="T21215" s="27"/>
      <c r="U21215" s="27"/>
    </row>
    <row r="21216">
      <c r="S21216" s="27"/>
      <c r="T21216" s="27"/>
      <c r="U21216" s="27"/>
    </row>
    <row r="21218">
      <c r="S21218" s="27"/>
      <c r="T21218" s="27"/>
      <c r="U21218" s="27"/>
    </row>
    <row r="21219">
      <c r="S21219" s="26"/>
      <c r="T21219" s="26"/>
      <c r="U21219" s="26"/>
    </row>
    <row r="21222">
      <c r="S21222" s="27"/>
      <c r="T21222" s="27"/>
      <c r="U21222" s="27"/>
    </row>
    <row r="21224">
      <c r="S21224" s="27"/>
      <c r="T21224" s="27"/>
      <c r="U21224" s="27"/>
    </row>
    <row r="21225">
      <c r="S21225" s="27"/>
      <c r="T21225" s="27"/>
      <c r="U21225" s="27"/>
    </row>
    <row r="21227">
      <c r="S21227" s="27"/>
      <c r="T21227" s="27"/>
      <c r="U21227" s="27"/>
    </row>
    <row r="21228">
      <c r="S21228" s="27"/>
      <c r="T21228" s="27"/>
      <c r="U21228" s="27"/>
    </row>
    <row r="21230">
      <c r="S21230" s="27"/>
    </row>
    <row r="21236">
      <c r="S21236" s="27"/>
      <c r="U21236" s="35"/>
    </row>
    <row r="21238">
      <c r="S21238" s="35"/>
      <c r="T21238" s="35"/>
      <c r="U21238" s="35"/>
    </row>
    <row r="21240">
      <c r="S21240" s="26"/>
      <c r="T21240" s="26"/>
      <c r="U21240" s="26"/>
    </row>
    <row r="21243">
      <c r="S21243" s="27"/>
      <c r="T21243" s="27"/>
      <c r="U21243" s="27"/>
    </row>
    <row r="21246">
      <c r="S21246" s="27"/>
      <c r="T21246" s="27"/>
      <c r="U21246" s="27"/>
    </row>
    <row r="21247">
      <c r="S21247" s="27"/>
      <c r="T21247" s="27"/>
      <c r="U21247" s="27"/>
    </row>
    <row r="21249">
      <c r="S21249" s="27"/>
      <c r="T21249" s="27"/>
      <c r="U21249" s="27"/>
    </row>
    <row r="21250">
      <c r="S21250" s="27"/>
      <c r="T21250" s="27"/>
      <c r="U21250" s="27"/>
    </row>
    <row r="21252">
      <c r="S21252" s="27"/>
      <c r="T21252" s="27"/>
      <c r="U21252" s="27"/>
    </row>
    <row r="21253">
      <c r="U21253" s="27"/>
    </row>
    <row r="21255">
      <c r="S21255" s="27"/>
      <c r="T21255" s="27"/>
      <c r="U21255" s="27"/>
    </row>
    <row r="21256">
      <c r="S21256" s="26"/>
      <c r="T21256" s="27"/>
      <c r="U21256" s="27"/>
    </row>
    <row r="21258">
      <c r="S21258" s="27"/>
      <c r="T21258" s="27"/>
    </row>
    <row r="21259">
      <c r="S21259" s="27"/>
      <c r="T21259" s="27"/>
      <c r="U21259" s="27"/>
    </row>
    <row r="21264">
      <c r="S21264" s="27"/>
      <c r="T21264" s="27"/>
      <c r="U21264" s="27"/>
    </row>
    <row r="21265">
      <c r="S21265" s="27"/>
      <c r="T21265" s="27"/>
      <c r="U21265" s="27"/>
    </row>
    <row r="21267">
      <c r="S21267" s="27"/>
      <c r="T21267" s="27"/>
      <c r="U21267" s="27"/>
    </row>
    <row r="21268">
      <c r="S21268" s="27"/>
      <c r="T21268" s="27"/>
      <c r="U21268" s="27"/>
    </row>
    <row r="21270">
      <c r="S21270" s="27"/>
      <c r="T21270" s="27"/>
      <c r="U21270" s="27"/>
    </row>
    <row r="21271">
      <c r="S21271" s="27"/>
      <c r="T21271" s="27"/>
      <c r="U21271" s="27"/>
    </row>
    <row r="21273">
      <c r="S21273" s="33"/>
      <c r="T21273" s="27"/>
      <c r="U21273" s="33"/>
    </row>
    <row r="21276">
      <c r="T21276" s="27"/>
      <c r="U21276" s="27"/>
    </row>
    <row r="21277">
      <c r="S21277" s="27"/>
      <c r="T21277" s="27"/>
      <c r="U21277" s="27"/>
    </row>
    <row r="21279">
      <c r="S21279" s="27"/>
      <c r="T21279" s="27"/>
      <c r="U21279" s="27"/>
    </row>
    <row r="21282">
      <c r="S21282" s="27"/>
      <c r="T21282" s="27"/>
      <c r="U21282" s="27"/>
    </row>
    <row r="21283">
      <c r="S21283" s="33"/>
      <c r="T21283" s="33"/>
      <c r="U21283" s="33"/>
    </row>
    <row r="21285">
      <c r="T21285" s="34"/>
      <c r="U21285" s="34"/>
    </row>
    <row r="21286">
      <c r="S21286" s="26"/>
      <c r="T21286" s="26"/>
      <c r="U21286" s="26"/>
    </row>
    <row r="21288">
      <c r="S21288" s="27"/>
      <c r="T21288" s="27"/>
    </row>
    <row r="21289">
      <c r="S21289" s="27"/>
      <c r="T21289" s="27"/>
    </row>
    <row r="21291">
      <c r="S21291" s="27"/>
      <c r="T21291" s="27"/>
      <c r="U21291" s="27"/>
    </row>
    <row r="21292">
      <c r="S21292" s="27"/>
      <c r="T21292" s="27"/>
      <c r="U21292" s="27"/>
    </row>
    <row r="21294">
      <c r="S21294" s="27"/>
      <c r="T21294" s="27"/>
      <c r="U21294" s="27"/>
    </row>
    <row r="21295">
      <c r="S21295" s="27"/>
      <c r="T21295" s="27"/>
      <c r="U21295" s="27"/>
    </row>
    <row r="21297">
      <c r="S21297" s="27"/>
      <c r="T21297" s="27"/>
      <c r="U21297" s="27"/>
    </row>
    <row r="21298">
      <c r="S21298" s="27"/>
      <c r="T21298" s="27"/>
      <c r="U21298" s="27"/>
    </row>
    <row r="21303">
      <c r="S21303" s="27"/>
      <c r="T21303" s="27"/>
      <c r="U21303" s="27"/>
    </row>
    <row r="21304">
      <c r="S21304" s="27"/>
      <c r="T21304" s="27"/>
      <c r="U21304" s="27"/>
    </row>
    <row r="21306">
      <c r="S21306" s="27"/>
      <c r="T21306" s="27"/>
      <c r="U21306" s="27"/>
    </row>
    <row r="21307">
      <c r="S21307" s="27"/>
      <c r="T21307" s="27"/>
      <c r="U21307" s="27"/>
    </row>
    <row r="21309">
      <c r="S21309" s="27"/>
      <c r="T21309" s="27"/>
      <c r="U21309" s="27"/>
    </row>
    <row r="21312">
      <c r="S21312" s="27"/>
      <c r="T21312" s="27"/>
      <c r="U21312" s="27"/>
    </row>
    <row r="21313">
      <c r="T21313" s="27"/>
      <c r="U21313" s="27"/>
    </row>
    <row r="21318">
      <c r="S21318" s="27"/>
      <c r="T21318" s="27"/>
      <c r="U21318" s="27"/>
    </row>
    <row r="21319">
      <c r="S21319" s="27"/>
      <c r="T21319" s="27"/>
      <c r="U21319" s="27"/>
    </row>
    <row r="21321">
      <c r="S21321" s="27"/>
      <c r="T21321" s="27"/>
      <c r="U21321" s="27"/>
    </row>
    <row r="21324">
      <c r="S21324" s="27"/>
      <c r="T21324" s="27"/>
      <c r="U21324" s="27"/>
    </row>
    <row r="21325">
      <c r="S21325" s="27"/>
      <c r="T21325" s="27"/>
      <c r="U21325" s="27"/>
    </row>
    <row r="21327">
      <c r="S21327" s="26"/>
      <c r="T21327" s="26"/>
      <c r="U21327" s="26"/>
    </row>
    <row r="21330">
      <c r="S21330" s="27"/>
      <c r="T21330" s="27"/>
      <c r="U21330" s="27"/>
    </row>
    <row r="21333">
      <c r="S21333" s="27"/>
      <c r="T21333" s="27"/>
      <c r="U21333" s="27"/>
    </row>
    <row r="21334">
      <c r="S21334" s="27"/>
      <c r="T21334" s="27"/>
      <c r="U21334" s="27"/>
    </row>
    <row r="21336">
      <c r="S21336" s="27"/>
      <c r="T21336" s="27"/>
      <c r="U21336" s="27"/>
    </row>
    <row r="21337">
      <c r="S21337" s="27"/>
      <c r="T21337" s="27"/>
      <c r="U21337" s="27"/>
    </row>
    <row r="21339">
      <c r="S21339" s="27"/>
      <c r="T21339" s="27"/>
      <c r="U21339" s="27"/>
    </row>
    <row r="21340">
      <c r="S21340" s="27"/>
      <c r="T21340" s="27"/>
      <c r="U21340" s="27"/>
    </row>
    <row r="21342">
      <c r="S21342" s="27"/>
    </row>
    <row r="21343">
      <c r="S21343" s="26"/>
      <c r="T21343" s="26"/>
      <c r="U21343" s="26"/>
    </row>
    <row r="21345">
      <c r="S21345" s="27"/>
      <c r="T21345" s="27"/>
      <c r="U21345" s="27"/>
    </row>
    <row r="21346">
      <c r="S21346" s="27"/>
      <c r="T21346" s="27"/>
      <c r="U21346" s="27"/>
    </row>
    <row r="21348">
      <c r="S21348" s="27"/>
      <c r="T21348" s="27"/>
      <c r="U21348" s="27"/>
    </row>
    <row r="21349">
      <c r="S21349" s="27"/>
      <c r="T21349" s="27"/>
      <c r="U21349" s="27"/>
    </row>
    <row r="21351">
      <c r="S21351" s="27"/>
      <c r="T21351" s="27"/>
      <c r="U21351" s="27"/>
    </row>
    <row r="21352">
      <c r="S21352" s="27"/>
      <c r="T21352" s="27"/>
      <c r="U21352" s="27"/>
    </row>
    <row r="21354">
      <c r="S21354" s="27"/>
      <c r="T21354" s="27"/>
      <c r="U21354" s="27"/>
    </row>
    <row r="21355">
      <c r="S21355" s="27"/>
      <c r="T21355" s="27"/>
      <c r="U21355" s="27"/>
    </row>
    <row r="21357">
      <c r="S21357" s="27"/>
      <c r="T21357" s="27"/>
      <c r="U21357" s="27"/>
    </row>
    <row r="21358">
      <c r="S21358" s="27"/>
      <c r="T21358" s="27"/>
      <c r="U21358" s="27"/>
    </row>
    <row r="21360">
      <c r="S21360" s="27"/>
      <c r="T21360" s="27"/>
      <c r="U21360" s="27"/>
    </row>
    <row r="21361">
      <c r="S21361" s="27"/>
      <c r="T21361" s="27"/>
      <c r="U21361" s="27"/>
    </row>
    <row r="21363">
      <c r="S21363" s="27"/>
      <c r="T21363" s="27"/>
      <c r="U21363" s="27"/>
    </row>
    <row r="21364">
      <c r="S21364" s="27"/>
      <c r="T21364" s="27"/>
      <c r="U21364" s="27"/>
    </row>
    <row r="21366">
      <c r="S21366" s="27"/>
      <c r="T21366" s="27"/>
      <c r="U21366" s="27"/>
    </row>
    <row r="21367">
      <c r="S21367" s="27"/>
      <c r="T21367" s="27"/>
      <c r="U21367" s="27"/>
    </row>
    <row r="21369">
      <c r="S21369" s="27"/>
      <c r="T21369" s="27"/>
      <c r="U21369" s="27"/>
    </row>
    <row r="21370">
      <c r="S21370" s="27"/>
      <c r="T21370" s="27"/>
      <c r="U21370" s="27"/>
    </row>
    <row r="21372">
      <c r="S21372" s="27"/>
      <c r="T21372" s="27"/>
      <c r="U21372" s="27"/>
    </row>
    <row r="21373">
      <c r="S21373" s="27"/>
      <c r="T21373" s="27"/>
      <c r="U21373" s="27"/>
    </row>
    <row r="21375">
      <c r="S21375" s="27"/>
      <c r="T21375" s="27"/>
      <c r="U21375" s="27"/>
    </row>
    <row r="21376">
      <c r="S21376" s="27"/>
      <c r="T21376" s="27"/>
      <c r="U21376" s="27"/>
    </row>
    <row r="21378">
      <c r="S21378" s="27"/>
      <c r="T21378" s="27"/>
      <c r="U21378" s="27"/>
    </row>
    <row r="21379">
      <c r="S21379" s="27"/>
      <c r="T21379" s="27"/>
      <c r="U21379" s="27"/>
    </row>
    <row r="21381">
      <c r="S21381" s="27"/>
      <c r="T21381" s="27"/>
      <c r="U21381" s="27"/>
    </row>
    <row r="21382">
      <c r="S21382" s="27"/>
      <c r="T21382" s="27"/>
      <c r="U21382" s="27"/>
    </row>
    <row r="21384">
      <c r="S21384" s="27"/>
      <c r="T21384" s="27"/>
      <c r="U21384" s="27"/>
    </row>
    <row r="21385">
      <c r="S21385" s="27"/>
      <c r="T21385" s="27"/>
      <c r="U21385" s="27"/>
    </row>
    <row r="21387">
      <c r="S21387" s="27"/>
      <c r="T21387" s="27"/>
      <c r="U21387" s="27"/>
    </row>
    <row r="21388">
      <c r="S21388" s="27"/>
      <c r="T21388" s="27"/>
      <c r="U21388" s="27"/>
    </row>
    <row r="21390">
      <c r="S21390" s="27"/>
      <c r="T21390" s="27"/>
      <c r="U21390" s="27"/>
    </row>
    <row r="21391">
      <c r="S21391" s="27"/>
      <c r="T21391" s="27"/>
      <c r="U21391" s="27"/>
    </row>
    <row r="21393">
      <c r="S21393" s="27"/>
      <c r="T21393" s="27"/>
      <c r="U21393" s="27"/>
    </row>
    <row r="21394">
      <c r="S21394" s="27"/>
      <c r="T21394" s="27"/>
      <c r="U21394" s="27"/>
    </row>
    <row r="21396">
      <c r="S21396" s="27"/>
      <c r="T21396" s="27"/>
      <c r="U21396" s="27"/>
    </row>
    <row r="21397">
      <c r="S21397" s="27"/>
      <c r="T21397" s="27"/>
      <c r="U21397" s="27"/>
    </row>
    <row r="21399">
      <c r="S21399" s="27"/>
      <c r="T21399" s="27"/>
      <c r="U21399" s="27"/>
    </row>
    <row r="21400">
      <c r="S21400" s="27"/>
      <c r="T21400" s="27"/>
      <c r="U21400" s="27"/>
    </row>
    <row r="21402">
      <c r="S21402" s="27"/>
      <c r="T21402" s="27"/>
      <c r="U21402" s="27"/>
    </row>
    <row r="21403">
      <c r="S21403" s="27"/>
      <c r="T21403" s="27"/>
      <c r="U21403" s="27"/>
    </row>
    <row r="21405">
      <c r="S21405" s="27"/>
      <c r="T21405" s="27"/>
      <c r="U21405" s="27"/>
    </row>
    <row r="21406">
      <c r="S21406" s="27"/>
      <c r="T21406" s="27"/>
      <c r="U21406" s="27"/>
    </row>
    <row r="21408">
      <c r="S21408" s="27"/>
      <c r="T21408" s="27"/>
      <c r="U21408" s="27"/>
    </row>
    <row r="21409">
      <c r="S21409" s="27"/>
      <c r="T21409" s="27"/>
      <c r="U21409" s="27"/>
    </row>
    <row r="21411">
      <c r="S21411" s="27"/>
      <c r="T21411" s="27"/>
      <c r="U21411" s="27"/>
    </row>
    <row r="21412">
      <c r="S21412" s="27"/>
      <c r="T21412" s="27"/>
      <c r="U21412" s="27"/>
    </row>
    <row r="21414">
      <c r="S21414" s="27"/>
      <c r="T21414" s="27"/>
      <c r="U21414" s="27"/>
    </row>
    <row r="21415">
      <c r="S21415" s="27"/>
      <c r="T21415" s="27"/>
      <c r="U21415" s="27"/>
    </row>
    <row r="21417">
      <c r="S21417" s="27"/>
      <c r="T21417" s="27"/>
      <c r="U21417" s="27"/>
    </row>
    <row r="21418">
      <c r="S21418" s="27"/>
      <c r="T21418" s="27"/>
      <c r="U21418" s="27"/>
    </row>
    <row r="21420">
      <c r="S21420" s="27"/>
      <c r="T21420" s="27"/>
      <c r="U21420" s="27"/>
    </row>
    <row r="21421">
      <c r="S21421" s="27"/>
      <c r="T21421" s="27"/>
      <c r="U21421" s="27"/>
    </row>
    <row r="21423">
      <c r="S21423" s="27"/>
      <c r="T21423" s="27"/>
      <c r="U21423" s="27"/>
    </row>
    <row r="21424">
      <c r="S21424" s="27"/>
      <c r="T21424" s="27"/>
      <c r="U21424" s="27"/>
    </row>
    <row r="21426">
      <c r="S21426" s="27"/>
      <c r="T21426" s="27"/>
      <c r="U21426" s="27"/>
    </row>
    <row r="21427">
      <c r="S21427" s="27"/>
      <c r="T21427" s="27"/>
      <c r="U21427" s="27"/>
    </row>
    <row r="21429">
      <c r="S21429" s="27"/>
      <c r="T21429" s="27"/>
      <c r="U21429" s="27"/>
    </row>
    <row r="21430">
      <c r="S21430" s="27"/>
      <c r="T21430" s="27"/>
      <c r="U21430" s="27"/>
    </row>
    <row r="21432">
      <c r="S21432" s="27"/>
      <c r="T21432" s="27"/>
      <c r="U21432" s="27"/>
    </row>
    <row r="21433">
      <c r="S21433" s="27"/>
      <c r="T21433" s="27"/>
      <c r="U21433" s="27"/>
    </row>
    <row r="21435">
      <c r="S21435" s="27"/>
      <c r="T21435" s="27"/>
      <c r="U21435" s="27"/>
    </row>
    <row r="21436">
      <c r="S21436" s="27"/>
      <c r="T21436" s="27"/>
      <c r="U21436" s="27"/>
    </row>
    <row r="21438">
      <c r="S21438" s="27"/>
      <c r="T21438" s="27"/>
      <c r="U21438" s="27"/>
    </row>
    <row r="21439">
      <c r="S21439" s="27"/>
      <c r="T21439" s="27"/>
      <c r="U21439" s="27"/>
    </row>
    <row r="21441">
      <c r="S21441" s="27"/>
      <c r="T21441" s="27"/>
      <c r="U21441" s="27"/>
    </row>
    <row r="21443">
      <c r="S21443" s="27"/>
      <c r="T21443" s="27"/>
      <c r="U21443" s="27"/>
    </row>
    <row r="21444">
      <c r="S21444" s="27"/>
      <c r="T21444" s="27"/>
      <c r="U21444" s="27"/>
    </row>
    <row r="21446">
      <c r="S21446" s="27"/>
      <c r="T21446" s="27"/>
      <c r="U21446" s="27"/>
    </row>
    <row r="21447">
      <c r="S21447" s="27"/>
      <c r="T21447" s="27"/>
      <c r="U21447" s="27"/>
    </row>
    <row r="21449">
      <c r="S21449" s="27"/>
      <c r="T21449" s="27"/>
      <c r="U21449" s="27"/>
    </row>
    <row r="21450">
      <c r="S21450" s="27"/>
      <c r="T21450" s="27"/>
      <c r="U21450" s="27"/>
    </row>
    <row r="21452">
      <c r="S21452" s="27"/>
      <c r="T21452" s="27"/>
      <c r="U21452" s="27"/>
    </row>
    <row r="21453">
      <c r="S21453" s="27"/>
      <c r="T21453" s="27"/>
      <c r="U21453" s="27"/>
    </row>
    <row r="21455">
      <c r="S21455" s="27"/>
      <c r="T21455" s="27"/>
      <c r="U21455" s="27"/>
    </row>
    <row r="21456">
      <c r="S21456" s="27"/>
      <c r="T21456" s="27"/>
      <c r="U21456" s="27"/>
    </row>
    <row r="21458">
      <c r="S21458" s="27"/>
      <c r="T21458" s="27"/>
      <c r="U21458" s="27"/>
    </row>
    <row r="21459">
      <c r="S21459" s="27"/>
      <c r="T21459" s="27"/>
      <c r="U21459" s="27"/>
    </row>
    <row r="21461">
      <c r="S21461" s="27"/>
      <c r="T21461" s="27"/>
      <c r="U21461" s="27"/>
    </row>
    <row r="21462">
      <c r="S21462" s="27"/>
      <c r="T21462" s="27"/>
      <c r="U21462" s="27"/>
    </row>
    <row r="21464">
      <c r="S21464" s="27"/>
      <c r="T21464" s="27"/>
      <c r="U21464" s="27"/>
    </row>
    <row r="21466">
      <c r="S21466" s="27"/>
      <c r="T21466" s="27"/>
      <c r="U21466" s="27"/>
    </row>
    <row r="21468">
      <c r="S21468" s="27"/>
      <c r="T21468" s="27"/>
      <c r="U21468" s="27"/>
    </row>
    <row r="21470">
      <c r="S21470" s="27"/>
      <c r="T21470" s="27"/>
      <c r="U21470" s="27"/>
    </row>
    <row r="21472">
      <c r="T21472" s="27"/>
      <c r="U21472" s="27"/>
    </row>
    <row r="21473">
      <c r="S21473" s="27"/>
      <c r="T21473" s="27"/>
      <c r="U21473" s="27"/>
    </row>
    <row r="21475">
      <c r="S21475" s="27"/>
      <c r="T21475" s="27"/>
      <c r="U21475" s="27"/>
    </row>
    <row r="21476">
      <c r="S21476" s="27"/>
      <c r="T21476" s="27"/>
      <c r="U21476" s="27"/>
    </row>
    <row r="21478">
      <c r="S21478" s="27"/>
      <c r="T21478" s="27"/>
      <c r="U21478" s="27"/>
    </row>
    <row r="21479">
      <c r="S21479" s="33"/>
      <c r="T21479" s="33"/>
      <c r="U21479" s="27"/>
    </row>
    <row r="21481">
      <c r="S21481" s="27"/>
      <c r="T21481" s="27"/>
      <c r="U21481" s="27"/>
    </row>
    <row r="21482">
      <c r="S21482" s="27"/>
      <c r="T21482" s="27"/>
      <c r="U21482" s="27"/>
    </row>
    <row r="21485">
      <c r="S21485" s="27"/>
      <c r="T21485" s="27"/>
      <c r="U21485" s="27"/>
    </row>
    <row r="21487">
      <c r="S21487" s="27"/>
      <c r="T21487" s="27"/>
      <c r="U21487" s="27"/>
    </row>
    <row r="21488">
      <c r="S21488" s="27"/>
      <c r="T21488" s="27"/>
      <c r="U21488" s="27"/>
    </row>
    <row r="21496">
      <c r="S21496" s="27"/>
      <c r="T21496" s="27"/>
      <c r="U21496" s="27"/>
    </row>
    <row r="21499">
      <c r="S21499" s="27"/>
      <c r="T21499" s="27"/>
      <c r="U21499" s="27"/>
    </row>
    <row r="21500">
      <c r="S21500" s="27"/>
      <c r="T21500" s="27"/>
      <c r="U21500" s="27"/>
    </row>
    <row r="21502">
      <c r="S21502" s="27"/>
      <c r="T21502" s="27"/>
      <c r="U21502" s="27"/>
    </row>
    <row r="21503">
      <c r="S21503" s="27"/>
      <c r="T21503" s="27"/>
      <c r="U21503" s="27"/>
    </row>
    <row r="21505">
      <c r="S21505" s="27"/>
      <c r="T21505" s="27"/>
      <c r="U21505" s="27"/>
    </row>
    <row r="21506">
      <c r="S21506" s="27"/>
      <c r="T21506" s="27"/>
      <c r="U21506" s="27"/>
    </row>
    <row r="21508">
      <c r="S21508" s="26"/>
      <c r="T21508" s="26"/>
      <c r="U21508" s="26"/>
    </row>
    <row r="21511">
      <c r="S21511" s="27"/>
      <c r="T21511" s="27"/>
      <c r="U21511" s="27"/>
    </row>
    <row r="21512">
      <c r="S21512" s="27"/>
      <c r="T21512" s="27"/>
      <c r="U21512" s="27"/>
    </row>
    <row r="21514">
      <c r="S21514" s="27"/>
      <c r="T21514" s="27"/>
      <c r="U21514" s="27"/>
    </row>
    <row r="21515">
      <c r="S21515" s="27"/>
      <c r="T21515" s="27"/>
      <c r="U21515" s="27"/>
    </row>
    <row r="21517">
      <c r="S21517" s="27"/>
      <c r="T21517" s="27"/>
    </row>
    <row r="21518">
      <c r="S21518" s="27"/>
      <c r="T21518" s="27"/>
      <c r="U21518" s="27"/>
    </row>
    <row r="21526">
      <c r="U21526" s="27"/>
    </row>
    <row r="21527">
      <c r="S21527" s="27"/>
      <c r="T21527" s="27"/>
      <c r="U21527" s="27"/>
    </row>
    <row r="21529">
      <c r="S21529" s="27"/>
      <c r="T21529" s="27"/>
      <c r="U21529" s="27"/>
    </row>
    <row r="21530">
      <c r="S21530" s="27"/>
      <c r="T21530" s="27"/>
      <c r="U21530" s="27"/>
    </row>
    <row r="21535">
      <c r="T21535" s="27"/>
      <c r="U21535" s="27"/>
    </row>
    <row r="21538">
      <c r="S21538" s="27"/>
      <c r="T21538" s="27"/>
      <c r="U21538" s="27"/>
    </row>
    <row r="21541">
      <c r="S21541" s="27"/>
      <c r="T21541" s="27"/>
      <c r="U21541" s="27"/>
    </row>
    <row r="21542">
      <c r="S21542" s="27"/>
      <c r="T21542" s="27"/>
      <c r="U21542" s="27"/>
    </row>
    <row r="21544">
      <c r="S21544" s="27"/>
      <c r="T21544" s="27"/>
      <c r="U21544" s="27"/>
    </row>
    <row r="21545">
      <c r="S21545" s="27"/>
      <c r="T21545" s="27"/>
      <c r="U21545" s="27"/>
    </row>
    <row r="21547">
      <c r="S21547" s="27"/>
      <c r="T21547" s="27"/>
      <c r="U21547" s="27"/>
    </row>
    <row r="21548">
      <c r="S21548" s="27"/>
      <c r="T21548" s="27"/>
      <c r="U21548" s="27"/>
    </row>
    <row r="21550">
      <c r="S21550" s="27"/>
      <c r="T21550" s="27"/>
      <c r="U21550" s="27"/>
    </row>
    <row r="21551">
      <c r="S21551" s="27"/>
      <c r="T21551" s="27"/>
      <c r="U21551" s="27"/>
    </row>
    <row r="21553">
      <c r="S21553" s="27"/>
      <c r="T21553" s="27"/>
      <c r="U21553" s="27"/>
    </row>
    <row r="21554">
      <c r="S21554" s="27"/>
      <c r="T21554" s="27"/>
      <c r="U21554" s="27"/>
    </row>
    <row r="21556">
      <c r="S21556" s="27"/>
      <c r="T21556" s="27"/>
      <c r="U21556" s="27"/>
    </row>
    <row r="21557">
      <c r="S21557" s="27"/>
      <c r="T21557" s="27"/>
      <c r="U21557" s="27"/>
    </row>
    <row r="21559">
      <c r="S21559" s="27"/>
      <c r="T21559" s="27"/>
      <c r="U21559" s="27"/>
    </row>
    <row r="21560">
      <c r="S21560" s="27"/>
      <c r="T21560" s="27"/>
      <c r="U21560" s="27"/>
    </row>
    <row r="21562">
      <c r="S21562" s="27"/>
      <c r="T21562" s="27"/>
      <c r="U21562" s="27"/>
    </row>
    <row r="21563">
      <c r="S21563" s="27"/>
      <c r="T21563" s="27"/>
      <c r="U21563" s="27"/>
    </row>
    <row r="21565">
      <c r="S21565" s="27"/>
      <c r="T21565" s="27"/>
      <c r="U21565" s="27"/>
    </row>
    <row r="21566">
      <c r="S21566" s="27"/>
      <c r="T21566" s="27"/>
      <c r="U21566" s="27"/>
    </row>
    <row r="21568">
      <c r="S21568" s="27"/>
      <c r="T21568" s="27"/>
      <c r="U21568" s="27"/>
    </row>
    <row r="21569">
      <c r="S21569" s="27"/>
      <c r="T21569" s="27"/>
      <c r="U21569" s="27"/>
    </row>
    <row r="21571">
      <c r="S21571" s="27"/>
      <c r="T21571" s="27"/>
      <c r="U21571" s="27"/>
    </row>
    <row r="21572">
      <c r="S21572" s="27"/>
      <c r="T21572" s="27"/>
      <c r="U21572" s="27"/>
    </row>
    <row r="21574">
      <c r="S21574" s="27"/>
      <c r="T21574" s="27"/>
      <c r="U21574" s="27"/>
    </row>
    <row r="21575">
      <c r="S21575" s="27"/>
      <c r="T21575" s="27"/>
      <c r="U21575" s="27"/>
    </row>
    <row r="21577">
      <c r="S21577" s="27"/>
      <c r="T21577" s="27"/>
      <c r="U21577" s="27"/>
    </row>
    <row r="21578">
      <c r="S21578" s="27"/>
      <c r="T21578" s="27"/>
      <c r="U21578" s="27"/>
    </row>
    <row r="21580">
      <c r="S21580" s="27"/>
      <c r="T21580" s="27"/>
      <c r="U21580" s="27"/>
    </row>
    <row r="21581">
      <c r="S21581" s="27"/>
      <c r="T21581" s="27"/>
      <c r="U21581" s="27"/>
    </row>
    <row r="21583">
      <c r="S21583" s="27"/>
      <c r="T21583" s="27"/>
      <c r="U21583" s="27"/>
    </row>
    <row r="21584">
      <c r="S21584" s="27"/>
      <c r="T21584" s="27"/>
      <c r="U21584" s="27"/>
    </row>
    <row r="21586">
      <c r="S21586" s="27"/>
      <c r="T21586" s="27"/>
      <c r="U21586" s="27"/>
    </row>
    <row r="21587">
      <c r="S21587" s="27"/>
      <c r="T21587" s="27"/>
      <c r="U21587" s="27"/>
    </row>
    <row r="21589">
      <c r="S21589" s="27"/>
      <c r="T21589" s="27"/>
      <c r="U21589" s="27"/>
    </row>
    <row r="21590">
      <c r="S21590" s="27"/>
      <c r="T21590" s="27"/>
      <c r="U21590" s="27"/>
    </row>
    <row r="21592">
      <c r="S21592" s="27"/>
      <c r="T21592" s="27"/>
      <c r="U21592" s="27"/>
    </row>
    <row r="21593">
      <c r="S21593" s="27"/>
      <c r="T21593" s="27"/>
      <c r="U21593" s="27"/>
    </row>
    <row r="21595">
      <c r="S21595" s="27"/>
      <c r="T21595" s="27"/>
      <c r="U21595" s="27"/>
    </row>
    <row r="21596">
      <c r="S21596" s="27"/>
      <c r="T21596" s="27"/>
      <c r="U21596" s="27"/>
    </row>
    <row r="21598">
      <c r="S21598" s="27"/>
      <c r="T21598" s="27"/>
      <c r="U21598" s="27"/>
    </row>
    <row r="21599">
      <c r="S21599" s="27"/>
      <c r="T21599" s="27"/>
      <c r="U21599" s="27"/>
    </row>
    <row r="21601">
      <c r="S21601" s="27"/>
      <c r="T21601" s="27"/>
      <c r="U21601" s="27"/>
    </row>
    <row r="21602">
      <c r="S21602" s="27"/>
      <c r="T21602" s="27"/>
      <c r="U21602" s="27"/>
    </row>
    <row r="21604">
      <c r="S21604" s="27"/>
      <c r="T21604" s="27"/>
      <c r="U21604" s="27"/>
    </row>
    <row r="21605">
      <c r="S21605" s="27"/>
      <c r="T21605" s="27"/>
      <c r="U21605" s="27"/>
    </row>
    <row r="21607">
      <c r="S21607" s="27"/>
      <c r="T21607" s="27"/>
      <c r="U21607" s="27"/>
    </row>
    <row r="21608">
      <c r="S21608" s="27"/>
      <c r="T21608" s="27"/>
      <c r="U21608" s="27"/>
    </row>
    <row r="21610">
      <c r="S21610" s="27"/>
      <c r="T21610" s="27"/>
      <c r="U21610" s="27"/>
    </row>
    <row r="21611">
      <c r="S21611" s="27"/>
      <c r="T21611" s="27"/>
      <c r="U21611" s="27"/>
    </row>
    <row r="21613">
      <c r="S21613" s="27"/>
      <c r="T21613" s="27"/>
      <c r="U21613" s="27"/>
    </row>
    <row r="21614">
      <c r="S21614" s="27"/>
      <c r="T21614" s="27"/>
      <c r="U21614" s="27"/>
    </row>
    <row r="21616">
      <c r="S21616" s="33"/>
      <c r="T21616" s="27"/>
      <c r="U21616" s="27"/>
    </row>
    <row r="21617">
      <c r="S21617" s="27"/>
      <c r="T21617" s="27"/>
      <c r="U21617" s="27"/>
    </row>
    <row r="21619">
      <c r="S21619" s="27"/>
      <c r="T21619" s="27"/>
      <c r="U21619" s="27"/>
    </row>
    <row r="21620">
      <c r="T21620" s="27"/>
      <c r="U21620" s="27"/>
    </row>
    <row r="21622">
      <c r="S21622" s="33"/>
      <c r="T21622" s="33"/>
      <c r="U21622" s="27"/>
    </row>
    <row r="21623">
      <c r="S21623" s="27"/>
      <c r="T21623" s="27"/>
    </row>
    <row r="21625">
      <c r="S21625" s="27"/>
      <c r="T21625" s="27"/>
      <c r="U21625" s="27"/>
    </row>
    <row r="21626">
      <c r="S21626" s="27"/>
      <c r="T21626" s="27"/>
      <c r="U21626" s="27"/>
    </row>
    <row r="21628">
      <c r="S21628" s="27"/>
      <c r="T21628" s="27"/>
      <c r="U21628" s="27"/>
    </row>
    <row r="21629">
      <c r="S21629" s="26"/>
    </row>
    <row r="21631">
      <c r="S21631" s="27"/>
      <c r="T21631" s="27"/>
      <c r="U21631" s="27"/>
    </row>
    <row r="21632">
      <c r="S21632" s="27"/>
      <c r="T21632" s="27"/>
      <c r="U21632" s="27"/>
    </row>
    <row r="21634">
      <c r="S21634" s="27"/>
      <c r="T21634" s="27"/>
      <c r="U21634" s="27"/>
    </row>
    <row r="21635">
      <c r="S21635" s="27"/>
      <c r="T21635" s="27"/>
      <c r="U21635" s="27"/>
    </row>
    <row r="21637">
      <c r="S21637" s="27"/>
      <c r="T21637" s="27"/>
      <c r="U21637" s="27"/>
    </row>
    <row r="21638">
      <c r="S21638" s="27"/>
      <c r="T21638" s="27"/>
      <c r="U21638" s="27"/>
    </row>
    <row r="21643">
      <c r="S21643" s="26"/>
      <c r="T21643" s="26"/>
    </row>
    <row r="21646">
      <c r="T21646" s="27"/>
      <c r="U21646" s="27"/>
    </row>
    <row r="21648">
      <c r="S21648" s="27"/>
      <c r="T21648" s="27"/>
      <c r="U21648" s="27"/>
    </row>
    <row r="21653">
      <c r="S21653" s="27"/>
      <c r="T21653" s="27"/>
      <c r="U21653" s="27"/>
    </row>
    <row r="21656">
      <c r="S21656" s="27"/>
      <c r="T21656" s="27"/>
      <c r="U21656" s="27"/>
    </row>
    <row r="21657">
      <c r="S21657" s="27"/>
      <c r="T21657" s="27"/>
      <c r="U21657" s="27"/>
    </row>
    <row r="21659">
      <c r="S21659" s="27"/>
      <c r="T21659" s="27"/>
      <c r="U21659" s="27"/>
    </row>
    <row r="21660">
      <c r="S21660" s="27"/>
      <c r="T21660" s="27"/>
      <c r="U21660" s="27"/>
    </row>
    <row r="21662">
      <c r="S21662" s="27"/>
      <c r="T21662" s="27"/>
      <c r="U21662" s="27"/>
    </row>
    <row r="21665">
      <c r="S21665" s="26"/>
      <c r="T21665" s="27"/>
      <c r="U21665" s="26"/>
    </row>
    <row r="21666">
      <c r="S21666" s="27"/>
      <c r="T21666" s="26"/>
      <c r="U21666" s="26"/>
    </row>
    <row r="21668">
      <c r="S21668" s="27"/>
      <c r="T21668" s="27"/>
      <c r="U21668" s="27"/>
    </row>
    <row r="21669">
      <c r="S21669" s="27"/>
      <c r="T21669" s="27"/>
      <c r="U21669" s="27"/>
    </row>
    <row r="21675">
      <c r="S21675" s="27"/>
      <c r="T21675" s="27"/>
      <c r="U21675" s="27"/>
    </row>
    <row r="21677">
      <c r="S21677" s="27"/>
      <c r="T21677" s="27"/>
      <c r="U21677" s="27"/>
    </row>
    <row r="21678">
      <c r="S21678" s="27"/>
      <c r="T21678" s="27"/>
      <c r="U21678" s="27"/>
    </row>
    <row r="21680">
      <c r="S21680" s="27"/>
      <c r="T21680" s="27"/>
      <c r="U21680" s="27"/>
    </row>
    <row r="21681">
      <c r="S21681" s="27"/>
      <c r="T21681" s="27"/>
      <c r="U21681" s="27"/>
    </row>
    <row r="21683">
      <c r="S21683" s="33"/>
      <c r="T21683" s="27"/>
      <c r="U21683" s="33"/>
    </row>
    <row r="21689">
      <c r="S21689" s="27"/>
      <c r="T21689" s="27"/>
      <c r="U21689" s="27"/>
    </row>
    <row r="21692">
      <c r="S21692" s="27"/>
      <c r="T21692" s="27"/>
      <c r="U21692" s="27"/>
    </row>
    <row r="21693">
      <c r="S21693" s="27"/>
      <c r="T21693" s="27"/>
      <c r="U21693" s="33"/>
    </row>
    <row r="21695">
      <c r="S21695" s="27"/>
      <c r="T21695" s="27"/>
      <c r="U21695" s="27"/>
    </row>
    <row r="21696">
      <c r="S21696" s="26"/>
      <c r="T21696" s="26"/>
      <c r="U21696" s="26"/>
    </row>
    <row r="21698">
      <c r="S21698" s="27"/>
      <c r="T21698" s="27"/>
      <c r="U21698" s="27"/>
    </row>
    <row r="21699">
      <c r="S21699" s="27"/>
      <c r="T21699" s="27"/>
      <c r="U21699" s="27"/>
    </row>
    <row r="21701">
      <c r="S21701" s="27"/>
      <c r="T21701" s="27"/>
      <c r="U21701" s="27"/>
    </row>
    <row r="21702">
      <c r="S21702" s="27"/>
      <c r="T21702" s="27"/>
      <c r="U21702" s="27"/>
    </row>
    <row r="21704">
      <c r="S21704" s="27"/>
      <c r="T21704" s="27"/>
      <c r="U21704" s="27"/>
    </row>
    <row r="21705">
      <c r="S21705" s="27"/>
      <c r="T21705" s="27"/>
      <c r="U21705" s="27"/>
    </row>
    <row r="21707">
      <c r="S21707" s="27"/>
      <c r="T21707" s="27"/>
      <c r="U21707" s="27"/>
    </row>
    <row r="21708">
      <c r="S21708" s="27"/>
      <c r="T21708" s="27"/>
      <c r="U21708" s="27"/>
    </row>
    <row r="21713">
      <c r="S21713" s="27"/>
      <c r="T21713" s="27"/>
      <c r="U21713" s="27"/>
    </row>
    <row r="21714">
      <c r="S21714" s="27"/>
      <c r="T21714" s="27"/>
      <c r="U21714" s="27"/>
    </row>
    <row r="21716">
      <c r="S21716" s="27"/>
      <c r="T21716" s="27"/>
      <c r="U21716" s="27"/>
    </row>
    <row r="21717">
      <c r="S21717" s="27"/>
      <c r="T21717" s="27"/>
      <c r="U21717" s="27"/>
    </row>
    <row r="21719">
      <c r="S21719" s="27"/>
      <c r="T21719" s="27"/>
      <c r="U21719" s="27"/>
    </row>
    <row r="21722">
      <c r="T21722" s="26"/>
      <c r="U21722" s="27"/>
    </row>
    <row r="21723">
      <c r="S21723" s="27"/>
      <c r="U21723" s="27"/>
    </row>
    <row r="21728">
      <c r="S21728" s="27"/>
      <c r="T21728" s="27"/>
      <c r="U21728" s="27"/>
    </row>
    <row r="21729">
      <c r="S21729" s="27"/>
      <c r="T21729" s="27"/>
      <c r="U21729" s="27"/>
    </row>
    <row r="21731">
      <c r="S21731" s="27"/>
      <c r="T21731" s="27"/>
      <c r="U21731" s="27"/>
    </row>
    <row r="21734">
      <c r="S21734" s="27"/>
      <c r="U21734" s="27"/>
    </row>
    <row r="21735">
      <c r="S21735" s="27"/>
      <c r="T21735" s="27"/>
      <c r="U21735" s="27"/>
    </row>
    <row r="21740">
      <c r="S21740" s="27"/>
      <c r="T21740" s="27"/>
      <c r="U21740" s="27"/>
    </row>
    <row r="21743">
      <c r="S21743" s="27"/>
      <c r="T21743" s="27"/>
      <c r="U21743" s="27"/>
    </row>
    <row r="21744">
      <c r="S21744" s="27"/>
      <c r="T21744" s="27"/>
      <c r="U21744" s="27"/>
    </row>
    <row r="21746">
      <c r="S21746" s="27"/>
      <c r="T21746" s="27"/>
      <c r="U21746" s="27"/>
    </row>
    <row r="21747">
      <c r="S21747" s="27"/>
      <c r="T21747" s="27"/>
      <c r="U21747" s="27"/>
    </row>
    <row r="21749">
      <c r="S21749" s="27"/>
      <c r="T21749" s="27"/>
      <c r="U21749" s="27"/>
    </row>
    <row r="21750">
      <c r="S21750" s="27"/>
      <c r="T21750" s="27"/>
      <c r="U21750" s="27"/>
    </row>
    <row r="21752">
      <c r="S21752" s="26"/>
    </row>
    <row r="21753">
      <c r="S21753" s="26"/>
      <c r="T21753" s="26"/>
      <c r="U21753" s="26"/>
    </row>
    <row r="21755">
      <c r="S21755" s="27"/>
      <c r="T21755" s="27"/>
      <c r="U21755" s="27"/>
    </row>
    <row r="21756">
      <c r="S21756" s="27"/>
      <c r="T21756" s="27"/>
      <c r="U21756" s="27"/>
    </row>
    <row r="21758">
      <c r="S21758" s="27"/>
      <c r="T21758" s="27"/>
      <c r="U21758" s="27"/>
    </row>
    <row r="21759">
      <c r="S21759" s="27"/>
      <c r="T21759" s="27"/>
      <c r="U21759" s="27"/>
    </row>
    <row r="21761">
      <c r="S21761" s="27"/>
      <c r="T21761" s="27"/>
      <c r="U21761" s="27"/>
    </row>
    <row r="21762">
      <c r="S21762" s="27"/>
      <c r="T21762" s="27"/>
      <c r="U21762" s="27"/>
    </row>
    <row r="21764">
      <c r="S21764" s="27"/>
      <c r="T21764" s="27"/>
      <c r="U21764" s="27"/>
    </row>
    <row r="21765">
      <c r="S21765" s="27"/>
      <c r="T21765" s="27"/>
      <c r="U21765" s="27"/>
    </row>
    <row r="21767">
      <c r="S21767" s="27"/>
      <c r="T21767" s="27"/>
      <c r="U21767" s="27"/>
    </row>
    <row r="21768">
      <c r="S21768" s="27"/>
      <c r="T21768" s="27"/>
      <c r="U21768" s="27"/>
    </row>
    <row r="21770">
      <c r="S21770" s="27"/>
      <c r="T21770" s="27"/>
      <c r="U21770" s="27"/>
    </row>
    <row r="21771">
      <c r="S21771" s="27"/>
      <c r="T21771" s="27"/>
      <c r="U21771" s="27"/>
    </row>
    <row r="21773">
      <c r="S21773" s="27"/>
      <c r="T21773" s="27"/>
      <c r="U21773" s="27"/>
    </row>
    <row r="21774">
      <c r="S21774" s="27"/>
      <c r="T21774" s="27"/>
      <c r="U21774" s="27"/>
    </row>
    <row r="21776">
      <c r="S21776" s="27"/>
      <c r="T21776" s="27"/>
      <c r="U21776" s="27"/>
    </row>
    <row r="21777">
      <c r="S21777" s="27"/>
      <c r="T21777" s="27"/>
      <c r="U21777" s="27"/>
    </row>
    <row r="21779">
      <c r="S21779" s="27"/>
      <c r="T21779" s="27"/>
      <c r="U21779" s="27"/>
    </row>
    <row r="21780">
      <c r="S21780" s="27"/>
      <c r="T21780" s="27"/>
      <c r="U21780" s="27"/>
    </row>
    <row r="21782">
      <c r="S21782" s="27"/>
      <c r="T21782" s="27"/>
      <c r="U21782" s="27"/>
    </row>
    <row r="21783">
      <c r="S21783" s="27"/>
      <c r="T21783" s="27"/>
      <c r="U21783" s="27"/>
    </row>
    <row r="21785">
      <c r="S21785" s="27"/>
      <c r="T21785" s="27"/>
      <c r="U21785" s="27"/>
    </row>
    <row r="21786">
      <c r="S21786" s="27"/>
      <c r="T21786" s="27"/>
      <c r="U21786" s="27"/>
    </row>
    <row r="21788">
      <c r="S21788" s="27"/>
      <c r="T21788" s="27"/>
      <c r="U21788" s="27"/>
    </row>
    <row r="21789">
      <c r="S21789" s="27"/>
      <c r="T21789" s="27"/>
      <c r="U21789" s="27"/>
    </row>
    <row r="21791">
      <c r="S21791" s="27"/>
      <c r="T21791" s="27"/>
      <c r="U21791" s="27"/>
    </row>
    <row r="21792">
      <c r="S21792" s="27"/>
      <c r="T21792" s="27"/>
      <c r="U21792" s="27"/>
    </row>
    <row r="21794">
      <c r="S21794" s="27"/>
      <c r="T21794" s="27"/>
      <c r="U21794" s="27"/>
    </row>
    <row r="21795">
      <c r="S21795" s="27"/>
      <c r="T21795" s="27"/>
      <c r="U21795" s="27"/>
    </row>
    <row r="21797">
      <c r="S21797" s="27"/>
      <c r="T21797" s="27"/>
      <c r="U21797" s="27"/>
    </row>
    <row r="21798">
      <c r="S21798" s="27"/>
      <c r="T21798" s="27"/>
      <c r="U21798" s="27"/>
    </row>
    <row r="21800">
      <c r="S21800" s="27"/>
      <c r="T21800" s="27"/>
      <c r="U21800" s="27"/>
    </row>
    <row r="21801">
      <c r="S21801" s="27"/>
      <c r="T21801" s="27"/>
      <c r="U21801" s="27"/>
    </row>
    <row r="21803">
      <c r="S21803" s="27"/>
      <c r="T21803" s="27"/>
      <c r="U21803" s="27"/>
    </row>
    <row r="21804">
      <c r="S21804" s="27"/>
      <c r="T21804" s="27"/>
      <c r="U21804" s="27"/>
    </row>
    <row r="21806">
      <c r="S21806" s="27"/>
      <c r="T21806" s="27"/>
      <c r="U21806" s="27"/>
    </row>
    <row r="21807">
      <c r="S21807" s="27"/>
      <c r="T21807" s="27"/>
      <c r="U21807" s="27"/>
    </row>
    <row r="21809">
      <c r="S21809" s="27"/>
      <c r="T21809" s="27"/>
      <c r="U21809" s="27"/>
    </row>
    <row r="21810">
      <c r="S21810" s="27"/>
      <c r="T21810" s="27"/>
      <c r="U21810" s="27"/>
    </row>
    <row r="21812">
      <c r="S21812" s="27"/>
      <c r="T21812" s="27"/>
      <c r="U21812" s="27"/>
    </row>
    <row r="21813">
      <c r="S21813" s="27"/>
      <c r="T21813" s="27"/>
      <c r="U21813" s="27"/>
    </row>
    <row r="21815">
      <c r="S21815" s="27"/>
      <c r="T21815" s="27"/>
      <c r="U21815" s="27"/>
    </row>
    <row r="21816">
      <c r="S21816" s="27"/>
      <c r="T21816" s="27"/>
      <c r="U21816" s="27"/>
    </row>
    <row r="21818">
      <c r="S21818" s="27"/>
      <c r="T21818" s="27"/>
      <c r="U21818" s="27"/>
    </row>
    <row r="21819">
      <c r="S21819" s="27"/>
      <c r="T21819" s="27"/>
      <c r="U21819" s="27"/>
    </row>
    <row r="21821">
      <c r="S21821" s="27"/>
      <c r="T21821" s="27"/>
      <c r="U21821" s="27"/>
    </row>
    <row r="21822">
      <c r="S21822" s="27"/>
      <c r="T21822" s="27"/>
      <c r="U21822" s="27"/>
    </row>
    <row r="21824">
      <c r="T21824" s="26"/>
      <c r="U21824" s="27"/>
    </row>
    <row r="21825">
      <c r="T21825" s="26"/>
      <c r="U21825" s="27"/>
    </row>
    <row r="21827">
      <c r="S21827" s="27"/>
      <c r="T21827" s="27"/>
      <c r="U21827" s="27"/>
    </row>
    <row r="21828">
      <c r="S21828" s="27"/>
      <c r="T21828" s="27"/>
      <c r="U21828" s="27"/>
    </row>
    <row r="21830">
      <c r="S21830" s="27"/>
      <c r="T21830" s="27"/>
      <c r="U21830" s="27"/>
    </row>
    <row r="21831">
      <c r="S21831" s="27"/>
      <c r="T21831" s="27"/>
      <c r="U21831" s="27"/>
    </row>
    <row r="21833">
      <c r="S21833" s="27"/>
      <c r="T21833" s="27"/>
      <c r="U21833" s="27"/>
    </row>
    <row r="21834">
      <c r="S21834" s="27"/>
      <c r="T21834" s="27"/>
      <c r="U21834" s="27"/>
    </row>
    <row r="21836">
      <c r="S21836" s="27"/>
      <c r="T21836" s="27"/>
      <c r="U21836" s="27"/>
    </row>
    <row r="21837">
      <c r="S21837" s="27"/>
      <c r="T21837" s="27"/>
      <c r="U21837" s="27"/>
    </row>
    <row r="21839">
      <c r="S21839" s="27"/>
      <c r="T21839" s="27"/>
      <c r="U21839" s="27"/>
    </row>
    <row r="21840">
      <c r="S21840" s="27"/>
      <c r="T21840" s="27"/>
      <c r="U21840" s="27"/>
    </row>
    <row r="21842">
      <c r="S21842" s="27"/>
      <c r="T21842" s="27"/>
      <c r="U21842" s="27"/>
    </row>
    <row r="21843">
      <c r="S21843" s="27"/>
      <c r="T21843" s="27"/>
      <c r="U21843" s="27"/>
    </row>
    <row r="21845">
      <c r="S21845" s="27"/>
      <c r="T21845" s="27"/>
      <c r="U21845" s="27"/>
    </row>
    <row r="21846">
      <c r="S21846" s="27"/>
      <c r="T21846" s="27"/>
      <c r="U21846" s="27"/>
    </row>
    <row r="21848">
      <c r="S21848" s="27"/>
      <c r="T21848" s="27"/>
      <c r="U21848" s="27"/>
    </row>
    <row r="21849">
      <c r="S21849" s="27"/>
      <c r="T21849" s="27"/>
      <c r="U21849" s="27"/>
    </row>
    <row r="21851">
      <c r="S21851" s="27"/>
      <c r="T21851" s="27"/>
      <c r="U21851" s="27"/>
    </row>
    <row r="21853">
      <c r="S21853" s="27"/>
      <c r="T21853" s="27"/>
      <c r="U21853" s="27"/>
    </row>
    <row r="21854">
      <c r="S21854" s="27"/>
      <c r="T21854" s="27"/>
      <c r="U21854" s="27"/>
    </row>
    <row r="21856">
      <c r="S21856" s="27"/>
      <c r="T21856" s="27"/>
      <c r="U21856" s="27"/>
    </row>
    <row r="21857">
      <c r="S21857" s="27"/>
      <c r="T21857" s="27"/>
      <c r="U21857" s="27"/>
    </row>
    <row r="21859">
      <c r="S21859" s="27"/>
      <c r="T21859" s="27"/>
      <c r="U21859" s="27"/>
    </row>
    <row r="21860">
      <c r="S21860" s="27"/>
      <c r="T21860" s="27"/>
      <c r="U21860" s="27"/>
    </row>
    <row r="21862">
      <c r="S21862" s="27"/>
      <c r="T21862" s="27"/>
      <c r="U21862" s="27"/>
    </row>
    <row r="21863">
      <c r="S21863" s="27"/>
      <c r="T21863" s="27"/>
      <c r="U21863" s="27"/>
    </row>
    <row r="21865">
      <c r="S21865" s="27"/>
      <c r="T21865" s="27"/>
      <c r="U21865" s="27"/>
    </row>
    <row r="21866">
      <c r="S21866" s="27"/>
      <c r="T21866" s="27"/>
      <c r="U21866" s="27"/>
    </row>
    <row r="21868">
      <c r="S21868" s="27"/>
      <c r="T21868" s="27"/>
      <c r="U21868" s="27"/>
    </row>
    <row r="21869">
      <c r="S21869" s="27"/>
      <c r="T21869" s="27"/>
      <c r="U21869" s="27"/>
    </row>
    <row r="21871">
      <c r="S21871" s="27"/>
      <c r="T21871" s="27"/>
      <c r="U21871" s="27"/>
    </row>
    <row r="21872">
      <c r="S21872" s="27"/>
      <c r="T21872" s="27"/>
      <c r="U21872" s="27"/>
    </row>
    <row r="21874">
      <c r="S21874" s="27"/>
      <c r="T21874" s="27"/>
      <c r="U21874" s="27"/>
    </row>
    <row r="21876">
      <c r="S21876" s="27"/>
      <c r="T21876" s="27"/>
      <c r="U21876" s="27"/>
    </row>
    <row r="21880">
      <c r="S21880" s="27"/>
      <c r="T21880" s="27"/>
      <c r="U21880" s="27"/>
    </row>
    <row r="21882">
      <c r="S21882" s="27"/>
      <c r="T21882" s="27"/>
      <c r="U21882" s="27"/>
    </row>
    <row r="21883">
      <c r="S21883" s="27"/>
      <c r="T21883" s="27"/>
      <c r="U21883" s="27"/>
    </row>
    <row r="21885">
      <c r="S21885" s="27"/>
      <c r="T21885" s="27"/>
      <c r="U21885" s="27"/>
    </row>
    <row r="21886">
      <c r="S21886" s="27"/>
      <c r="T21886" s="27"/>
      <c r="U21886" s="27"/>
    </row>
    <row r="21888">
      <c r="S21888" s="27"/>
      <c r="T21888" s="27"/>
      <c r="U21888" s="27"/>
    </row>
    <row r="21889">
      <c r="S21889" s="27"/>
      <c r="T21889" s="27"/>
      <c r="U21889" s="27"/>
    </row>
    <row r="21891">
      <c r="S21891" s="27"/>
      <c r="T21891" s="27"/>
      <c r="U21891" s="27"/>
    </row>
    <row r="21892">
      <c r="S21892" s="27"/>
      <c r="T21892" s="27"/>
      <c r="U21892" s="27"/>
    </row>
    <row r="21894">
      <c r="S21894" s="27"/>
      <c r="T21894" s="27"/>
      <c r="U21894" s="27"/>
    </row>
    <row r="21895">
      <c r="S21895" s="27"/>
      <c r="T21895" s="27"/>
      <c r="U21895" s="27"/>
    </row>
    <row r="21897">
      <c r="S21897" s="27"/>
      <c r="T21897" s="27"/>
      <c r="U21897" s="27"/>
    </row>
    <row r="21898">
      <c r="S21898" s="27"/>
      <c r="T21898" s="27"/>
      <c r="U21898" s="27"/>
    </row>
    <row r="21903">
      <c r="S21903" s="26"/>
      <c r="T21903" s="26"/>
      <c r="U21903" s="26"/>
    </row>
    <row r="21906">
      <c r="S21906" s="27"/>
      <c r="T21906" s="27"/>
      <c r="U21906" s="27"/>
    </row>
    <row r="21909">
      <c r="S21909" s="27"/>
      <c r="T21909" s="27"/>
      <c r="U21909" s="27"/>
    </row>
    <row r="21910">
      <c r="S21910" s="27"/>
      <c r="T21910" s="27"/>
      <c r="U21910" s="27"/>
    </row>
    <row r="21912">
      <c r="S21912" s="27"/>
      <c r="T21912" s="27"/>
      <c r="U21912" s="27"/>
    </row>
    <row r="21913">
      <c r="S21913" s="27"/>
      <c r="T21913" s="27"/>
      <c r="U21913" s="27"/>
    </row>
    <row r="21915">
      <c r="S21915" s="27"/>
      <c r="T21915" s="27"/>
      <c r="U21915" s="27"/>
    </row>
    <row r="21916">
      <c r="S21916" s="27"/>
      <c r="T21916" s="27"/>
      <c r="U21916" s="27"/>
    </row>
    <row r="21918">
      <c r="U21918" s="26"/>
    </row>
    <row r="21921">
      <c r="S21921" s="27"/>
      <c r="T21921" s="27"/>
      <c r="U21921" s="27"/>
    </row>
    <row r="21922">
      <c r="S21922" s="27"/>
      <c r="T21922" s="27"/>
      <c r="U21922" s="27"/>
    </row>
    <row r="21924">
      <c r="S21924" s="27"/>
      <c r="T21924" s="27"/>
      <c r="U21924" s="27"/>
    </row>
    <row r="21925">
      <c r="S21925" s="27"/>
      <c r="T21925" s="27"/>
      <c r="U21925" s="27"/>
    </row>
    <row r="21927">
      <c r="S21927" s="27"/>
      <c r="T21927" s="27"/>
      <c r="U21927" s="27"/>
    </row>
    <row r="21928">
      <c r="S21928" s="27"/>
      <c r="T21928" s="27"/>
      <c r="U21928" s="27"/>
    </row>
    <row r="21930">
      <c r="S21930" s="27"/>
      <c r="T21930" s="27"/>
      <c r="U21930" s="27"/>
    </row>
    <row r="21933">
      <c r="S21933" s="26"/>
      <c r="T21933" s="26"/>
      <c r="U21933" s="26"/>
    </row>
    <row r="21936">
      <c r="S21936" s="27"/>
      <c r="T21936" s="27"/>
      <c r="U21936" s="27"/>
    </row>
    <row r="21937">
      <c r="S21937" s="27"/>
      <c r="T21937" s="27"/>
      <c r="U21937" s="27"/>
    </row>
    <row r="21939">
      <c r="S21939" s="27"/>
      <c r="T21939" s="27"/>
      <c r="U21939" s="27"/>
    </row>
    <row r="21940">
      <c r="S21940" s="27"/>
      <c r="T21940" s="27"/>
      <c r="U21940" s="27"/>
    </row>
    <row r="21942">
      <c r="S21942" s="26"/>
      <c r="T21942" s="26"/>
      <c r="U21942" s="26"/>
    </row>
    <row r="21945">
      <c r="S21945" s="26"/>
      <c r="U21945" s="27"/>
    </row>
    <row r="21948">
      <c r="S21948" s="27"/>
      <c r="T21948" s="27"/>
      <c r="U21948" s="27"/>
    </row>
    <row r="21951">
      <c r="S21951" s="27"/>
      <c r="T21951" s="27"/>
      <c r="U21951" s="27"/>
    </row>
    <row r="21952">
      <c r="S21952" s="27"/>
      <c r="T21952" s="27"/>
      <c r="U21952" s="27"/>
    </row>
    <row r="21954">
      <c r="S21954" s="27"/>
      <c r="T21954" s="27"/>
      <c r="U21954" s="27"/>
    </row>
    <row r="21955">
      <c r="S21955" s="27"/>
      <c r="T21955" s="27"/>
      <c r="U21955" s="27"/>
    </row>
    <row r="21957">
      <c r="S21957" s="27"/>
      <c r="T21957" s="27"/>
      <c r="U21957" s="27"/>
    </row>
    <row r="21958">
      <c r="S21958" s="27"/>
      <c r="T21958" s="27"/>
      <c r="U21958" s="27"/>
    </row>
    <row r="21960">
      <c r="S21960" s="27"/>
      <c r="T21960" s="27"/>
      <c r="U21960" s="27"/>
    </row>
    <row r="21961">
      <c r="S21961" s="27"/>
      <c r="T21961" s="27"/>
      <c r="U21961" s="27"/>
    </row>
    <row r="21963">
      <c r="S21963" s="27"/>
      <c r="T21963" s="27"/>
      <c r="U21963" s="27"/>
    </row>
    <row r="21964">
      <c r="S21964" s="27"/>
      <c r="T21964" s="27"/>
      <c r="U21964" s="27"/>
    </row>
    <row r="21966">
      <c r="S21966" s="27"/>
      <c r="T21966" s="27"/>
      <c r="U21966" s="27"/>
    </row>
    <row r="21967">
      <c r="S21967" s="27"/>
      <c r="T21967" s="27"/>
      <c r="U21967" s="27"/>
    </row>
    <row r="21969">
      <c r="S21969" s="27"/>
      <c r="T21969" s="27"/>
      <c r="U21969" s="27"/>
    </row>
    <row r="21970">
      <c r="S21970" s="27"/>
      <c r="T21970" s="27"/>
      <c r="U21970" s="27"/>
    </row>
    <row r="21972">
      <c r="S21972" s="27"/>
      <c r="T21972" s="27"/>
      <c r="U21972" s="27"/>
    </row>
    <row r="21973">
      <c r="S21973" s="27"/>
      <c r="T21973" s="27"/>
      <c r="U21973" s="27"/>
    </row>
    <row r="21975">
      <c r="S21975" s="27"/>
      <c r="T21975" s="27"/>
      <c r="U21975" s="27"/>
    </row>
    <row r="21976">
      <c r="S21976" s="27"/>
      <c r="T21976" s="27"/>
      <c r="U21976" s="27"/>
    </row>
    <row r="21978">
      <c r="S21978" s="27"/>
      <c r="T21978" s="27"/>
      <c r="U21978" s="27"/>
    </row>
    <row r="21979">
      <c r="S21979" s="27"/>
      <c r="T21979" s="27"/>
      <c r="U21979" s="27"/>
    </row>
    <row r="21981">
      <c r="S21981" s="27"/>
      <c r="T21981" s="27"/>
      <c r="U21981" s="27"/>
    </row>
    <row r="21982">
      <c r="S21982" s="27"/>
      <c r="T21982" s="27"/>
      <c r="U21982" s="27"/>
    </row>
    <row r="21984">
      <c r="S21984" s="27"/>
      <c r="T21984" s="27"/>
      <c r="U21984" s="27"/>
    </row>
    <row r="21985">
      <c r="S21985" s="27"/>
      <c r="T21985" s="27"/>
      <c r="U21985" s="27"/>
    </row>
    <row r="21987">
      <c r="S21987" s="27"/>
      <c r="T21987" s="27"/>
      <c r="U21987" s="27"/>
    </row>
    <row r="21988">
      <c r="S21988" s="27"/>
      <c r="T21988" s="27"/>
      <c r="U21988" s="27"/>
    </row>
    <row r="21990">
      <c r="S21990" s="33"/>
      <c r="T21990" s="33"/>
      <c r="U21990" s="27"/>
    </row>
    <row r="21991">
      <c r="S21991" s="33"/>
      <c r="T21991" s="33"/>
      <c r="U21991" s="27"/>
    </row>
    <row r="21993">
      <c r="S21993" s="27"/>
      <c r="T21993" s="27"/>
      <c r="U21993" s="27"/>
    </row>
    <row r="21994">
      <c r="S21994" s="27"/>
      <c r="T21994" s="27"/>
      <c r="U21994" s="27"/>
    </row>
    <row r="21996">
      <c r="S21996" s="33"/>
      <c r="T21996" s="33"/>
      <c r="U21996" s="27"/>
    </row>
    <row r="21997">
      <c r="S21997" s="33"/>
      <c r="T21997" s="33"/>
      <c r="U21997" s="27"/>
    </row>
    <row r="21999">
      <c r="S21999" s="27"/>
      <c r="T21999" s="27"/>
      <c r="U21999" s="27"/>
    </row>
    <row r="22000">
      <c r="S22000" s="27"/>
      <c r="T22000" s="27"/>
      <c r="U22000" s="27"/>
    </row>
    <row r="22002">
      <c r="U22002" s="27"/>
    </row>
    <row r="22003">
      <c r="U22003" s="27"/>
    </row>
    <row r="22005">
      <c r="S22005" s="27"/>
      <c r="T22005" s="27"/>
      <c r="U22005" s="27"/>
    </row>
    <row r="22006">
      <c r="S22006" s="27"/>
      <c r="T22006" s="27"/>
      <c r="U22006" s="27"/>
    </row>
    <row r="22008">
      <c r="S22008" s="27"/>
      <c r="T22008" s="27"/>
      <c r="U22008" s="27"/>
    </row>
    <row r="22009">
      <c r="S22009" s="27"/>
      <c r="T22009" s="27"/>
      <c r="U22009" s="27"/>
    </row>
    <row r="22011">
      <c r="S22011" s="27"/>
      <c r="T22011" s="27"/>
      <c r="U22011" s="27"/>
    </row>
    <row r="22012">
      <c r="S22012" s="27"/>
      <c r="T22012" s="27"/>
      <c r="U22012" s="27"/>
    </row>
    <row r="22014">
      <c r="S22014" s="27"/>
      <c r="T22014" s="27"/>
      <c r="U22014" s="27"/>
    </row>
    <row r="22015">
      <c r="S22015" s="27"/>
      <c r="T22015" s="27"/>
      <c r="U22015" s="27"/>
    </row>
    <row r="22017">
      <c r="S22017" s="27"/>
      <c r="T22017" s="27"/>
      <c r="U22017" s="27"/>
    </row>
    <row r="22018">
      <c r="S22018" s="27"/>
      <c r="T22018" s="27"/>
      <c r="U22018" s="27"/>
    </row>
    <row r="22023">
      <c r="S22023" s="27"/>
      <c r="T22023" s="27"/>
      <c r="U22023" s="27"/>
    </row>
    <row r="22024">
      <c r="S22024" s="27"/>
      <c r="T22024" s="27"/>
      <c r="U22024" s="27"/>
    </row>
    <row r="22026">
      <c r="S22026" s="27"/>
      <c r="T22026" s="27"/>
      <c r="U22026" s="27"/>
    </row>
    <row r="22029">
      <c r="S22029" s="33"/>
      <c r="T22029" s="33"/>
    </row>
    <row r="22030">
      <c r="S22030" s="27"/>
      <c r="T22030" s="27"/>
    </row>
    <row r="22033">
      <c r="S22033" s="27"/>
      <c r="T22033" s="27"/>
      <c r="U22033" s="27"/>
    </row>
    <row r="22035">
      <c r="S22035" s="27"/>
      <c r="T22035" s="27"/>
      <c r="U22035" s="27"/>
    </row>
    <row r="22036">
      <c r="S22036" s="26"/>
      <c r="T22036" s="26"/>
      <c r="U22036" s="26"/>
    </row>
    <row r="22038">
      <c r="T22038" s="27"/>
    </row>
    <row r="22039">
      <c r="S22039" s="27"/>
      <c r="T22039" s="27"/>
      <c r="U22039" s="27"/>
    </row>
    <row r="22041">
      <c r="S22041" s="27"/>
      <c r="T22041" s="27"/>
      <c r="U22041" s="27"/>
    </row>
    <row r="22042">
      <c r="S22042" s="27"/>
      <c r="T22042" s="27"/>
      <c r="U22042" s="27"/>
    </row>
    <row r="22044">
      <c r="S22044" s="27"/>
      <c r="T22044" s="27"/>
      <c r="U22044" s="27"/>
    </row>
    <row r="22045">
      <c r="S22045" s="27"/>
      <c r="T22045" s="27"/>
      <c r="U22045" s="27"/>
    </row>
    <row r="22047">
      <c r="S22047" s="26"/>
    </row>
    <row r="22050">
      <c r="S22050" s="26"/>
      <c r="T22050" s="26"/>
      <c r="U22050" s="26"/>
    </row>
    <row r="22053">
      <c r="S22053" s="27"/>
      <c r="T22053" s="27"/>
      <c r="U22053" s="27"/>
    </row>
    <row r="22055">
      <c r="S22055" s="27"/>
      <c r="T22055" s="27"/>
      <c r="U22055" s="27"/>
    </row>
    <row r="22057">
      <c r="S22057" s="26"/>
      <c r="T22057" s="26"/>
      <c r="U22057" s="26"/>
    </row>
    <row r="22060">
      <c r="S22060" s="27"/>
      <c r="T22060" s="27"/>
      <c r="U22060" s="27"/>
    </row>
    <row r="22063">
      <c r="S22063" s="27"/>
      <c r="T22063" s="27"/>
      <c r="U22063" s="27"/>
    </row>
    <row r="22064">
      <c r="S22064" s="27"/>
      <c r="T22064" s="27"/>
      <c r="U22064" s="27"/>
    </row>
    <row r="22066">
      <c r="S22066" s="27"/>
      <c r="T22066" s="27"/>
      <c r="U22066" s="27"/>
    </row>
    <row r="22067">
      <c r="S22067" s="27"/>
      <c r="T22067" s="27"/>
      <c r="U22067" s="27"/>
    </row>
    <row r="22069">
      <c r="S22069" s="27"/>
      <c r="T22069" s="33"/>
      <c r="U22069" s="27"/>
    </row>
    <row r="22070">
      <c r="S22070" s="27"/>
      <c r="T22070" s="27"/>
      <c r="U22070" s="27"/>
    </row>
    <row r="22072">
      <c r="S22072" s="27"/>
      <c r="T22072" s="27"/>
      <c r="U22072" s="27"/>
    </row>
    <row r="22073">
      <c r="S22073" s="27"/>
      <c r="T22073" s="26"/>
      <c r="U22073" s="27"/>
    </row>
    <row r="22075">
      <c r="S22075" s="27"/>
      <c r="T22075" s="27"/>
      <c r="U22075" s="27"/>
    </row>
    <row r="22076">
      <c r="S22076" s="27"/>
      <c r="T22076" s="27"/>
      <c r="U22076" s="27"/>
    </row>
    <row r="22078">
      <c r="S22078" s="26"/>
      <c r="T22078" s="26"/>
      <c r="U22078" s="26"/>
    </row>
    <row r="22081">
      <c r="S22081" s="27"/>
      <c r="T22081" s="27"/>
      <c r="U22081" s="27"/>
    </row>
    <row r="22082">
      <c r="S22082" s="27"/>
      <c r="T22082" s="27"/>
      <c r="U22082" s="27"/>
    </row>
    <row r="22084">
      <c r="S22084" s="27"/>
      <c r="T22084" s="27"/>
      <c r="U22084" s="27"/>
    </row>
    <row r="22085">
      <c r="S22085" s="27"/>
      <c r="T22085" s="27"/>
      <c r="U22085" s="27"/>
    </row>
    <row r="22087">
      <c r="S22087" s="27"/>
      <c r="T22087" s="27"/>
      <c r="U22087" s="27"/>
    </row>
    <row r="22088">
      <c r="S22088" s="27"/>
      <c r="T22088" s="27"/>
      <c r="U22088" s="27"/>
    </row>
    <row r="22090">
      <c r="S22090" s="33"/>
      <c r="T22090" s="33"/>
      <c r="U22090" s="33"/>
    </row>
    <row r="22096">
      <c r="S22096" s="27"/>
      <c r="T22096" s="27"/>
      <c r="U22096" s="27"/>
    </row>
    <row r="22099">
      <c r="S22099" s="27"/>
      <c r="T22099" s="27"/>
      <c r="U22099" s="27"/>
    </row>
    <row r="22100">
      <c r="S22100" s="27"/>
      <c r="T22100" s="27"/>
      <c r="U22100" s="27"/>
    </row>
    <row r="22103">
      <c r="S22103" s="26"/>
      <c r="T22103" s="26"/>
      <c r="U22103" s="26"/>
    </row>
    <row r="22105">
      <c r="S22105" s="27"/>
      <c r="T22105" s="27"/>
      <c r="U22105" s="27"/>
    </row>
    <row r="22106">
      <c r="S22106" s="27"/>
      <c r="T22106" s="27"/>
      <c r="U22106" s="27"/>
    </row>
    <row r="22108">
      <c r="S22108" s="27"/>
      <c r="T22108" s="27"/>
      <c r="U22108" s="27"/>
    </row>
    <row r="22109">
      <c r="S22109" s="27"/>
      <c r="T22109" s="27"/>
      <c r="U22109" s="27"/>
    </row>
    <row r="22111">
      <c r="S22111" s="27"/>
      <c r="T22111" s="27"/>
      <c r="U22111" s="27"/>
    </row>
    <row r="22112">
      <c r="S22112" s="27"/>
      <c r="T22112" s="27"/>
      <c r="U22112" s="27"/>
    </row>
    <row r="22120">
      <c r="S22120" s="27"/>
      <c r="T22120" s="27"/>
      <c r="U22120" s="27"/>
    </row>
    <row r="22121">
      <c r="S22121" s="27"/>
      <c r="T22121" s="27"/>
      <c r="U22121" s="27"/>
    </row>
    <row r="22124">
      <c r="S22124" s="27"/>
      <c r="T22124" s="27"/>
      <c r="U22124" s="27"/>
    </row>
    <row r="22126">
      <c r="S22126" s="27"/>
      <c r="T22126" s="27"/>
      <c r="U22126" s="27"/>
    </row>
    <row r="22129">
      <c r="T22129" s="27"/>
    </row>
    <row r="22130">
      <c r="S22130" s="27"/>
      <c r="T22130" s="27"/>
    </row>
    <row r="22132">
      <c r="S22132" s="27"/>
      <c r="T22132" s="27"/>
      <c r="U22132" s="27"/>
    </row>
    <row r="22133">
      <c r="S22133" s="27"/>
      <c r="T22133" s="27"/>
      <c r="U22133" s="27"/>
    </row>
    <row r="22135">
      <c r="S22135" s="27"/>
      <c r="T22135" s="27"/>
      <c r="U22135" s="27"/>
    </row>
    <row r="22136">
      <c r="S22136" s="27"/>
      <c r="T22136" s="27"/>
      <c r="U22136" s="27"/>
    </row>
    <row r="22138">
      <c r="S22138" s="27"/>
      <c r="T22138" s="27"/>
      <c r="U22138" s="27"/>
    </row>
    <row r="22139">
      <c r="S22139" s="26"/>
      <c r="T22139" s="26"/>
      <c r="U22139" s="26"/>
    </row>
    <row r="22141">
      <c r="S22141" s="27"/>
      <c r="T22141" s="27"/>
      <c r="U22141" s="27"/>
    </row>
    <row r="22142">
      <c r="S22142" s="27"/>
      <c r="T22142" s="27"/>
      <c r="U22142" s="27"/>
    </row>
    <row r="22144">
      <c r="S22144" s="26"/>
      <c r="T22144" s="26"/>
      <c r="U22144" s="26"/>
    </row>
    <row r="22147">
      <c r="S22147" s="27"/>
      <c r="T22147" s="27"/>
      <c r="U22147" s="27"/>
    </row>
    <row r="22150">
      <c r="S22150" s="27"/>
      <c r="T22150" s="27"/>
      <c r="U22150" s="27"/>
    </row>
    <row r="22151">
      <c r="S22151" s="27"/>
      <c r="T22151" s="27"/>
      <c r="U22151" s="27"/>
    </row>
    <row r="22153">
      <c r="S22153" s="27"/>
      <c r="T22153" s="27"/>
      <c r="U22153" s="27"/>
    </row>
    <row r="22154">
      <c r="S22154" s="27"/>
      <c r="T22154" s="27"/>
      <c r="U22154" s="27"/>
    </row>
    <row r="22156">
      <c r="S22156" s="27"/>
      <c r="T22156" s="27"/>
      <c r="U22156" s="27"/>
    </row>
    <row r="22157">
      <c r="S22157" s="27"/>
      <c r="T22157" s="27"/>
      <c r="U22157" s="27"/>
    </row>
    <row r="22159">
      <c r="S22159" s="27"/>
    </row>
    <row r="22160">
      <c r="S22160" s="26"/>
      <c r="T22160" s="26"/>
      <c r="U22160" s="26"/>
    </row>
    <row r="22162">
      <c r="S22162" s="27"/>
      <c r="T22162" s="27"/>
      <c r="U22162" s="27"/>
    </row>
    <row r="22163">
      <c r="S22163" s="27"/>
      <c r="T22163" s="27"/>
      <c r="U22163" s="27"/>
    </row>
    <row r="22165">
      <c r="S22165" s="27"/>
      <c r="T22165" s="27"/>
      <c r="U22165" s="27"/>
    </row>
    <row r="22166">
      <c r="S22166" s="27"/>
      <c r="T22166" s="27"/>
      <c r="U22166" s="27"/>
    </row>
    <row r="22168">
      <c r="S22168" s="27"/>
      <c r="T22168" s="27"/>
      <c r="U22168" s="27"/>
    </row>
    <row r="22169">
      <c r="S22169" s="27"/>
      <c r="T22169" s="27"/>
      <c r="U22169" s="27"/>
    </row>
    <row r="22171">
      <c r="S22171" s="27"/>
      <c r="T22171" s="27"/>
      <c r="U22171" s="27"/>
    </row>
    <row r="22172">
      <c r="S22172" s="27"/>
      <c r="T22172" s="27"/>
      <c r="U22172" s="27"/>
    </row>
    <row r="22174">
      <c r="S22174" s="27"/>
      <c r="T22174" s="27"/>
      <c r="U22174" s="27"/>
    </row>
    <row r="22175">
      <c r="S22175" s="27"/>
      <c r="T22175" s="27"/>
      <c r="U22175" s="27"/>
    </row>
    <row r="22177">
      <c r="S22177" s="27"/>
      <c r="T22177" s="27"/>
      <c r="U22177" s="27"/>
    </row>
    <row r="22178">
      <c r="S22178" s="27"/>
      <c r="T22178" s="27"/>
      <c r="U22178" s="27"/>
    </row>
    <row r="22180">
      <c r="S22180" s="27"/>
      <c r="T22180" s="27"/>
      <c r="U22180" s="27"/>
    </row>
    <row r="22181">
      <c r="S22181" s="27"/>
      <c r="T22181" s="27"/>
      <c r="U22181" s="27"/>
    </row>
    <row r="22183">
      <c r="S22183" s="27"/>
      <c r="T22183" s="27"/>
      <c r="U22183" s="27"/>
    </row>
    <row r="22184">
      <c r="S22184" s="27"/>
      <c r="T22184" s="27"/>
      <c r="U22184" s="27"/>
    </row>
    <row r="22186">
      <c r="S22186" s="27"/>
      <c r="T22186" s="27"/>
      <c r="U22186" s="27"/>
    </row>
    <row r="22187">
      <c r="S22187" s="27"/>
      <c r="T22187" s="27"/>
      <c r="U22187" s="27"/>
    </row>
    <row r="22189">
      <c r="S22189" s="27"/>
      <c r="T22189" s="27"/>
      <c r="U22189" s="27"/>
    </row>
    <row r="22190">
      <c r="S22190" s="27"/>
      <c r="T22190" s="27"/>
      <c r="U22190" s="27"/>
    </row>
    <row r="22192">
      <c r="S22192" s="27"/>
      <c r="T22192" s="27"/>
      <c r="U22192" s="27"/>
    </row>
    <row r="22193">
      <c r="S22193" s="27"/>
      <c r="T22193" s="27"/>
      <c r="U22193" s="27"/>
    </row>
    <row r="22195">
      <c r="S22195" s="27"/>
      <c r="T22195" s="27"/>
      <c r="U22195" s="27"/>
    </row>
    <row r="22196">
      <c r="S22196" s="27"/>
      <c r="T22196" s="27"/>
      <c r="U22196" s="27"/>
    </row>
    <row r="22198">
      <c r="S22198" s="27"/>
      <c r="T22198" s="27"/>
      <c r="U22198" s="27"/>
    </row>
    <row r="22199">
      <c r="S22199" s="27"/>
      <c r="T22199" s="27"/>
      <c r="U22199" s="27"/>
    </row>
    <row r="22201">
      <c r="S22201" s="27"/>
      <c r="T22201" s="27"/>
      <c r="U22201" s="27"/>
    </row>
    <row r="22202">
      <c r="S22202" s="27"/>
      <c r="T22202" s="27"/>
      <c r="U22202" s="27"/>
    </row>
    <row r="22204">
      <c r="S22204" s="27"/>
      <c r="T22204" s="27"/>
      <c r="U22204" s="27"/>
    </row>
    <row r="22205">
      <c r="S22205" s="27"/>
      <c r="T22205" s="27"/>
      <c r="U22205" s="27"/>
    </row>
    <row r="22207">
      <c r="S22207" s="27"/>
      <c r="T22207" s="27"/>
      <c r="U22207" s="27"/>
    </row>
    <row r="22208">
      <c r="S22208" s="27"/>
      <c r="T22208" s="27"/>
      <c r="U22208" s="27"/>
    </row>
    <row r="22210">
      <c r="S22210" s="27"/>
      <c r="T22210" s="27"/>
      <c r="U22210" s="27"/>
    </row>
    <row r="22211">
      <c r="S22211" s="27"/>
      <c r="T22211" s="27"/>
      <c r="U22211" s="27"/>
    </row>
    <row r="22213">
      <c r="S22213" s="27"/>
      <c r="T22213" s="27"/>
      <c r="U22213" s="27"/>
    </row>
    <row r="22214">
      <c r="S22214" s="27"/>
      <c r="T22214" s="27"/>
      <c r="U22214" s="27"/>
    </row>
    <row r="22216">
      <c r="S22216" s="27"/>
      <c r="T22216" s="27"/>
      <c r="U22216" s="27"/>
    </row>
    <row r="22217">
      <c r="S22217" s="27"/>
      <c r="T22217" s="27"/>
      <c r="U22217" s="27"/>
    </row>
    <row r="22219">
      <c r="S22219" s="27"/>
      <c r="T22219" s="27"/>
      <c r="U22219" s="27"/>
    </row>
    <row r="22220">
      <c r="S22220" s="27"/>
      <c r="T22220" s="27"/>
      <c r="U22220" s="27"/>
    </row>
    <row r="22222">
      <c r="S22222" s="27"/>
      <c r="T22222" s="27"/>
      <c r="U22222" s="27"/>
    </row>
    <row r="22223">
      <c r="S22223" s="27"/>
      <c r="T22223" s="27"/>
      <c r="U22223" s="27"/>
    </row>
    <row r="22225">
      <c r="S22225" s="27"/>
      <c r="T22225" s="27"/>
      <c r="U22225" s="27"/>
    </row>
    <row r="22226">
      <c r="S22226" s="27"/>
      <c r="T22226" s="27"/>
      <c r="U22226" s="27"/>
    </row>
    <row r="22228">
      <c r="S22228" s="27"/>
      <c r="T22228" s="27"/>
      <c r="U22228" s="27"/>
    </row>
    <row r="22229">
      <c r="S22229" s="27"/>
      <c r="T22229" s="27"/>
      <c r="U22229" s="27"/>
    </row>
    <row r="22231">
      <c r="S22231" s="27"/>
      <c r="T22231" s="27"/>
      <c r="U22231" s="27"/>
    </row>
    <row r="22232">
      <c r="S22232" s="27"/>
      <c r="T22232" s="27"/>
      <c r="U22232" s="27"/>
    </row>
    <row r="22234">
      <c r="S22234" s="27"/>
      <c r="T22234" s="27"/>
      <c r="U22234" s="27"/>
    </row>
    <row r="22235">
      <c r="S22235" s="27"/>
      <c r="T22235" s="27"/>
      <c r="U22235" s="27"/>
    </row>
    <row r="22237">
      <c r="S22237" s="27"/>
      <c r="T22237" s="27"/>
      <c r="U22237" s="27"/>
    </row>
    <row r="22238">
      <c r="S22238" s="27"/>
      <c r="T22238" s="27"/>
      <c r="U22238" s="27"/>
    </row>
    <row r="22240">
      <c r="S22240" s="27"/>
      <c r="T22240" s="27"/>
      <c r="U22240" s="27"/>
    </row>
    <row r="22241">
      <c r="S22241" s="27"/>
      <c r="T22241" s="27"/>
      <c r="U22241" s="27"/>
    </row>
    <row r="22243">
      <c r="S22243" s="27"/>
      <c r="T22243" s="27"/>
      <c r="U22243" s="27"/>
    </row>
    <row r="22244">
      <c r="S22244" s="27"/>
      <c r="T22244" s="27"/>
      <c r="U22244" s="27"/>
    </row>
    <row r="22246">
      <c r="S22246" s="27"/>
      <c r="T22246" s="27"/>
      <c r="U22246" s="27"/>
    </row>
    <row r="22247">
      <c r="S22247" s="27"/>
      <c r="T22247" s="27"/>
      <c r="U22247" s="27"/>
    </row>
    <row r="22249">
      <c r="S22249" s="27"/>
      <c r="T22249" s="27"/>
      <c r="U22249" s="27"/>
    </row>
    <row r="22250">
      <c r="S22250" s="27"/>
      <c r="T22250" s="27"/>
      <c r="U22250" s="27"/>
    </row>
    <row r="22252">
      <c r="S22252" s="27"/>
      <c r="T22252" s="27"/>
      <c r="U22252" s="27"/>
    </row>
    <row r="22253">
      <c r="S22253" s="27"/>
      <c r="T22253" s="27"/>
      <c r="U22253" s="27"/>
    </row>
    <row r="22255">
      <c r="S22255" s="27"/>
      <c r="T22255" s="27"/>
      <c r="U22255" s="27"/>
    </row>
    <row r="22256">
      <c r="S22256" s="27"/>
      <c r="T22256" s="27"/>
      <c r="U22256" s="27"/>
    </row>
    <row r="22258">
      <c r="S22258" s="27"/>
      <c r="T22258" s="27"/>
      <c r="U22258" s="27"/>
    </row>
    <row r="22260">
      <c r="S22260" s="27"/>
      <c r="T22260" s="27"/>
      <c r="U22260" s="27"/>
    </row>
    <row r="22261">
      <c r="S22261" s="27"/>
      <c r="T22261" s="27"/>
      <c r="U22261" s="27"/>
    </row>
    <row r="22263">
      <c r="S22263" s="27"/>
      <c r="T22263" s="27"/>
      <c r="U22263" s="27"/>
    </row>
    <row r="22264">
      <c r="S22264" s="27"/>
      <c r="T22264" s="27"/>
      <c r="U22264" s="27"/>
    </row>
    <row r="22266">
      <c r="S22266" s="27"/>
      <c r="T22266" s="27"/>
      <c r="U22266" s="27"/>
    </row>
    <row r="22267">
      <c r="S22267" s="27"/>
      <c r="T22267" s="27"/>
      <c r="U22267" s="27"/>
    </row>
    <row r="22269">
      <c r="S22269" s="27"/>
      <c r="T22269" s="27"/>
      <c r="U22269" s="27"/>
    </row>
    <row r="22270">
      <c r="S22270" s="27"/>
      <c r="T22270" s="27"/>
      <c r="U22270" s="27"/>
    </row>
    <row r="22272">
      <c r="S22272" s="27"/>
      <c r="T22272" s="27"/>
      <c r="U22272" s="27"/>
    </row>
    <row r="22273">
      <c r="S22273" s="27"/>
      <c r="T22273" s="27"/>
      <c r="U22273" s="27"/>
    </row>
    <row r="22276">
      <c r="S22276" s="27"/>
      <c r="T22276" s="27"/>
      <c r="U22276" s="27"/>
    </row>
    <row r="22278">
      <c r="S22278" s="27"/>
      <c r="T22278" s="27"/>
      <c r="U22278" s="27"/>
    </row>
    <row r="22279">
      <c r="S22279" s="27"/>
      <c r="T22279" s="27"/>
      <c r="U22279" s="27"/>
    </row>
    <row r="22281">
      <c r="S22281" s="27"/>
      <c r="T22281" s="27"/>
      <c r="U22281" s="27"/>
    </row>
    <row r="22283">
      <c r="S22283" s="27"/>
      <c r="T22283" s="27"/>
      <c r="U22283" s="27"/>
    </row>
    <row r="22285">
      <c r="S22285" s="35"/>
      <c r="T22285" s="27"/>
      <c r="U22285" s="27"/>
    </row>
    <row r="22287">
      <c r="S22287" s="27"/>
      <c r="T22287" s="27"/>
      <c r="U22287" s="27"/>
    </row>
    <row r="22289">
      <c r="S22289" s="27"/>
      <c r="T22289" s="27"/>
      <c r="U22289" s="27"/>
    </row>
    <row r="22290">
      <c r="S22290" s="27"/>
      <c r="T22290" s="27"/>
      <c r="U22290" s="27"/>
    </row>
    <row r="22292">
      <c r="S22292" s="27"/>
      <c r="T22292" s="27"/>
      <c r="U22292" s="27"/>
    </row>
    <row r="22293">
      <c r="S22293" s="27"/>
      <c r="T22293" s="27"/>
      <c r="U22293" s="27"/>
    </row>
    <row r="22295">
      <c r="S22295" s="27"/>
      <c r="T22295" s="27"/>
      <c r="U22295" s="27"/>
    </row>
    <row r="22296">
      <c r="S22296" s="27"/>
      <c r="T22296" s="27"/>
      <c r="U22296" s="27"/>
    </row>
    <row r="22298">
      <c r="S22298" s="27"/>
      <c r="T22298" s="27"/>
      <c r="U22298" s="27"/>
    </row>
    <row r="22299">
      <c r="S22299" s="27"/>
      <c r="T22299" s="27"/>
      <c r="U22299" s="27"/>
    </row>
    <row r="22301">
      <c r="S22301" s="27"/>
      <c r="T22301" s="27"/>
      <c r="U22301" s="27"/>
    </row>
    <row r="22302">
      <c r="S22302" s="27"/>
      <c r="T22302" s="27"/>
      <c r="U22302" s="27"/>
    </row>
    <row r="22305">
      <c r="S22305" s="27"/>
      <c r="T22305" s="27"/>
      <c r="U22305" s="27"/>
    </row>
    <row r="22306">
      <c r="S22306" s="27"/>
      <c r="T22306" s="27"/>
      <c r="U22306" s="27"/>
    </row>
    <row r="22311">
      <c r="S22311" s="33"/>
      <c r="T22311" s="33"/>
      <c r="U22311" s="33"/>
    </row>
    <row r="22314">
      <c r="S22314" s="27"/>
      <c r="T22314" s="27"/>
      <c r="U22314" s="27"/>
    </row>
    <row r="22315">
      <c r="S22315" s="27"/>
      <c r="T22315" s="27"/>
      <c r="U22315" s="27"/>
    </row>
    <row r="22317">
      <c r="S22317" s="27"/>
      <c r="T22317" s="27"/>
      <c r="U22317" s="27"/>
    </row>
    <row r="22318">
      <c r="S22318" s="27"/>
      <c r="T22318" s="27"/>
      <c r="U22318" s="27"/>
    </row>
    <row r="22320">
      <c r="S22320" s="27"/>
      <c r="T22320" s="27"/>
      <c r="U22320" s="27"/>
    </row>
    <row r="22321">
      <c r="S22321" s="27"/>
      <c r="T22321" s="27"/>
      <c r="U22321" s="27"/>
    </row>
    <row r="22323">
      <c r="S22323" s="26"/>
      <c r="T22323" s="26"/>
    </row>
    <row r="22326">
      <c r="S22326" s="27"/>
      <c r="T22326" s="27"/>
      <c r="U22326" s="27"/>
    </row>
    <row r="22327">
      <c r="S22327" s="27"/>
      <c r="T22327" s="27"/>
      <c r="U22327" s="27"/>
    </row>
    <row r="22329">
      <c r="S22329" s="27"/>
      <c r="T22329" s="27"/>
      <c r="U22329" s="27"/>
    </row>
    <row r="22330">
      <c r="S22330" s="27"/>
      <c r="T22330" s="27"/>
      <c r="U22330" s="27"/>
    </row>
    <row r="22332">
      <c r="S22332" s="26"/>
      <c r="T22332" s="26"/>
      <c r="U22332" s="27"/>
    </row>
    <row r="22333">
      <c r="U22333" s="27"/>
    </row>
    <row r="22335">
      <c r="S22335" s="27"/>
      <c r="T22335" s="27"/>
      <c r="U22335" s="27"/>
    </row>
    <row r="22338">
      <c r="S22338" s="26"/>
      <c r="T22338" s="26"/>
      <c r="U22338" s="26"/>
    </row>
    <row r="22339">
      <c r="S22339" s="26"/>
      <c r="T22339" s="26"/>
      <c r="U22339" s="26"/>
    </row>
    <row r="22341">
      <c r="S22341" s="27"/>
      <c r="T22341" s="27"/>
      <c r="U22341" s="27"/>
    </row>
    <row r="22342">
      <c r="S22342" s="27"/>
      <c r="T22342" s="27"/>
      <c r="U22342" s="27"/>
    </row>
    <row r="22344">
      <c r="S22344" s="27"/>
      <c r="T22344" s="27"/>
      <c r="U22344" s="27"/>
    </row>
    <row r="22345">
      <c r="S22345" s="27"/>
      <c r="T22345" s="27"/>
      <c r="U22345" s="27"/>
    </row>
    <row r="22347">
      <c r="S22347" s="26"/>
      <c r="T22347" s="26"/>
      <c r="U22347" s="26"/>
    </row>
    <row r="22350">
      <c r="S22350" s="26"/>
      <c r="T22350" s="27"/>
      <c r="U22350" s="34"/>
    </row>
    <row r="22353">
      <c r="S22353" s="27"/>
      <c r="T22353" s="27"/>
      <c r="U22353" s="27"/>
    </row>
    <row r="22356">
      <c r="S22356" s="27"/>
      <c r="T22356" s="27"/>
      <c r="U22356" s="27"/>
    </row>
    <row r="22357">
      <c r="S22357" s="27"/>
      <c r="T22357" s="27"/>
      <c r="U22357" s="27"/>
    </row>
    <row r="22359">
      <c r="S22359" s="27"/>
      <c r="T22359" s="27"/>
      <c r="U22359" s="27"/>
    </row>
    <row r="22360">
      <c r="S22360" s="27"/>
      <c r="T22360" s="27"/>
      <c r="U22360" s="27"/>
    </row>
    <row r="22362">
      <c r="S22362" s="27"/>
      <c r="T22362" s="27"/>
      <c r="U22362" s="27"/>
    </row>
    <row r="22363">
      <c r="S22363" s="27"/>
      <c r="T22363" s="27"/>
      <c r="U22363" s="27"/>
    </row>
    <row r="22365">
      <c r="S22365" s="27"/>
      <c r="T22365" s="27"/>
      <c r="U22365" s="27"/>
    </row>
    <row r="22366">
      <c r="S22366" s="27"/>
      <c r="T22366" s="27"/>
      <c r="U22366" s="27"/>
    </row>
    <row r="22368">
      <c r="S22368" s="27"/>
      <c r="T22368" s="27"/>
      <c r="U22368" s="27"/>
    </row>
    <row r="22369">
      <c r="S22369" s="27"/>
      <c r="T22369" s="27"/>
      <c r="U22369" s="27"/>
    </row>
    <row r="22371">
      <c r="S22371" s="27"/>
      <c r="T22371" s="27"/>
      <c r="U22371" s="27"/>
    </row>
    <row r="22372">
      <c r="S22372" s="27"/>
      <c r="T22372" s="27"/>
      <c r="U22372" s="27"/>
    </row>
    <row r="22374">
      <c r="S22374" s="27"/>
      <c r="T22374" s="27"/>
      <c r="U22374" s="27"/>
    </row>
    <row r="22375">
      <c r="S22375" s="27"/>
      <c r="T22375" s="27"/>
      <c r="U22375" s="27"/>
    </row>
    <row r="22377">
      <c r="S22377" s="27"/>
      <c r="T22377" s="27"/>
      <c r="U22377" s="27"/>
    </row>
    <row r="22378">
      <c r="S22378" s="27"/>
      <c r="T22378" s="27"/>
      <c r="U22378" s="27"/>
    </row>
    <row r="22380">
      <c r="S22380" s="27"/>
      <c r="T22380" s="27"/>
      <c r="U22380" s="27"/>
    </row>
    <row r="22381">
      <c r="S22381" s="27"/>
      <c r="T22381" s="27"/>
      <c r="U22381" s="27"/>
    </row>
    <row r="22383">
      <c r="S22383" s="27"/>
      <c r="T22383" s="27"/>
      <c r="U22383" s="27"/>
    </row>
    <row r="22384">
      <c r="S22384" s="27"/>
      <c r="T22384" s="27"/>
      <c r="U22384" s="27"/>
    </row>
    <row r="22386">
      <c r="S22386" s="27"/>
      <c r="T22386" s="27"/>
      <c r="U22386" s="27"/>
    </row>
    <row r="22387">
      <c r="S22387" s="27"/>
      <c r="T22387" s="27"/>
      <c r="U22387" s="27"/>
    </row>
    <row r="22389">
      <c r="S22389" s="27"/>
      <c r="T22389" s="27"/>
      <c r="U22389" s="27"/>
    </row>
    <row r="22390">
      <c r="S22390" s="27"/>
      <c r="T22390" s="27"/>
      <c r="U22390" s="27"/>
    </row>
    <row r="22392">
      <c r="S22392" s="27"/>
      <c r="T22392" s="27"/>
      <c r="U22392" s="27"/>
    </row>
    <row r="22393">
      <c r="S22393" s="27"/>
      <c r="T22393" s="27"/>
      <c r="U22393" s="27"/>
    </row>
    <row r="22395">
      <c r="S22395" s="27"/>
      <c r="T22395" s="27"/>
      <c r="U22395" s="27"/>
    </row>
    <row r="22396">
      <c r="S22396" s="27"/>
      <c r="T22396" s="27"/>
      <c r="U22396" s="27"/>
    </row>
    <row r="22398">
      <c r="S22398" s="27"/>
      <c r="T22398" s="27"/>
      <c r="U22398" s="27"/>
    </row>
    <row r="22399">
      <c r="S22399" s="27"/>
      <c r="T22399" s="27"/>
      <c r="U22399" s="27"/>
    </row>
    <row r="22401">
      <c r="S22401" s="27"/>
      <c r="T22401" s="27"/>
      <c r="U22401" s="27"/>
    </row>
    <row r="22402">
      <c r="S22402" s="27"/>
      <c r="T22402" s="27"/>
      <c r="U22402" s="27"/>
    </row>
    <row r="22404">
      <c r="S22404" s="27"/>
      <c r="T22404" s="27"/>
      <c r="U22404" s="27"/>
    </row>
    <row r="22405">
      <c r="S22405" s="27"/>
      <c r="T22405" s="27"/>
      <c r="U22405" s="27"/>
    </row>
    <row r="22407">
      <c r="S22407" s="27"/>
      <c r="T22407" s="27"/>
      <c r="U22407" s="27"/>
    </row>
    <row r="22408">
      <c r="S22408" s="27"/>
      <c r="T22408" s="27"/>
      <c r="U22408" s="27"/>
    </row>
    <row r="22410">
      <c r="S22410" s="27"/>
      <c r="T22410" s="27"/>
      <c r="U22410" s="27"/>
    </row>
    <row r="22411">
      <c r="S22411" s="27"/>
      <c r="T22411" s="27"/>
      <c r="U22411" s="27"/>
    </row>
    <row r="22413">
      <c r="S22413" s="27"/>
      <c r="T22413" s="27"/>
      <c r="U22413" s="27"/>
    </row>
    <row r="22414">
      <c r="S22414" s="27"/>
      <c r="T22414" s="27"/>
      <c r="U22414" s="27"/>
    </row>
    <row r="22416">
      <c r="S22416" s="27"/>
      <c r="T22416" s="27"/>
      <c r="U22416" s="27"/>
    </row>
    <row r="22417">
      <c r="S22417" s="27"/>
      <c r="T22417" s="27"/>
      <c r="U22417" s="27"/>
    </row>
    <row r="22419">
      <c r="S22419" s="27"/>
      <c r="T22419" s="27"/>
      <c r="U22419" s="27"/>
    </row>
    <row r="22420">
      <c r="S22420" s="27"/>
      <c r="T22420" s="27"/>
      <c r="U22420" s="27"/>
    </row>
    <row r="22422">
      <c r="S22422" s="27"/>
      <c r="T22422" s="27"/>
      <c r="U22422" s="27"/>
    </row>
    <row r="22423">
      <c r="S22423" s="27"/>
      <c r="T22423" s="27"/>
      <c r="U22423" s="27"/>
    </row>
    <row r="22425">
      <c r="S22425" s="27"/>
      <c r="T22425" s="27"/>
      <c r="U22425" s="27"/>
    </row>
    <row r="22426">
      <c r="S22426" s="27"/>
      <c r="T22426" s="27"/>
      <c r="U22426" s="27"/>
    </row>
    <row r="22428">
      <c r="S22428" s="27"/>
      <c r="T22428" s="27"/>
      <c r="U22428" s="27"/>
    </row>
    <row r="22429">
      <c r="S22429" s="27"/>
      <c r="T22429" s="27"/>
      <c r="U22429" s="27"/>
    </row>
    <row r="22431">
      <c r="S22431" s="27"/>
      <c r="T22431" s="27"/>
      <c r="U22431" s="27"/>
    </row>
    <row r="22432">
      <c r="S22432" s="27"/>
      <c r="T22432" s="27"/>
      <c r="U22432" s="27"/>
    </row>
    <row r="22434">
      <c r="S22434" s="27"/>
      <c r="T22434" s="27"/>
      <c r="U22434" s="27"/>
    </row>
    <row r="22437">
      <c r="S22437" s="33"/>
      <c r="T22437" s="33"/>
      <c r="U22437" s="27"/>
    </row>
    <row r="22438">
      <c r="S22438" s="27"/>
      <c r="T22438" s="27"/>
      <c r="U22438" s="27"/>
    </row>
    <row r="22440">
      <c r="S22440" s="27"/>
      <c r="T22440" s="27"/>
      <c r="U22440" s="27"/>
    </row>
    <row r="22441">
      <c r="S22441" s="27"/>
      <c r="T22441" s="27"/>
      <c r="U22441" s="27"/>
    </row>
    <row r="22443">
      <c r="S22443" s="27"/>
      <c r="T22443" s="27"/>
      <c r="U22443" s="27"/>
    </row>
    <row r="22444">
      <c r="T22444" s="26"/>
      <c r="U22444" s="26"/>
    </row>
    <row r="22446">
      <c r="S22446" s="27"/>
      <c r="T22446" s="27"/>
      <c r="U22446" s="27"/>
    </row>
    <row r="22447">
      <c r="S22447" s="27"/>
      <c r="T22447" s="27"/>
      <c r="U22447" s="27"/>
    </row>
    <row r="22449">
      <c r="S22449" s="27"/>
      <c r="T22449" s="27"/>
      <c r="U22449" s="27"/>
    </row>
    <row r="22450">
      <c r="S22450" s="27"/>
      <c r="T22450" s="27"/>
      <c r="U22450" s="27"/>
    </row>
    <row r="22452">
      <c r="S22452" s="27"/>
      <c r="T22452" s="27"/>
      <c r="U22452" s="27"/>
    </row>
    <row r="22453">
      <c r="S22453" s="27"/>
      <c r="T22453" s="27"/>
      <c r="U22453" s="27"/>
    </row>
    <row r="22455">
      <c r="S22455" s="26"/>
    </row>
    <row r="22458">
      <c r="S22458" s="26"/>
      <c r="T22458" s="26"/>
    </row>
    <row r="22461">
      <c r="S22461" s="27"/>
      <c r="T22461" s="27"/>
      <c r="U22461" s="27"/>
    </row>
    <row r="22463">
      <c r="S22463" s="27"/>
      <c r="T22463" s="27"/>
      <c r="U22463" s="27"/>
    </row>
    <row r="22465">
      <c r="S22465" s="26"/>
      <c r="T22465" s="26"/>
      <c r="U22465" s="26"/>
    </row>
    <row r="22468">
      <c r="S22468" s="27"/>
      <c r="T22468" s="27"/>
      <c r="U22468" s="27"/>
    </row>
    <row r="22471">
      <c r="S22471" s="27"/>
      <c r="T22471" s="27"/>
      <c r="U22471" s="27"/>
    </row>
    <row r="22472">
      <c r="S22472" s="27"/>
      <c r="T22472" s="27"/>
      <c r="U22472" s="27"/>
    </row>
    <row r="22474">
      <c r="S22474" s="27"/>
      <c r="T22474" s="27"/>
      <c r="U22474" s="27"/>
    </row>
    <row r="22475">
      <c r="S22475" s="27"/>
      <c r="T22475" s="27"/>
      <c r="U22475" s="27"/>
    </row>
    <row r="22478">
      <c r="U22478" s="27"/>
    </row>
    <row r="22480">
      <c r="S22480" s="27"/>
      <c r="T22480" s="27"/>
      <c r="U22480" s="27"/>
    </row>
    <row r="22481">
      <c r="S22481" s="27"/>
      <c r="T22481" s="26"/>
      <c r="U22481" s="27"/>
    </row>
    <row r="22483">
      <c r="S22483" s="27"/>
      <c r="T22483" s="27"/>
      <c r="U22483" s="27"/>
    </row>
    <row r="22484">
      <c r="S22484" s="27"/>
      <c r="T22484" s="27"/>
      <c r="U22484" s="27"/>
    </row>
    <row r="22486">
      <c r="S22486" s="26"/>
      <c r="T22486" s="26"/>
      <c r="U22486" s="26"/>
    </row>
    <row r="22489">
      <c r="S22489" s="27"/>
      <c r="T22489" s="27"/>
      <c r="U22489" s="27"/>
    </row>
    <row r="22490">
      <c r="S22490" s="27"/>
      <c r="T22490" s="27"/>
      <c r="U22490" s="27"/>
    </row>
    <row r="22492">
      <c r="S22492" s="27"/>
      <c r="U22492" s="27"/>
    </row>
    <row r="22493">
      <c r="U22493" s="27"/>
    </row>
    <row r="22495">
      <c r="S22495" s="27"/>
      <c r="T22495" s="27"/>
      <c r="U22495" s="27"/>
    </row>
    <row r="22496">
      <c r="S22496" s="27"/>
      <c r="T22496" s="27"/>
      <c r="U22496" s="27"/>
    </row>
    <row r="22498">
      <c r="S22498" s="33"/>
      <c r="T22498" s="33"/>
      <c r="U22498" s="33"/>
    </row>
    <row r="22501">
      <c r="S22501" s="27"/>
      <c r="T22501" s="27"/>
    </row>
    <row r="22502">
      <c r="S22502" s="27"/>
      <c r="T22502" s="27"/>
    </row>
    <row r="22504">
      <c r="S22504" s="27"/>
      <c r="T22504" s="27"/>
      <c r="U22504" s="27"/>
    </row>
    <row r="22507">
      <c r="S22507" s="33"/>
      <c r="T22507" s="33"/>
      <c r="U22507" s="27"/>
    </row>
    <row r="22508">
      <c r="S22508" s="27"/>
      <c r="T22508" s="27"/>
      <c r="U22508" s="33"/>
    </row>
    <row r="22510">
      <c r="S22510" s="26"/>
    </row>
    <row r="22511">
      <c r="T22511" s="26"/>
      <c r="U22511" s="26"/>
    </row>
    <row r="22513">
      <c r="S22513" s="27"/>
      <c r="T22513" s="27"/>
      <c r="U22513" s="27"/>
    </row>
    <row r="22514">
      <c r="S22514" s="27"/>
      <c r="T22514" s="27"/>
      <c r="U22514" s="27"/>
    </row>
    <row r="22516">
      <c r="S22516" s="27"/>
      <c r="T22516" s="27"/>
      <c r="U22516" s="27"/>
    </row>
    <row r="22517">
      <c r="S22517" s="27"/>
      <c r="T22517" s="27"/>
      <c r="U22517" s="27"/>
    </row>
    <row r="22519">
      <c r="S22519" s="27"/>
      <c r="T22519" s="27"/>
      <c r="U22519" s="27"/>
    </row>
    <row r="22520">
      <c r="S22520" s="27"/>
      <c r="T22520" s="27"/>
      <c r="U22520" s="27"/>
    </row>
    <row r="22522">
      <c r="S22522" s="27"/>
      <c r="T22522" s="27"/>
      <c r="U22522" s="27"/>
    </row>
    <row r="22523">
      <c r="S22523" s="27"/>
      <c r="T22523" s="27"/>
      <c r="U22523" s="27"/>
    </row>
    <row r="22525">
      <c r="T22525" s="34"/>
    </row>
    <row r="22528">
      <c r="S22528" s="27"/>
      <c r="T22528" s="27"/>
      <c r="U22528" s="27"/>
    </row>
    <row r="22529">
      <c r="S22529" s="27"/>
      <c r="T22529" s="27"/>
      <c r="U22529" s="27"/>
    </row>
    <row r="22531">
      <c r="S22531" s="27"/>
      <c r="T22531" s="27"/>
      <c r="U22531" s="27"/>
    </row>
    <row r="22532">
      <c r="S22532" s="27"/>
      <c r="T22532" s="27"/>
      <c r="U22532" s="27"/>
    </row>
    <row r="22534">
      <c r="S22534" s="27"/>
      <c r="T22534" s="27"/>
      <c r="U22534" s="27"/>
    </row>
    <row r="22537">
      <c r="S22537" s="27"/>
      <c r="T22537" s="27"/>
      <c r="U22537" s="27"/>
    </row>
    <row r="22538">
      <c r="S22538" s="27"/>
      <c r="T22538" s="27"/>
      <c r="U22538" s="27"/>
    </row>
    <row r="22540">
      <c r="S22540" s="27"/>
      <c r="T22540" s="27"/>
      <c r="U22540" s="27"/>
    </row>
    <row r="22541">
      <c r="S22541" s="27"/>
      <c r="T22541" s="27"/>
      <c r="U22541" s="27"/>
    </row>
    <row r="22543">
      <c r="S22543" s="27"/>
      <c r="T22543" s="27"/>
      <c r="U22543" s="27"/>
    </row>
    <row r="22544">
      <c r="S22544" s="27"/>
      <c r="T22544" s="27"/>
      <c r="U22544" s="27"/>
    </row>
    <row r="22546">
      <c r="S22546" s="27"/>
      <c r="T22546" s="27"/>
      <c r="U22546" s="27"/>
    </row>
    <row r="22547">
      <c r="S22547" s="26"/>
      <c r="T22547" s="26"/>
      <c r="U22547" s="26"/>
    </row>
    <row r="22549">
      <c r="S22549" s="27"/>
      <c r="T22549" s="27"/>
      <c r="U22549" s="27"/>
    </row>
    <row r="22550">
      <c r="S22550" s="27"/>
      <c r="T22550" s="27"/>
      <c r="U22550" s="27"/>
    </row>
    <row r="22555">
      <c r="S22555" s="27"/>
      <c r="T22555" s="27"/>
      <c r="U22555" s="27"/>
    </row>
    <row r="22558">
      <c r="S22558" s="27"/>
      <c r="T22558" s="27"/>
      <c r="U22558" s="27"/>
    </row>
    <row r="22559">
      <c r="S22559" s="27"/>
      <c r="T22559" s="27"/>
      <c r="U22559" s="27"/>
    </row>
    <row r="22561">
      <c r="S22561" s="27"/>
      <c r="T22561" s="27"/>
      <c r="U22561" s="27"/>
    </row>
    <row r="22562">
      <c r="S22562" s="27"/>
      <c r="T22562" s="27"/>
      <c r="U22562" s="27"/>
    </row>
    <row r="22564">
      <c r="S22564" s="27"/>
    </row>
    <row r="22565">
      <c r="T22565" s="26"/>
      <c r="U22565" s="26"/>
    </row>
    <row r="22567">
      <c r="S22567" s="27"/>
      <c r="T22567" s="27"/>
      <c r="U22567" s="27"/>
    </row>
    <row r="22568">
      <c r="S22568" s="27"/>
      <c r="T22568" s="27"/>
      <c r="U22568" s="27"/>
    </row>
    <row r="22570">
      <c r="S22570" s="27"/>
      <c r="T22570" s="27"/>
      <c r="U22570" s="27"/>
    </row>
    <row r="22571">
      <c r="S22571" s="27"/>
      <c r="T22571" s="27"/>
      <c r="U22571" s="27"/>
    </row>
    <row r="22573">
      <c r="S22573" s="27"/>
      <c r="T22573" s="27"/>
      <c r="U22573" s="27"/>
    </row>
    <row r="22574">
      <c r="S22574" s="27"/>
      <c r="T22574" s="27"/>
      <c r="U22574" s="27"/>
    </row>
    <row r="22576">
      <c r="S22576" s="27"/>
      <c r="T22576" s="27"/>
      <c r="U22576" s="27"/>
    </row>
    <row r="22577">
      <c r="S22577" s="27"/>
      <c r="T22577" s="27"/>
      <c r="U22577" s="27"/>
    </row>
    <row r="22579">
      <c r="S22579" s="27"/>
      <c r="T22579" s="27"/>
      <c r="U22579" s="27"/>
    </row>
    <row r="22580">
      <c r="S22580" s="27"/>
      <c r="T22580" s="27"/>
      <c r="U22580" s="27"/>
    </row>
    <row r="22582">
      <c r="S22582" s="27"/>
      <c r="T22582" s="27"/>
      <c r="U22582" s="27"/>
    </row>
    <row r="22583">
      <c r="S22583" s="27"/>
      <c r="T22583" s="27"/>
      <c r="U22583" s="27"/>
    </row>
    <row r="22585">
      <c r="S22585" s="27"/>
      <c r="T22585" s="27"/>
      <c r="U22585" s="27"/>
    </row>
    <row r="22586">
      <c r="S22586" s="27"/>
      <c r="T22586" s="27"/>
      <c r="U22586" s="27"/>
    </row>
    <row r="22588">
      <c r="S22588" s="27"/>
      <c r="T22588" s="27"/>
      <c r="U22588" s="27"/>
    </row>
    <row r="22589">
      <c r="S22589" s="27"/>
      <c r="T22589" s="27"/>
      <c r="U22589" s="27"/>
    </row>
    <row r="22591">
      <c r="S22591" s="27"/>
      <c r="T22591" s="27"/>
      <c r="U22591" s="27"/>
    </row>
    <row r="22592">
      <c r="S22592" s="27"/>
      <c r="T22592" s="27"/>
      <c r="U22592" s="27"/>
    </row>
    <row r="22594">
      <c r="S22594" s="27"/>
      <c r="T22594" s="27"/>
      <c r="U22594" s="27"/>
    </row>
    <row r="22595">
      <c r="S22595" s="27"/>
      <c r="T22595" s="27"/>
      <c r="U22595" s="27"/>
    </row>
    <row r="22597">
      <c r="S22597" s="27"/>
      <c r="T22597" s="27"/>
      <c r="U22597" s="27"/>
    </row>
    <row r="22598">
      <c r="S22598" s="27"/>
      <c r="T22598" s="27"/>
      <c r="U22598" s="27"/>
    </row>
    <row r="22600">
      <c r="S22600" s="27"/>
      <c r="T22600" s="27"/>
      <c r="U22600" s="27"/>
    </row>
    <row r="22601">
      <c r="S22601" s="27"/>
      <c r="T22601" s="27"/>
      <c r="U22601" s="27"/>
    </row>
    <row r="22603">
      <c r="S22603" s="27"/>
      <c r="T22603" s="27"/>
      <c r="U22603" s="27"/>
    </row>
    <row r="22604">
      <c r="S22604" s="27"/>
      <c r="T22604" s="27"/>
      <c r="U22604" s="27"/>
    </row>
    <row r="22606">
      <c r="S22606" s="27"/>
      <c r="T22606" s="27"/>
      <c r="U22606" s="27"/>
    </row>
    <row r="22607">
      <c r="S22607" s="27"/>
      <c r="T22607" s="27"/>
      <c r="U22607" s="27"/>
    </row>
    <row r="22609">
      <c r="S22609" s="27"/>
      <c r="T22609" s="27"/>
      <c r="U22609" s="27"/>
    </row>
    <row r="22610">
      <c r="S22610" s="27"/>
      <c r="T22610" s="27"/>
      <c r="U22610" s="27"/>
    </row>
    <row r="22612">
      <c r="S22612" s="27"/>
      <c r="T22612" s="27"/>
      <c r="U22612" s="27"/>
    </row>
    <row r="22613">
      <c r="S22613" s="27"/>
      <c r="T22613" s="27"/>
      <c r="U22613" s="27"/>
    </row>
    <row r="22615">
      <c r="S22615" s="27"/>
      <c r="T22615" s="27"/>
      <c r="U22615" s="27"/>
    </row>
    <row r="22616">
      <c r="S22616" s="27"/>
      <c r="T22616" s="27"/>
      <c r="U22616" s="27"/>
    </row>
    <row r="22618">
      <c r="S22618" s="27"/>
      <c r="T22618" s="27"/>
      <c r="U22618" s="27"/>
    </row>
    <row r="22619">
      <c r="S22619" s="27"/>
      <c r="T22619" s="27"/>
      <c r="U22619" s="27"/>
    </row>
    <row r="22621">
      <c r="S22621" s="27"/>
      <c r="T22621" s="27"/>
      <c r="U22621" s="27"/>
    </row>
    <row r="22622">
      <c r="S22622" s="27"/>
      <c r="T22622" s="27"/>
      <c r="U22622" s="27"/>
    </row>
    <row r="22624">
      <c r="S22624" s="27"/>
      <c r="T22624" s="27"/>
      <c r="U22624" s="27"/>
    </row>
    <row r="22625">
      <c r="S22625" s="27"/>
      <c r="T22625" s="27"/>
      <c r="U22625" s="27"/>
    </row>
    <row r="22627">
      <c r="S22627" s="27"/>
      <c r="T22627" s="27"/>
      <c r="U22627" s="27"/>
    </row>
    <row r="22628">
      <c r="S22628" s="27"/>
      <c r="T22628" s="27"/>
      <c r="U22628" s="27"/>
    </row>
    <row r="22630">
      <c r="S22630" s="27"/>
      <c r="T22630" s="27"/>
      <c r="U22630" s="27"/>
    </row>
    <row r="22631">
      <c r="S22631" s="27"/>
      <c r="T22631" s="27"/>
      <c r="U22631" s="27"/>
    </row>
    <row r="22633">
      <c r="S22633" s="27"/>
      <c r="T22633" s="27"/>
      <c r="U22633" s="27"/>
    </row>
    <row r="22634">
      <c r="S22634" s="27"/>
      <c r="T22634" s="27"/>
      <c r="U22634" s="27"/>
    </row>
    <row r="22636">
      <c r="S22636" s="27"/>
      <c r="T22636" s="27"/>
      <c r="U22636" s="27"/>
    </row>
    <row r="22637">
      <c r="S22637" s="27"/>
      <c r="T22637" s="27"/>
      <c r="U22637" s="27"/>
    </row>
    <row r="22639">
      <c r="S22639" s="27"/>
      <c r="T22639" s="27"/>
      <c r="U22639" s="27"/>
    </row>
    <row r="22640">
      <c r="S22640" s="27"/>
      <c r="T22640" s="27"/>
      <c r="U22640" s="27"/>
    </row>
    <row r="22642">
      <c r="S22642" s="27"/>
      <c r="T22642" s="27"/>
      <c r="U22642" s="27"/>
    </row>
    <row r="22643">
      <c r="S22643" s="27"/>
      <c r="T22643" s="27"/>
      <c r="U22643" s="27"/>
    </row>
    <row r="22645">
      <c r="S22645" s="27"/>
      <c r="T22645" s="27"/>
      <c r="U22645" s="27"/>
    </row>
    <row r="22646">
      <c r="S22646" s="27"/>
      <c r="T22646" s="27"/>
      <c r="U22646" s="27"/>
    </row>
    <row r="22648">
      <c r="S22648" s="27"/>
      <c r="T22648" s="27"/>
      <c r="U22648" s="27"/>
    </row>
    <row r="22649">
      <c r="S22649" s="27"/>
      <c r="T22649" s="27"/>
      <c r="U22649" s="27"/>
    </row>
    <row r="22651">
      <c r="S22651" s="27"/>
      <c r="T22651" s="27"/>
      <c r="U22651" s="27"/>
    </row>
    <row r="22652">
      <c r="S22652" s="27"/>
      <c r="T22652" s="27"/>
      <c r="U22652" s="27"/>
    </row>
    <row r="22654">
      <c r="S22654" s="27"/>
      <c r="T22654" s="27"/>
      <c r="U22654" s="27"/>
    </row>
    <row r="22655">
      <c r="S22655" s="27"/>
      <c r="T22655" s="27"/>
      <c r="U22655" s="27"/>
    </row>
    <row r="22657">
      <c r="S22657" s="27"/>
      <c r="T22657" s="27"/>
      <c r="U22657" s="27"/>
    </row>
    <row r="22658">
      <c r="S22658" s="27"/>
      <c r="T22658" s="27"/>
      <c r="U22658" s="27"/>
    </row>
    <row r="22660">
      <c r="S22660" s="27"/>
      <c r="T22660" s="27"/>
      <c r="U22660" s="27"/>
    </row>
    <row r="22661">
      <c r="S22661" s="27"/>
      <c r="T22661" s="27"/>
      <c r="U22661" s="27"/>
    </row>
    <row r="22663">
      <c r="S22663" s="27"/>
      <c r="T22663" s="27"/>
      <c r="U22663" s="27"/>
    </row>
    <row r="22665">
      <c r="S22665" s="27"/>
      <c r="T22665" s="27"/>
      <c r="U22665" s="27"/>
    </row>
    <row r="22666">
      <c r="S22666" s="27"/>
      <c r="T22666" s="27"/>
      <c r="U22666" s="27"/>
    </row>
    <row r="22668">
      <c r="S22668" s="27"/>
      <c r="T22668" s="27"/>
      <c r="U22668" s="27"/>
    </row>
    <row r="22669">
      <c r="S22669" s="27"/>
      <c r="T22669" s="27"/>
      <c r="U22669" s="27"/>
    </row>
    <row r="22671">
      <c r="S22671" s="27"/>
      <c r="T22671" s="27"/>
      <c r="U22671" s="27"/>
    </row>
    <row r="22672">
      <c r="S22672" s="27"/>
      <c r="T22672" s="27"/>
      <c r="U22672" s="27"/>
    </row>
    <row r="22674">
      <c r="S22674" s="27"/>
      <c r="T22674" s="27"/>
      <c r="U22674" s="27"/>
    </row>
    <row r="22675">
      <c r="S22675" s="27"/>
      <c r="T22675" s="27"/>
      <c r="U22675" s="27"/>
    </row>
    <row r="22677">
      <c r="S22677" s="27"/>
      <c r="T22677" s="27"/>
      <c r="U22677" s="27"/>
    </row>
    <row r="22678">
      <c r="S22678" s="27"/>
      <c r="T22678" s="27"/>
      <c r="U22678" s="27"/>
    </row>
    <row r="22681">
      <c r="S22681" s="27"/>
      <c r="T22681" s="27"/>
      <c r="U22681" s="27"/>
    </row>
    <row r="22683">
      <c r="S22683" s="27"/>
      <c r="T22683" s="27"/>
      <c r="U22683" s="27"/>
    </row>
    <row r="22684">
      <c r="S22684" s="27"/>
      <c r="T22684" s="27"/>
      <c r="U22684" s="27"/>
    </row>
    <row r="22686">
      <c r="S22686" s="27"/>
      <c r="T22686" s="27"/>
      <c r="U22686" s="27"/>
    </row>
    <row r="22688">
      <c r="S22688" s="27"/>
      <c r="T22688" s="27"/>
      <c r="U22688" s="27"/>
    </row>
    <row r="22690">
      <c r="S22690" s="27"/>
      <c r="T22690" s="27"/>
      <c r="U22690" s="27"/>
    </row>
    <row r="22692">
      <c r="S22692" s="27"/>
      <c r="T22692" s="27"/>
      <c r="U22692" s="27"/>
    </row>
    <row r="22694">
      <c r="S22694" s="27"/>
      <c r="T22694" s="27"/>
      <c r="U22694" s="27"/>
    </row>
    <row r="22695">
      <c r="S22695" s="27"/>
      <c r="T22695" s="27"/>
      <c r="U22695" s="27"/>
    </row>
    <row r="22697">
      <c r="S22697" s="27"/>
      <c r="T22697" s="27"/>
      <c r="U22697" s="27"/>
    </row>
    <row r="22698">
      <c r="S22698" s="27"/>
      <c r="T22698" s="27"/>
      <c r="U22698" s="27"/>
    </row>
    <row r="22700">
      <c r="S22700" s="27"/>
      <c r="T22700" s="27"/>
      <c r="U22700" s="27"/>
    </row>
    <row r="22701">
      <c r="S22701" s="27"/>
      <c r="T22701" s="27"/>
      <c r="U22701" s="33"/>
    </row>
    <row r="22703">
      <c r="S22703" s="27"/>
      <c r="T22703" s="27"/>
      <c r="U22703" s="27"/>
    </row>
    <row r="22704">
      <c r="S22704" s="27"/>
      <c r="T22704" s="27"/>
      <c r="U22704" s="27"/>
    </row>
    <row r="22707">
      <c r="S22707" s="27"/>
      <c r="T22707" s="27"/>
      <c r="U22707" s="27"/>
    </row>
    <row r="22709">
      <c r="S22709" s="27"/>
      <c r="T22709" s="27"/>
      <c r="U22709" s="27"/>
    </row>
    <row r="22710">
      <c r="S22710" s="27"/>
      <c r="T22710" s="27"/>
      <c r="U22710" s="27"/>
    </row>
    <row r="22712">
      <c r="S22712" s="27"/>
      <c r="T22712" s="27"/>
      <c r="U22712" s="27"/>
    </row>
    <row r="22713">
      <c r="S22713" s="27"/>
      <c r="T22713" s="27"/>
      <c r="U22713" s="27"/>
    </row>
    <row r="22718">
      <c r="S22718" s="27"/>
      <c r="T22718" s="27"/>
      <c r="U22718" s="27"/>
    </row>
    <row r="22721">
      <c r="S22721" s="27"/>
      <c r="T22721" s="27"/>
      <c r="U22721" s="27"/>
    </row>
    <row r="22722">
      <c r="S22722" s="27"/>
      <c r="T22722" s="27"/>
      <c r="U22722" s="27"/>
    </row>
    <row r="22724">
      <c r="S22724" s="27"/>
      <c r="T22724" s="27"/>
      <c r="U22724" s="27"/>
    </row>
    <row r="22725">
      <c r="S22725" s="27"/>
      <c r="T22725" s="27"/>
      <c r="U22725" s="27"/>
    </row>
    <row r="22727">
      <c r="S22727" s="27"/>
      <c r="T22727" s="27"/>
      <c r="U22727" s="27"/>
    </row>
    <row r="22728">
      <c r="S22728" s="27"/>
      <c r="T22728" s="27"/>
      <c r="U22728" s="27"/>
    </row>
    <row r="22730">
      <c r="S22730" s="27"/>
      <c r="T22730" s="27"/>
      <c r="U22730" s="27"/>
    </row>
    <row r="22733">
      <c r="S22733" s="27"/>
      <c r="T22733" s="27"/>
      <c r="U22733" s="27"/>
    </row>
    <row r="22734">
      <c r="S22734" s="27"/>
      <c r="T22734" s="27"/>
      <c r="U22734" s="27"/>
    </row>
    <row r="22736">
      <c r="S22736" s="27"/>
      <c r="T22736" s="27"/>
      <c r="U22736" s="27"/>
    </row>
    <row r="22737">
      <c r="S22737" s="27"/>
      <c r="T22737" s="27"/>
      <c r="U22737" s="27"/>
    </row>
    <row r="22739">
      <c r="S22739" s="27"/>
      <c r="T22739" s="27"/>
      <c r="U22739" s="27"/>
    </row>
    <row r="22740">
      <c r="S22740" s="27"/>
      <c r="T22740" s="27"/>
    </row>
    <row r="22742">
      <c r="S22742" s="27"/>
    </row>
    <row r="22745">
      <c r="S22745" s="26"/>
    </row>
    <row r="22748">
      <c r="T22748" s="27"/>
      <c r="U22748" s="27"/>
    </row>
    <row r="22749">
      <c r="S22749" s="27"/>
      <c r="T22749" s="27"/>
      <c r="U22749" s="27"/>
    </row>
    <row r="22751">
      <c r="S22751" s="27"/>
      <c r="T22751" s="27"/>
      <c r="U22751" s="27"/>
    </row>
    <row r="22752">
      <c r="S22752" s="27"/>
      <c r="T22752" s="27"/>
      <c r="U22752" s="27"/>
    </row>
    <row r="22754">
      <c r="S22754" s="26"/>
      <c r="T22754" s="26"/>
      <c r="U22754" s="26"/>
    </row>
    <row r="22757">
      <c r="S22757" s="34"/>
      <c r="T22757" s="34"/>
      <c r="U22757" s="34"/>
    </row>
    <row r="22760">
      <c r="S22760" s="27"/>
      <c r="T22760" s="27"/>
      <c r="U22760" s="27"/>
    </row>
    <row r="22763">
      <c r="S22763" s="27"/>
      <c r="T22763" s="27"/>
      <c r="U22763" s="27"/>
    </row>
    <row r="22764">
      <c r="S22764" s="27"/>
      <c r="T22764" s="27"/>
      <c r="U22764" s="27"/>
    </row>
    <row r="22766">
      <c r="S22766" s="27"/>
      <c r="T22766" s="27"/>
      <c r="U22766" s="27"/>
    </row>
    <row r="22767">
      <c r="S22767" s="27"/>
      <c r="T22767" s="27"/>
      <c r="U22767" s="27"/>
    </row>
    <row r="22769">
      <c r="S22769" s="27"/>
      <c r="T22769" s="27"/>
      <c r="U22769" s="27"/>
    </row>
    <row r="22770">
      <c r="S22770" s="27"/>
      <c r="T22770" s="27"/>
      <c r="U22770" s="27"/>
    </row>
    <row r="22772">
      <c r="S22772" s="27"/>
      <c r="T22772" s="27"/>
      <c r="U22772" s="27"/>
    </row>
    <row r="22773">
      <c r="S22773" s="27"/>
      <c r="T22773" s="27"/>
      <c r="U22773" s="27"/>
    </row>
    <row r="22775">
      <c r="S22775" s="27"/>
      <c r="T22775" s="27"/>
      <c r="U22775" s="27"/>
    </row>
    <row r="22776">
      <c r="S22776" s="27"/>
      <c r="T22776" s="27"/>
      <c r="U22776" s="27"/>
    </row>
    <row r="22778">
      <c r="S22778" s="27"/>
      <c r="T22778" s="27"/>
      <c r="U22778" s="27"/>
    </row>
    <row r="22779">
      <c r="S22779" s="27"/>
      <c r="T22779" s="27"/>
      <c r="U22779" s="27"/>
    </row>
    <row r="22781">
      <c r="S22781" s="27"/>
      <c r="T22781" s="27"/>
      <c r="U22781" s="27"/>
    </row>
    <row r="22782">
      <c r="S22782" s="27"/>
      <c r="T22782" s="27"/>
      <c r="U22782" s="27"/>
    </row>
    <row r="22784">
      <c r="S22784" s="27"/>
      <c r="T22784" s="27"/>
      <c r="U22784" s="27"/>
    </row>
    <row r="22785">
      <c r="S22785" s="27"/>
      <c r="T22785" s="27"/>
      <c r="U22785" s="27"/>
    </row>
    <row r="22787">
      <c r="S22787" s="27"/>
      <c r="T22787" s="27"/>
      <c r="U22787" s="27"/>
    </row>
    <row r="22788">
      <c r="S22788" s="27"/>
      <c r="T22788" s="27"/>
      <c r="U22788" s="27"/>
    </row>
    <row r="22790">
      <c r="S22790" s="27"/>
      <c r="T22790" s="27"/>
      <c r="U22790" s="27"/>
    </row>
    <row r="22791">
      <c r="S22791" s="27"/>
      <c r="T22791" s="27"/>
      <c r="U22791" s="27"/>
    </row>
    <row r="22793">
      <c r="S22793" s="27"/>
      <c r="T22793" s="27"/>
      <c r="U22793" s="27"/>
    </row>
    <row r="22794">
      <c r="S22794" s="27"/>
      <c r="T22794" s="27"/>
      <c r="U22794" s="27"/>
    </row>
    <row r="22796">
      <c r="S22796" s="27"/>
      <c r="T22796" s="27"/>
      <c r="U22796" s="27"/>
    </row>
    <row r="22797">
      <c r="S22797" s="27"/>
      <c r="T22797" s="27"/>
      <c r="U22797" s="27"/>
    </row>
    <row r="22799">
      <c r="S22799" s="27"/>
      <c r="T22799" s="27"/>
      <c r="U22799" s="27"/>
    </row>
    <row r="22800">
      <c r="S22800" s="27"/>
      <c r="T22800" s="27"/>
      <c r="U22800" s="27"/>
    </row>
    <row r="22802">
      <c r="S22802" s="27"/>
      <c r="T22802" s="27"/>
      <c r="U22802" s="27"/>
    </row>
    <row r="22803">
      <c r="S22803" s="27"/>
      <c r="T22803" s="27"/>
      <c r="U22803" s="27"/>
    </row>
    <row r="22805">
      <c r="S22805" s="27"/>
      <c r="T22805" s="27"/>
      <c r="U22805" s="27"/>
    </row>
    <row r="22806">
      <c r="S22806" s="27"/>
      <c r="T22806" s="27"/>
      <c r="U22806" s="27"/>
    </row>
    <row r="22808">
      <c r="S22808" s="27"/>
      <c r="T22808" s="27"/>
      <c r="U22808" s="27"/>
    </row>
    <row r="22809">
      <c r="S22809" s="27"/>
      <c r="T22809" s="27"/>
      <c r="U22809" s="27"/>
    </row>
    <row r="22811">
      <c r="S22811" s="27"/>
      <c r="T22811" s="27"/>
      <c r="U22811" s="27"/>
    </row>
    <row r="22812">
      <c r="S22812" s="27"/>
      <c r="T22812" s="27"/>
      <c r="U22812" s="27"/>
    </row>
    <row r="22814">
      <c r="S22814" s="27"/>
      <c r="T22814" s="27"/>
      <c r="U22814" s="27"/>
    </row>
    <row r="22815">
      <c r="S22815" s="27"/>
      <c r="T22815" s="27"/>
      <c r="U22815" s="27"/>
    </row>
    <row r="22817">
      <c r="S22817" s="27"/>
      <c r="T22817" s="27"/>
      <c r="U22817" s="27"/>
    </row>
    <row r="22818">
      <c r="S22818" s="27"/>
      <c r="T22818" s="27"/>
      <c r="U22818" s="27"/>
    </row>
    <row r="22820">
      <c r="S22820" s="27"/>
      <c r="T22820" s="27"/>
      <c r="U22820" s="27"/>
    </row>
    <row r="22821">
      <c r="S22821" s="27"/>
      <c r="T22821" s="27"/>
      <c r="U22821" s="27"/>
    </row>
    <row r="22823">
      <c r="S22823" s="27"/>
      <c r="T22823" s="27"/>
      <c r="U22823" s="27"/>
    </row>
    <row r="22824">
      <c r="S22824" s="27"/>
      <c r="T22824" s="27"/>
      <c r="U22824" s="27"/>
    </row>
    <row r="22826">
      <c r="S22826" s="27"/>
      <c r="T22826" s="27"/>
      <c r="U22826" s="27"/>
    </row>
    <row r="22827">
      <c r="S22827" s="27"/>
      <c r="T22827" s="27"/>
      <c r="U22827" s="27"/>
    </row>
    <row r="22829">
      <c r="S22829" s="27"/>
      <c r="T22829" s="27"/>
      <c r="U22829" s="27"/>
    </row>
    <row r="22830">
      <c r="S22830" s="27"/>
      <c r="T22830" s="27"/>
      <c r="U22830" s="27"/>
    </row>
    <row r="22832">
      <c r="S22832" s="27"/>
      <c r="T22832" s="27"/>
      <c r="U22832" s="27"/>
    </row>
    <row r="22833">
      <c r="S22833" s="27"/>
      <c r="T22833" s="27"/>
      <c r="U22833" s="27"/>
    </row>
    <row r="22836">
      <c r="S22836" s="27"/>
      <c r="T22836" s="27"/>
      <c r="U22836" s="27"/>
    </row>
    <row r="22838">
      <c r="S22838" s="27"/>
      <c r="T22838" s="27"/>
      <c r="U22838" s="27"/>
    </row>
    <row r="22839">
      <c r="S22839" s="27"/>
      <c r="T22839" s="27"/>
      <c r="U22839" s="27"/>
    </row>
    <row r="22841">
      <c r="S22841" s="27"/>
      <c r="T22841" s="27"/>
      <c r="U22841" s="27"/>
    </row>
    <row r="22842">
      <c r="S22842" s="34"/>
      <c r="T22842" s="27"/>
      <c r="U22842" s="27"/>
    </row>
    <row r="22844">
      <c r="S22844" s="33"/>
      <c r="T22844" s="27"/>
      <c r="U22844" s="33"/>
    </row>
    <row r="22845">
      <c r="S22845" s="27"/>
      <c r="T22845" s="27"/>
      <c r="U22845" s="27"/>
    </row>
    <row r="22847">
      <c r="S22847" s="27"/>
      <c r="T22847" s="27"/>
      <c r="U22847" s="27"/>
    </row>
    <row r="22848">
      <c r="S22848" s="27"/>
      <c r="T22848" s="27"/>
      <c r="U22848" s="27"/>
    </row>
    <row r="22853">
      <c r="S22853" s="27"/>
      <c r="T22853" s="27"/>
      <c r="U22853" s="27"/>
    </row>
    <row r="22854">
      <c r="S22854" s="27"/>
      <c r="T22854" s="27"/>
      <c r="U22854" s="27"/>
    </row>
    <row r="22856">
      <c r="S22856" s="27"/>
      <c r="T22856" s="27"/>
      <c r="U22856" s="27"/>
    </row>
    <row r="22857">
      <c r="S22857" s="27"/>
      <c r="T22857" s="27"/>
      <c r="U22857" s="27"/>
    </row>
    <row r="22860">
      <c r="S22860" s="27"/>
      <c r="T22860" s="27"/>
      <c r="U22860" s="27"/>
    </row>
    <row r="22868">
      <c r="S22868" s="27"/>
      <c r="T22868" s="27"/>
      <c r="U22868" s="35"/>
    </row>
    <row r="22870">
      <c r="S22870" s="27"/>
      <c r="T22870" s="27"/>
      <c r="U22870" s="27"/>
    </row>
    <row r="22872">
      <c r="S22872" s="26"/>
      <c r="T22872" s="26"/>
      <c r="U22872" s="26"/>
    </row>
    <row r="22875">
      <c r="U22875" s="27"/>
    </row>
    <row r="22878">
      <c r="T22878" s="27"/>
    </row>
    <row r="22879">
      <c r="S22879" s="27"/>
      <c r="T22879" s="27"/>
    </row>
    <row r="22882">
      <c r="S22882" s="27"/>
      <c r="T22882" s="27"/>
      <c r="U22882" s="27"/>
    </row>
    <row r="22884">
      <c r="T22884" s="27"/>
      <c r="U22884" s="27"/>
    </row>
    <row r="22885">
      <c r="U22885" s="27"/>
    </row>
    <row r="22887">
      <c r="S22887" s="27"/>
      <c r="U22887" s="27"/>
    </row>
    <row r="22888">
      <c r="S22888" s="27"/>
      <c r="T22888" s="26"/>
    </row>
    <row r="22891">
      <c r="S22891" s="27"/>
      <c r="T22891" s="27"/>
      <c r="U22891" s="27"/>
    </row>
    <row r="22896">
      <c r="S22896" s="27"/>
      <c r="T22896" s="27"/>
      <c r="U22896" s="27"/>
    </row>
    <row r="22897">
      <c r="S22897" s="27"/>
      <c r="T22897" s="27"/>
      <c r="U22897" s="27"/>
    </row>
    <row r="22899">
      <c r="S22899" s="27"/>
      <c r="T22899" s="27"/>
      <c r="U22899" s="27"/>
    </row>
    <row r="22900">
      <c r="S22900" s="27"/>
      <c r="T22900" s="27"/>
      <c r="U22900" s="27"/>
    </row>
    <row r="22902">
      <c r="T22902" s="27"/>
      <c r="U22902" s="27"/>
    </row>
    <row r="22903">
      <c r="S22903" s="27"/>
      <c r="T22903" s="27"/>
      <c r="U22903" s="27"/>
    </row>
    <row r="22905">
      <c r="S22905" s="27"/>
      <c r="T22905" s="33"/>
      <c r="U22905" s="33"/>
    </row>
    <row r="22911">
      <c r="S22911" s="27"/>
      <c r="T22911" s="27"/>
      <c r="U22911" s="27"/>
    </row>
    <row r="22914">
      <c r="S22914" s="27"/>
      <c r="T22914" s="27"/>
      <c r="U22914" s="27"/>
    </row>
    <row r="22915">
      <c r="S22915" s="33"/>
      <c r="T22915" s="33"/>
      <c r="U22915" s="33"/>
    </row>
    <row r="22917">
      <c r="S22917" s="27"/>
      <c r="T22917" s="26"/>
      <c r="U22917" s="26"/>
    </row>
    <row r="22918">
      <c r="S22918" s="26"/>
      <c r="T22918" s="26"/>
      <c r="U22918" s="26"/>
    </row>
    <row r="22920">
      <c r="S22920" s="27"/>
      <c r="T22920" s="27"/>
      <c r="U22920" s="27"/>
    </row>
    <row r="22921">
      <c r="S22921" s="27"/>
      <c r="T22921" s="27"/>
      <c r="U22921" s="27"/>
    </row>
    <row r="22923">
      <c r="S22923" s="27"/>
      <c r="T22923" s="27"/>
      <c r="U22923" s="27"/>
    </row>
    <row r="22924">
      <c r="S22924" s="27"/>
      <c r="T22924" s="27"/>
      <c r="U22924" s="27"/>
    </row>
    <row r="22926">
      <c r="S22926" s="27"/>
      <c r="T22926" s="27"/>
      <c r="U22926" s="27"/>
    </row>
    <row r="22927">
      <c r="S22927" s="27"/>
      <c r="T22927" s="27"/>
      <c r="U22927" s="27"/>
    </row>
    <row r="22929">
      <c r="S22929" s="27"/>
      <c r="T22929" s="27"/>
      <c r="U22929" s="27"/>
    </row>
    <row r="22930">
      <c r="S22930" s="27"/>
      <c r="T22930" s="27"/>
      <c r="U22930" s="27"/>
    </row>
    <row r="22932">
      <c r="S22932" s="27"/>
    </row>
    <row r="22935">
      <c r="S22935" s="27"/>
      <c r="T22935" s="27"/>
      <c r="U22935" s="27"/>
    </row>
    <row r="22936">
      <c r="S22936" s="27"/>
      <c r="T22936" s="27"/>
      <c r="U22936" s="27"/>
    </row>
    <row r="22939">
      <c r="S22939" s="27"/>
      <c r="T22939" s="27"/>
      <c r="U22939" s="27"/>
    </row>
    <row r="22941">
      <c r="S22941" s="27"/>
      <c r="T22941" s="27"/>
      <c r="U22941" s="27"/>
    </row>
    <row r="22944">
      <c r="S22944" s="27"/>
      <c r="T22944" s="27"/>
      <c r="U22944" s="27"/>
    </row>
    <row r="22945">
      <c r="S22945" s="27"/>
      <c r="T22945" s="27"/>
    </row>
    <row r="22950">
      <c r="S22950" s="27"/>
      <c r="T22950" s="27"/>
      <c r="U22950" s="27"/>
    </row>
    <row r="22951">
      <c r="S22951" s="27"/>
      <c r="T22951" s="27"/>
      <c r="U22951" s="27"/>
    </row>
    <row r="22953">
      <c r="S22953" s="27"/>
      <c r="T22953" s="27"/>
      <c r="U22953" s="27"/>
    </row>
    <row r="22956">
      <c r="S22956" s="27"/>
      <c r="T22956" s="27"/>
      <c r="U22956" s="27"/>
    </row>
    <row r="22957">
      <c r="S22957" s="27"/>
      <c r="T22957" s="27"/>
      <c r="U22957" s="27"/>
    </row>
    <row r="22962">
      <c r="S22962" s="27"/>
      <c r="T22962" s="27"/>
      <c r="U22962" s="27"/>
    </row>
    <row r="22965">
      <c r="S22965" s="27"/>
      <c r="T22965" s="27"/>
      <c r="U22965" s="27"/>
    </row>
    <row r="22966">
      <c r="S22966" s="27"/>
      <c r="T22966" s="27"/>
      <c r="U22966" s="27"/>
    </row>
    <row r="22968">
      <c r="S22968" s="27"/>
      <c r="T22968" s="27"/>
      <c r="U22968" s="27"/>
    </row>
    <row r="22969">
      <c r="S22969" s="27"/>
      <c r="T22969" s="27"/>
      <c r="U22969" s="27"/>
    </row>
    <row r="22971">
      <c r="S22971" s="27"/>
      <c r="T22971" s="27"/>
      <c r="U22971" s="27"/>
    </row>
    <row r="22972">
      <c r="S22972" s="27"/>
      <c r="T22972" s="27"/>
      <c r="U22972" s="27"/>
    </row>
    <row r="22974">
      <c r="S22974" s="26"/>
    </row>
    <row r="22975">
      <c r="T22975" s="26"/>
      <c r="U22975" s="26"/>
    </row>
    <row r="22977">
      <c r="S22977" s="27"/>
      <c r="T22977" s="27"/>
      <c r="U22977" s="27"/>
    </row>
    <row r="22978">
      <c r="S22978" s="27"/>
      <c r="T22978" s="27"/>
      <c r="U22978" s="27"/>
    </row>
    <row r="22980">
      <c r="S22980" s="27"/>
      <c r="T22980" s="27"/>
      <c r="U22980" s="27"/>
    </row>
    <row r="22981">
      <c r="S22981" s="27"/>
      <c r="T22981" s="27"/>
      <c r="U22981" s="27"/>
    </row>
    <row r="22983">
      <c r="S22983" s="27"/>
      <c r="T22983" s="27"/>
      <c r="U22983" s="27"/>
    </row>
    <row r="22984">
      <c r="S22984" s="27"/>
      <c r="T22984" s="27"/>
      <c r="U22984" s="27"/>
    </row>
    <row r="22986">
      <c r="S22986" s="27"/>
      <c r="T22986" s="27"/>
      <c r="U22986" s="27"/>
    </row>
    <row r="22987">
      <c r="S22987" s="27"/>
      <c r="T22987" s="27"/>
      <c r="U22987" s="27"/>
    </row>
    <row r="22989">
      <c r="S22989" s="27"/>
      <c r="T22989" s="27"/>
      <c r="U22989" s="27"/>
    </row>
    <row r="22990">
      <c r="S22990" s="27"/>
      <c r="T22990" s="27"/>
      <c r="U22990" s="27"/>
    </row>
    <row r="22992">
      <c r="S22992" s="27"/>
      <c r="T22992" s="27"/>
      <c r="U22992" s="27"/>
    </row>
    <row r="22993">
      <c r="S22993" s="27"/>
      <c r="T22993" s="27"/>
      <c r="U22993" s="27"/>
    </row>
    <row r="22995">
      <c r="S22995" s="27"/>
      <c r="T22995" s="27"/>
      <c r="U22995" s="27"/>
    </row>
    <row r="22996">
      <c r="S22996" s="27"/>
      <c r="T22996" s="27"/>
      <c r="U22996" s="27"/>
    </row>
    <row r="22998">
      <c r="S22998" s="27"/>
      <c r="T22998" s="27"/>
      <c r="U22998" s="27"/>
    </row>
    <row r="22999">
      <c r="S22999" s="27"/>
      <c r="T22999" s="27"/>
      <c r="U22999" s="27"/>
    </row>
    <row r="23001">
      <c r="S23001" s="27"/>
      <c r="T23001" s="27"/>
      <c r="U23001" s="27"/>
    </row>
    <row r="23002">
      <c r="S23002" s="27"/>
      <c r="T23002" s="27"/>
      <c r="U23002" s="27"/>
    </row>
    <row r="23004">
      <c r="S23004" s="27"/>
      <c r="T23004" s="27"/>
      <c r="U23004" s="27"/>
    </row>
    <row r="23005">
      <c r="S23005" s="27"/>
      <c r="T23005" s="27"/>
      <c r="U23005" s="27"/>
    </row>
    <row r="23007">
      <c r="S23007" s="27"/>
      <c r="T23007" s="27"/>
      <c r="U23007" s="27"/>
    </row>
    <row r="23008">
      <c r="S23008" s="27"/>
      <c r="T23008" s="27"/>
      <c r="U23008" s="27"/>
    </row>
    <row r="23010">
      <c r="S23010" s="27"/>
      <c r="T23010" s="27"/>
      <c r="U23010" s="27"/>
    </row>
    <row r="23011">
      <c r="S23011" s="27"/>
      <c r="T23011" s="27"/>
      <c r="U23011" s="27"/>
    </row>
    <row r="23013">
      <c r="S23013" s="27"/>
      <c r="T23013" s="27"/>
      <c r="U23013" s="27"/>
    </row>
    <row r="23014">
      <c r="S23014" s="27"/>
      <c r="T23014" s="27"/>
      <c r="U23014" s="27"/>
    </row>
    <row r="23016">
      <c r="S23016" s="27"/>
      <c r="T23016" s="27"/>
      <c r="U23016" s="27"/>
    </row>
    <row r="23017">
      <c r="S23017" s="27"/>
      <c r="T23017" s="27"/>
      <c r="U23017" s="27"/>
    </row>
    <row r="23019">
      <c r="S23019" s="27"/>
      <c r="T23019" s="27"/>
      <c r="U23019" s="27"/>
    </row>
    <row r="23020">
      <c r="S23020" s="27"/>
      <c r="T23020" s="27"/>
      <c r="U23020" s="27"/>
    </row>
    <row r="23022">
      <c r="S23022" s="27"/>
      <c r="T23022" s="27"/>
      <c r="U23022" s="27"/>
    </row>
    <row r="23023">
      <c r="S23023" s="27"/>
      <c r="T23023" s="27"/>
      <c r="U23023" s="27"/>
    </row>
    <row r="23025">
      <c r="S23025" s="27"/>
      <c r="T23025" s="27"/>
      <c r="U23025" s="27"/>
    </row>
    <row r="23026">
      <c r="S23026" s="27"/>
      <c r="T23026" s="27"/>
      <c r="U23026" s="27"/>
    </row>
    <row r="23028">
      <c r="S23028" s="27"/>
      <c r="T23028" s="27"/>
      <c r="U23028" s="27"/>
    </row>
    <row r="23029">
      <c r="S23029" s="27"/>
      <c r="T23029" s="27"/>
      <c r="U23029" s="27"/>
    </row>
    <row r="23031">
      <c r="S23031" s="27"/>
      <c r="T23031" s="27"/>
      <c r="U23031" s="27"/>
    </row>
    <row r="23032">
      <c r="S23032" s="27"/>
      <c r="T23032" s="27"/>
      <c r="U23032" s="27"/>
    </row>
    <row r="23034">
      <c r="S23034" s="27"/>
      <c r="T23034" s="27"/>
      <c r="U23034" s="27"/>
    </row>
    <row r="23035">
      <c r="S23035" s="27"/>
      <c r="T23035" s="27"/>
      <c r="U23035" s="27"/>
    </row>
    <row r="23037">
      <c r="S23037" s="27"/>
      <c r="T23037" s="27"/>
      <c r="U23037" s="27"/>
    </row>
    <row r="23038">
      <c r="S23038" s="27"/>
      <c r="T23038" s="27"/>
      <c r="U23038" s="27"/>
    </row>
    <row r="23040">
      <c r="S23040" s="27"/>
      <c r="T23040" s="27"/>
      <c r="U23040" s="27"/>
    </row>
    <row r="23041">
      <c r="S23041" s="27"/>
      <c r="T23041" s="27"/>
      <c r="U23041" s="27"/>
    </row>
    <row r="23043">
      <c r="S23043" s="27"/>
      <c r="T23043" s="27"/>
      <c r="U23043" s="27"/>
    </row>
    <row r="23044">
      <c r="S23044" s="27"/>
      <c r="T23044" s="27"/>
      <c r="U23044" s="27"/>
    </row>
    <row r="23046">
      <c r="S23046" s="27"/>
      <c r="T23046" s="27"/>
      <c r="U23046" s="27"/>
    </row>
    <row r="23047">
      <c r="S23047" s="27"/>
      <c r="T23047" s="27"/>
      <c r="U23047" s="27"/>
    </row>
    <row r="23049">
      <c r="S23049" s="27"/>
      <c r="T23049" s="27"/>
      <c r="U23049" s="27"/>
    </row>
    <row r="23050">
      <c r="S23050" s="27"/>
      <c r="T23050" s="27"/>
      <c r="U23050" s="27"/>
    </row>
    <row r="23052">
      <c r="S23052" s="27"/>
      <c r="T23052" s="27"/>
      <c r="U23052" s="27"/>
    </row>
    <row r="23053">
      <c r="S23053" s="27"/>
      <c r="T23053" s="27"/>
      <c r="U23053" s="27"/>
    </row>
    <row r="23055">
      <c r="S23055" s="27"/>
      <c r="T23055" s="27"/>
      <c r="U23055" s="27"/>
    </row>
    <row r="23056">
      <c r="S23056" s="27"/>
      <c r="T23056" s="27"/>
      <c r="U23056" s="27"/>
    </row>
    <row r="23058">
      <c r="S23058" s="27"/>
      <c r="T23058" s="27"/>
      <c r="U23058" s="27"/>
    </row>
    <row r="23059">
      <c r="S23059" s="27"/>
      <c r="T23059" s="27"/>
      <c r="U23059" s="27"/>
    </row>
    <row r="23061">
      <c r="S23061" s="27"/>
      <c r="T23061" s="27"/>
      <c r="U23061" s="27"/>
    </row>
    <row r="23062">
      <c r="S23062" s="27"/>
      <c r="T23062" s="27"/>
      <c r="U23062" s="27"/>
    </row>
    <row r="23064">
      <c r="S23064" s="27"/>
      <c r="T23064" s="27"/>
      <c r="U23064" s="27"/>
    </row>
    <row r="23065">
      <c r="S23065" s="27"/>
      <c r="T23065" s="27"/>
      <c r="U23065" s="27"/>
    </row>
    <row r="23067">
      <c r="S23067" s="27"/>
      <c r="T23067" s="27"/>
      <c r="U23067" s="27"/>
    </row>
    <row r="23068">
      <c r="S23068" s="27"/>
      <c r="T23068" s="27"/>
      <c r="U23068" s="27"/>
    </row>
    <row r="23070">
      <c r="S23070" s="27"/>
      <c r="T23070" s="27"/>
      <c r="U23070" s="27"/>
    </row>
    <row r="23071">
      <c r="S23071" s="27"/>
      <c r="T23071" s="27"/>
      <c r="U23071" s="27"/>
    </row>
    <row r="23073">
      <c r="S23073" s="27"/>
      <c r="T23073" s="27"/>
      <c r="U23073" s="27"/>
    </row>
    <row r="23075">
      <c r="S23075" s="27"/>
      <c r="T23075" s="27"/>
      <c r="U23075" s="27"/>
    </row>
    <row r="23076">
      <c r="S23076" s="27"/>
      <c r="T23076" s="27"/>
      <c r="U23076" s="27"/>
    </row>
    <row r="23078">
      <c r="S23078" s="27"/>
      <c r="T23078" s="27"/>
      <c r="U23078" s="27"/>
    </row>
    <row r="23079">
      <c r="S23079" s="27"/>
      <c r="T23079" s="27"/>
      <c r="U23079" s="27"/>
    </row>
    <row r="23081">
      <c r="S23081" s="27"/>
      <c r="T23081" s="27"/>
      <c r="U23081" s="27"/>
    </row>
    <row r="23082">
      <c r="S23082" s="27"/>
      <c r="T23082" s="27"/>
      <c r="U23082" s="27"/>
    </row>
    <row r="23084">
      <c r="S23084" s="27"/>
      <c r="T23084" s="27"/>
      <c r="U23084" s="27"/>
    </row>
    <row r="23085">
      <c r="S23085" s="27"/>
      <c r="T23085" s="27"/>
      <c r="U23085" s="27"/>
    </row>
    <row r="23087">
      <c r="S23087" s="27"/>
      <c r="T23087" s="27"/>
      <c r="U23087" s="27"/>
    </row>
    <row r="23088">
      <c r="S23088" s="27"/>
      <c r="T23088" s="27"/>
      <c r="U23088" s="27"/>
    </row>
    <row r="23090">
      <c r="S23090" s="27"/>
      <c r="T23090" s="27"/>
      <c r="U23090" s="27"/>
    </row>
    <row r="23091">
      <c r="S23091" s="27"/>
      <c r="T23091" s="27"/>
      <c r="U23091" s="27"/>
    </row>
    <row r="23093">
      <c r="S23093" s="27"/>
      <c r="T23093" s="27"/>
      <c r="U23093" s="27"/>
    </row>
    <row r="23094">
      <c r="S23094" s="27"/>
      <c r="T23094" s="27"/>
      <c r="U23094" s="27"/>
    </row>
    <row r="23096">
      <c r="S23096" s="27"/>
      <c r="T23096" s="27"/>
      <c r="U23096" s="27"/>
    </row>
    <row r="23098">
      <c r="S23098" s="27"/>
      <c r="T23098" s="27"/>
      <c r="U23098" s="27"/>
    </row>
    <row r="23100">
      <c r="T23100" s="27"/>
    </row>
    <row r="23102">
      <c r="S23102" s="27"/>
      <c r="T23102" s="27"/>
      <c r="U23102" s="27"/>
    </row>
    <row r="23104">
      <c r="S23104" s="27"/>
      <c r="T23104" s="27"/>
      <c r="U23104" s="27"/>
    </row>
    <row r="23105">
      <c r="S23105" s="27"/>
      <c r="T23105" s="27"/>
      <c r="U23105" s="27"/>
    </row>
    <row r="23107">
      <c r="S23107" s="27"/>
      <c r="T23107" s="27"/>
      <c r="U23107" s="27"/>
    </row>
    <row r="23108">
      <c r="S23108" s="27"/>
      <c r="T23108" s="27"/>
      <c r="U23108" s="27"/>
    </row>
    <row r="23110">
      <c r="S23110" s="27"/>
      <c r="T23110" s="27"/>
      <c r="U23110" s="27"/>
    </row>
    <row r="23111">
      <c r="S23111" s="27"/>
      <c r="T23111" s="27"/>
    </row>
    <row r="23113">
      <c r="S23113" s="27"/>
      <c r="T23113" s="27"/>
      <c r="U23113" s="27"/>
    </row>
    <row r="23114">
      <c r="S23114" s="27"/>
      <c r="T23114" s="27"/>
      <c r="U23114" s="27"/>
    </row>
    <row r="23116">
      <c r="S23116" s="27"/>
      <c r="T23116" s="27"/>
      <c r="U23116" s="27"/>
    </row>
    <row r="23117">
      <c r="S23117" s="27"/>
      <c r="T23117" s="27"/>
      <c r="U23117" s="27"/>
    </row>
    <row r="23119">
      <c r="S23119" s="27"/>
      <c r="T23119" s="27"/>
      <c r="U23119" s="27"/>
    </row>
    <row r="23120">
      <c r="S23120" s="27"/>
      <c r="T23120" s="27"/>
      <c r="U23120" s="27"/>
    </row>
    <row r="23125">
      <c r="T23125" s="27"/>
      <c r="U23125" s="26"/>
    </row>
    <row r="23128">
      <c r="S23128" s="33"/>
      <c r="T23128" s="33"/>
      <c r="U23128" s="33"/>
    </row>
    <row r="23129">
      <c r="S23129" s="26"/>
      <c r="T23129" s="26"/>
      <c r="U23129" s="26"/>
    </row>
    <row r="23131">
      <c r="S23131" s="27"/>
      <c r="T23131" s="27"/>
      <c r="U23131" s="27"/>
    </row>
    <row r="23132">
      <c r="S23132" s="27"/>
      <c r="T23132" s="27"/>
      <c r="U23132" s="27"/>
    </row>
    <row r="23134">
      <c r="S23134" s="27"/>
      <c r="T23134" s="27"/>
      <c r="U23134" s="27"/>
    </row>
    <row r="23135">
      <c r="S23135" s="27"/>
      <c r="T23135" s="27"/>
      <c r="U23135" s="27"/>
    </row>
    <row r="23137">
      <c r="S23137" s="27"/>
      <c r="T23137" s="27"/>
      <c r="U23137" s="27"/>
    </row>
    <row r="23138">
      <c r="S23138" s="27"/>
      <c r="T23138" s="27"/>
      <c r="U23138" s="27"/>
    </row>
    <row r="23140">
      <c r="S23140" s="26"/>
      <c r="T23140" s="26"/>
      <c r="U23140" s="26"/>
    </row>
    <row r="23143">
      <c r="S23143" s="27"/>
      <c r="T23143" s="27"/>
      <c r="U23143" s="27"/>
    </row>
    <row r="23144">
      <c r="S23144" s="27"/>
      <c r="T23144" s="27"/>
      <c r="U23144" s="27"/>
    </row>
    <row r="23146">
      <c r="S23146" s="27"/>
      <c r="T23146" s="27"/>
      <c r="U23146" s="27"/>
    </row>
    <row r="23147">
      <c r="S23147" s="27"/>
      <c r="T23147" s="27"/>
      <c r="U23147" s="27"/>
    </row>
    <row r="23149">
      <c r="S23149" s="27"/>
      <c r="T23149" s="27"/>
      <c r="U23149" s="27"/>
    </row>
    <row r="23150">
      <c r="S23150" s="27"/>
      <c r="T23150" s="27"/>
      <c r="U23150" s="27"/>
    </row>
    <row r="23152">
      <c r="S23152" s="27"/>
      <c r="T23152" s="27"/>
      <c r="U23152" s="27"/>
    </row>
    <row r="23155">
      <c r="S23155" s="26"/>
      <c r="T23155" s="26"/>
      <c r="U23155" s="26"/>
    </row>
    <row r="23158">
      <c r="S23158" s="27"/>
      <c r="T23158" s="27"/>
      <c r="U23158" s="27"/>
    </row>
    <row r="23159">
      <c r="S23159" s="27"/>
      <c r="T23159" s="27"/>
      <c r="U23159" s="27"/>
    </row>
    <row r="23161">
      <c r="S23161" s="27"/>
      <c r="T23161" s="27"/>
      <c r="U23161" s="27"/>
    </row>
    <row r="23162">
      <c r="S23162" s="27"/>
      <c r="T23162" s="27"/>
      <c r="U23162" s="27"/>
    </row>
    <row r="23170">
      <c r="S23170" s="27"/>
      <c r="T23170" s="27"/>
      <c r="U23170" s="27"/>
    </row>
    <row r="23173">
      <c r="S23173" s="27"/>
      <c r="T23173" s="27"/>
      <c r="U23173" s="27"/>
    </row>
    <row r="23174">
      <c r="S23174" s="27"/>
      <c r="T23174" s="27"/>
      <c r="U23174" s="27"/>
    </row>
    <row r="23176">
      <c r="S23176" s="27"/>
      <c r="T23176" s="27"/>
      <c r="U23176" s="27"/>
    </row>
    <row r="23177">
      <c r="S23177" s="27"/>
      <c r="T23177" s="27"/>
      <c r="U23177" s="27"/>
    </row>
    <row r="23179">
      <c r="S23179" s="27"/>
      <c r="T23179" s="27"/>
      <c r="U23179" s="27"/>
    </row>
    <row r="23180">
      <c r="S23180" s="27"/>
      <c r="T23180" s="27"/>
      <c r="U23180" s="27"/>
    </row>
    <row r="23182">
      <c r="S23182" s="27"/>
      <c r="T23182" s="27"/>
      <c r="U23182" s="27"/>
    </row>
    <row r="23183">
      <c r="S23183" s="27"/>
      <c r="T23183" s="27"/>
      <c r="U23183" s="27"/>
    </row>
    <row r="23185">
      <c r="S23185" s="27"/>
      <c r="T23185" s="27"/>
      <c r="U23185" s="27"/>
    </row>
    <row r="23186">
      <c r="S23186" s="27"/>
      <c r="T23186" s="27"/>
      <c r="U23186" s="27"/>
    </row>
    <row r="23188">
      <c r="S23188" s="27"/>
      <c r="T23188" s="27"/>
      <c r="U23188" s="27"/>
    </row>
    <row r="23189">
      <c r="S23189" s="27"/>
      <c r="T23189" s="27"/>
      <c r="U23189" s="27"/>
    </row>
    <row r="23191">
      <c r="S23191" s="27"/>
      <c r="T23191" s="27"/>
      <c r="U23191" s="27"/>
    </row>
    <row r="23192">
      <c r="S23192" s="27"/>
      <c r="T23192" s="27"/>
      <c r="U23192" s="27"/>
    </row>
    <row r="23194">
      <c r="S23194" s="27"/>
      <c r="T23194" s="27"/>
      <c r="U23194" s="27"/>
    </row>
    <row r="23195">
      <c r="S23195" s="27"/>
      <c r="T23195" s="27"/>
      <c r="U23195" s="27"/>
    </row>
    <row r="23197">
      <c r="S23197" s="27"/>
      <c r="T23197" s="27"/>
      <c r="U23197" s="27"/>
    </row>
    <row r="23198">
      <c r="S23198" s="27"/>
      <c r="T23198" s="27"/>
      <c r="U23198" s="27"/>
    </row>
    <row r="23200">
      <c r="S23200" s="27"/>
      <c r="T23200" s="27"/>
      <c r="U23200" s="27"/>
    </row>
    <row r="23201">
      <c r="S23201" s="27"/>
      <c r="T23201" s="27"/>
      <c r="U23201" s="27"/>
    </row>
    <row r="23203">
      <c r="S23203" s="27"/>
      <c r="T23203" s="27"/>
      <c r="U23203" s="27"/>
    </row>
    <row r="23204">
      <c r="S23204" s="27"/>
      <c r="T23204" s="27"/>
      <c r="U23204" s="27"/>
    </row>
    <row r="23206">
      <c r="S23206" s="27"/>
      <c r="T23206" s="27"/>
      <c r="U23206" s="27"/>
    </row>
    <row r="23207">
      <c r="S23207" s="27"/>
      <c r="T23207" s="27"/>
      <c r="U23207" s="27"/>
    </row>
    <row r="23209">
      <c r="S23209" s="27"/>
      <c r="T23209" s="27"/>
      <c r="U23209" s="27"/>
    </row>
    <row r="23210">
      <c r="S23210" s="27"/>
      <c r="T23210" s="27"/>
      <c r="U23210" s="27"/>
    </row>
    <row r="23212">
      <c r="S23212" s="27"/>
      <c r="T23212" s="27"/>
      <c r="U23212" s="27"/>
    </row>
    <row r="23213">
      <c r="S23213" s="27"/>
      <c r="T23213" s="27"/>
      <c r="U23213" s="27"/>
    </row>
    <row r="23215">
      <c r="S23215" s="27"/>
      <c r="T23215" s="27"/>
      <c r="U23215" s="27"/>
    </row>
    <row r="23216">
      <c r="S23216" s="27"/>
      <c r="T23216" s="27"/>
      <c r="U23216" s="27"/>
    </row>
    <row r="23218">
      <c r="S23218" s="27"/>
      <c r="T23218" s="27"/>
      <c r="U23218" s="27"/>
    </row>
    <row r="23219">
      <c r="S23219" s="27"/>
      <c r="T23219" s="27"/>
      <c r="U23219" s="27"/>
    </row>
    <row r="23221">
      <c r="S23221" s="27"/>
      <c r="T23221" s="27"/>
      <c r="U23221" s="27"/>
    </row>
    <row r="23222">
      <c r="S23222" s="27"/>
      <c r="T23222" s="27"/>
      <c r="U23222" s="27"/>
    </row>
    <row r="23224">
      <c r="S23224" s="27"/>
      <c r="T23224" s="27"/>
      <c r="U23224" s="27"/>
    </row>
    <row r="23225">
      <c r="S23225" s="27"/>
      <c r="T23225" s="27"/>
      <c r="U23225" s="27"/>
    </row>
    <row r="23227">
      <c r="S23227" s="27"/>
      <c r="T23227" s="27"/>
      <c r="U23227" s="27"/>
    </row>
    <row r="23228">
      <c r="S23228" s="27"/>
      <c r="T23228" s="27"/>
      <c r="U23228" s="27"/>
    </row>
    <row r="23230">
      <c r="S23230" s="27"/>
      <c r="T23230" s="27"/>
      <c r="U23230" s="27"/>
    </row>
    <row r="23231">
      <c r="S23231" s="27"/>
      <c r="T23231" s="27"/>
      <c r="U23231" s="27"/>
    </row>
    <row r="23233">
      <c r="S23233" s="27"/>
      <c r="T23233" s="27"/>
      <c r="U23233" s="27"/>
    </row>
    <row r="23234">
      <c r="S23234" s="27"/>
      <c r="T23234" s="27"/>
      <c r="U23234" s="27"/>
    </row>
    <row r="23236">
      <c r="S23236" s="27"/>
      <c r="T23236" s="27"/>
      <c r="U23236" s="27"/>
    </row>
    <row r="23237">
      <c r="S23237" s="27"/>
      <c r="T23237" s="27"/>
      <c r="U23237" s="27"/>
    </row>
    <row r="23239">
      <c r="S23239" s="27"/>
      <c r="T23239" s="27"/>
      <c r="U23239" s="27"/>
    </row>
    <row r="23240">
      <c r="S23240" s="27"/>
      <c r="T23240" s="27"/>
      <c r="U23240" s="27"/>
    </row>
    <row r="23242">
      <c r="S23242" s="27"/>
      <c r="T23242" s="27"/>
      <c r="U23242" s="27"/>
    </row>
    <row r="23243">
      <c r="S23243" s="27"/>
      <c r="T23243" s="27"/>
      <c r="U23243" s="27"/>
    </row>
    <row r="23245">
      <c r="S23245" s="27"/>
      <c r="T23245" s="27"/>
      <c r="U23245" s="27"/>
    </row>
    <row r="23246">
      <c r="S23246" s="27"/>
      <c r="T23246" s="27"/>
      <c r="U23246" s="27"/>
    </row>
    <row r="23248">
      <c r="S23248" s="33"/>
      <c r="T23248" s="33"/>
      <c r="U23248" s="27"/>
    </row>
    <row r="23249">
      <c r="U23249" s="27"/>
    </row>
    <row r="23251">
      <c r="S23251" s="27"/>
      <c r="T23251" s="27"/>
      <c r="U23251" s="27"/>
    </row>
    <row r="23254">
      <c r="S23254" s="33"/>
      <c r="T23254" s="27"/>
    </row>
    <row r="23255">
      <c r="S23255" s="27"/>
      <c r="T23255" s="27"/>
    </row>
    <row r="23257">
      <c r="S23257" s="27"/>
      <c r="T23257" s="27"/>
      <c r="U23257" s="27"/>
    </row>
    <row r="23258">
      <c r="S23258" s="27"/>
      <c r="T23258" s="27"/>
      <c r="U23258" s="27"/>
    </row>
    <row r="23260">
      <c r="S23260" s="27"/>
      <c r="T23260" s="27"/>
      <c r="U23260" s="27"/>
    </row>
    <row r="23263">
      <c r="S23263" s="27"/>
      <c r="U23263" s="27"/>
    </row>
    <row r="23264">
      <c r="S23264" s="27"/>
      <c r="T23264" s="27"/>
      <c r="U23264" s="27"/>
    </row>
    <row r="23266">
      <c r="S23266" s="27"/>
      <c r="T23266" s="27"/>
      <c r="U23266" s="27"/>
    </row>
    <row r="23267">
      <c r="S23267" s="27"/>
      <c r="T23267" s="27"/>
      <c r="U23267" s="27"/>
    </row>
    <row r="23269">
      <c r="S23269" s="27"/>
      <c r="T23269" s="27"/>
      <c r="U23269" s="27"/>
    </row>
    <row r="23270">
      <c r="S23270" s="27"/>
      <c r="T23270" s="27"/>
      <c r="U23270" s="27"/>
    </row>
    <row r="23275">
      <c r="T23275" s="26"/>
      <c r="U23275" s="26"/>
    </row>
    <row r="23278">
      <c r="S23278" s="35"/>
      <c r="T23278" s="35"/>
      <c r="U23278" s="35"/>
    </row>
    <row r="23280">
      <c r="S23280" s="27"/>
      <c r="T23280" s="27"/>
    </row>
    <row r="23282">
      <c r="S23282" s="26"/>
      <c r="T23282" s="26"/>
      <c r="U23282" s="26"/>
    </row>
    <row r="23285">
      <c r="S23285" s="27"/>
      <c r="T23285" s="27"/>
      <c r="U23285" s="27"/>
    </row>
    <row r="23288">
      <c r="S23288" s="27"/>
      <c r="T23288" s="27"/>
      <c r="U23288" s="27"/>
    </row>
    <row r="23289">
      <c r="S23289" s="27"/>
      <c r="T23289" s="27"/>
      <c r="U23289" s="27"/>
    </row>
    <row r="23292">
      <c r="S23292" s="27"/>
      <c r="T23292" s="27"/>
      <c r="U23292" s="27"/>
    </row>
    <row r="23294">
      <c r="S23294" s="27"/>
      <c r="T23294" s="27"/>
      <c r="U23294" s="27"/>
    </row>
    <row r="23295">
      <c r="U23295" s="27"/>
    </row>
    <row r="23297">
      <c r="S23297" s="27"/>
      <c r="T23297" s="27"/>
      <c r="U23297" s="27"/>
    </row>
    <row r="23298">
      <c r="T23298" s="27"/>
      <c r="U23298" s="26"/>
    </row>
    <row r="23300">
      <c r="S23300" s="27"/>
      <c r="T23300" s="27"/>
      <c r="U23300" s="27"/>
    </row>
    <row r="23301">
      <c r="S23301" s="27"/>
      <c r="T23301" s="27"/>
      <c r="U23301" s="27"/>
    </row>
    <row r="23306">
      <c r="S23306" s="27"/>
      <c r="T23306" s="27"/>
      <c r="U23306" s="27"/>
    </row>
    <row r="23307">
      <c r="S23307" s="27"/>
      <c r="T23307" s="27"/>
      <c r="U23307" s="27"/>
    </row>
    <row r="23309">
      <c r="S23309" s="27"/>
      <c r="T23309" s="27"/>
      <c r="U23309" s="27"/>
    </row>
    <row r="23310">
      <c r="S23310" s="27"/>
      <c r="T23310" s="27"/>
      <c r="U23310" s="27"/>
    </row>
    <row r="23312">
      <c r="S23312" s="27"/>
      <c r="T23312" s="27"/>
      <c r="U23312" s="27"/>
    </row>
    <row r="23313">
      <c r="S23313" s="27"/>
      <c r="T23313" s="27"/>
      <c r="U23313" s="27"/>
    </row>
    <row r="23318">
      <c r="S23318" s="27"/>
      <c r="T23318" s="27"/>
      <c r="U23318" s="27"/>
    </row>
    <row r="23321">
      <c r="S23321" s="27"/>
      <c r="T23321" s="27"/>
      <c r="U23321" s="27"/>
    </row>
    <row r="23322">
      <c r="S23322" s="33"/>
      <c r="T23322" s="33"/>
      <c r="U23322" s="33"/>
    </row>
    <row r="23325">
      <c r="S23325" s="26"/>
      <c r="T23325" s="26"/>
      <c r="U23325" s="26"/>
    </row>
    <row r="23327">
      <c r="S23327" s="27"/>
      <c r="T23327" s="27"/>
      <c r="U23327" s="27"/>
    </row>
    <row r="23328">
      <c r="S23328" s="27"/>
      <c r="T23328" s="27"/>
      <c r="U23328" s="27"/>
    </row>
    <row r="23330">
      <c r="S23330" s="27"/>
      <c r="T23330" s="27"/>
      <c r="U23330" s="27"/>
    </row>
    <row r="23331">
      <c r="S23331" s="27"/>
      <c r="T23331" s="27"/>
      <c r="U23331" s="27"/>
    </row>
    <row r="23333">
      <c r="S23333" s="27"/>
      <c r="T23333" s="27"/>
      <c r="U23333" s="27"/>
    </row>
    <row r="23334">
      <c r="S23334" s="27"/>
      <c r="T23334" s="27"/>
      <c r="U23334" s="27"/>
    </row>
    <row r="23336">
      <c r="S23336" s="27"/>
      <c r="T23336" s="27"/>
      <c r="U23336" s="27"/>
    </row>
    <row r="23337">
      <c r="S23337" s="27"/>
      <c r="T23337" s="27"/>
      <c r="U23337" s="27"/>
    </row>
    <row r="23339">
      <c r="T23339" s="26"/>
    </row>
    <row r="23342">
      <c r="S23342" s="33"/>
      <c r="T23342" s="27"/>
      <c r="U23342" s="27"/>
    </row>
    <row r="23343">
      <c r="S23343" s="27"/>
      <c r="T23343" s="27"/>
      <c r="U23343" s="27"/>
    </row>
    <row r="23345">
      <c r="S23345" s="27"/>
      <c r="T23345" s="27"/>
      <c r="U23345" s="27"/>
    </row>
    <row r="23346">
      <c r="S23346" s="27"/>
      <c r="T23346" s="27"/>
      <c r="U23346" s="27"/>
    </row>
    <row r="23348">
      <c r="S23348" s="27"/>
      <c r="T23348" s="27"/>
    </row>
    <row r="23351">
      <c r="S23351" s="27"/>
    </row>
    <row r="23352">
      <c r="S23352" s="27"/>
      <c r="T23352" s="27"/>
    </row>
    <row r="23354">
      <c r="S23354" s="27"/>
      <c r="T23354" s="27"/>
      <c r="U23354" s="27"/>
    </row>
    <row r="23355">
      <c r="S23355" s="27"/>
      <c r="T23355" s="27"/>
      <c r="U23355" s="27"/>
    </row>
    <row r="23357">
      <c r="S23357" s="27"/>
      <c r="T23357" s="27"/>
      <c r="U23357" s="27"/>
    </row>
    <row r="23358">
      <c r="S23358" s="27"/>
      <c r="T23358" s="27"/>
      <c r="U23358" s="27"/>
    </row>
    <row r="23363">
      <c r="S23363" s="27"/>
      <c r="T23363" s="27"/>
      <c r="U23363" s="27"/>
    </row>
    <row r="23364">
      <c r="S23364" s="27"/>
      <c r="T23364" s="27"/>
      <c r="U23364" s="27"/>
    </row>
    <row r="23366">
      <c r="S23366" s="26"/>
      <c r="T23366" s="26"/>
      <c r="U23366" s="26"/>
    </row>
    <row r="23369">
      <c r="S23369" s="27"/>
      <c r="T23369" s="27"/>
      <c r="U23369" s="27"/>
    </row>
    <row r="23372">
      <c r="S23372" s="27"/>
      <c r="T23372" s="27"/>
      <c r="U23372" s="27"/>
    </row>
    <row r="23373">
      <c r="S23373" s="27"/>
      <c r="T23373" s="27"/>
      <c r="U23373" s="27"/>
    </row>
    <row r="23375">
      <c r="S23375" s="27"/>
      <c r="T23375" s="27"/>
      <c r="U23375" s="27"/>
    </row>
    <row r="23376">
      <c r="S23376" s="27"/>
      <c r="T23376" s="27"/>
      <c r="U23376" s="27"/>
    </row>
    <row r="23378">
      <c r="S23378" s="27"/>
      <c r="T23378" s="27"/>
      <c r="U23378" s="27"/>
    </row>
    <row r="23379">
      <c r="S23379" s="27"/>
      <c r="T23379" s="27"/>
      <c r="U23379" s="27"/>
    </row>
    <row r="23381">
      <c r="S23381" s="26"/>
    </row>
    <row r="23382">
      <c r="S23382" s="26"/>
      <c r="T23382" s="26"/>
      <c r="U23382" s="26"/>
    </row>
    <row r="23384">
      <c r="S23384" s="27"/>
      <c r="T23384" s="27"/>
      <c r="U23384" s="27"/>
    </row>
    <row r="23385">
      <c r="S23385" s="27"/>
      <c r="T23385" s="27"/>
      <c r="U23385" s="27"/>
    </row>
    <row r="23387">
      <c r="S23387" s="27"/>
      <c r="T23387" s="27"/>
      <c r="U23387" s="27"/>
    </row>
    <row r="23388">
      <c r="S23388" s="27"/>
      <c r="T23388" s="27"/>
      <c r="U23388" s="27"/>
    </row>
    <row r="23390">
      <c r="S23390" s="27"/>
      <c r="T23390" s="27"/>
      <c r="U23390" s="27"/>
    </row>
    <row r="23391">
      <c r="S23391" s="27"/>
      <c r="T23391" s="27"/>
      <c r="U23391" s="27"/>
    </row>
    <row r="23393">
      <c r="S23393" s="27"/>
      <c r="T23393" s="27"/>
      <c r="U23393" s="27"/>
    </row>
    <row r="23394">
      <c r="S23394" s="27"/>
      <c r="T23394" s="27"/>
      <c r="U23394" s="27"/>
    </row>
    <row r="23396">
      <c r="S23396" s="27"/>
      <c r="T23396" s="27"/>
      <c r="U23396" s="27"/>
    </row>
    <row r="23397">
      <c r="S23397" s="27"/>
      <c r="T23397" s="27"/>
      <c r="U23397" s="27"/>
    </row>
    <row r="23399">
      <c r="S23399" s="27"/>
      <c r="T23399" s="27"/>
      <c r="U23399" s="27"/>
    </row>
    <row r="23400">
      <c r="S23400" s="27"/>
      <c r="T23400" s="27"/>
      <c r="U23400" s="27"/>
    </row>
    <row r="23402">
      <c r="S23402" s="27"/>
      <c r="T23402" s="27"/>
      <c r="U23402" s="27"/>
    </row>
    <row r="23403">
      <c r="S23403" s="27"/>
      <c r="T23403" s="27"/>
      <c r="U23403" s="27"/>
    </row>
    <row r="23405">
      <c r="S23405" s="27"/>
      <c r="T23405" s="27"/>
      <c r="U23405" s="27"/>
    </row>
    <row r="23406">
      <c r="S23406" s="27"/>
      <c r="T23406" s="27"/>
      <c r="U23406" s="27"/>
    </row>
    <row r="23408">
      <c r="S23408" s="27"/>
      <c r="T23408" s="27"/>
      <c r="U23408" s="27"/>
    </row>
    <row r="23409">
      <c r="S23409" s="27"/>
      <c r="T23409" s="27"/>
      <c r="U23409" s="27"/>
    </row>
    <row r="23411">
      <c r="S23411" s="27"/>
      <c r="T23411" s="27"/>
      <c r="U23411" s="27"/>
    </row>
    <row r="23412">
      <c r="S23412" s="27"/>
      <c r="T23412" s="27"/>
      <c r="U23412" s="27"/>
    </row>
    <row r="23414">
      <c r="S23414" s="27"/>
      <c r="T23414" s="27"/>
      <c r="U23414" s="27"/>
    </row>
    <row r="23415">
      <c r="S23415" s="27"/>
      <c r="T23415" s="27"/>
      <c r="U23415" s="27"/>
    </row>
    <row r="23417">
      <c r="S23417" s="27"/>
      <c r="T23417" s="27"/>
      <c r="U23417" s="27"/>
    </row>
    <row r="23418">
      <c r="S23418" s="27"/>
      <c r="T23418" s="27"/>
      <c r="U23418" s="27"/>
    </row>
    <row r="23420">
      <c r="S23420" s="27"/>
      <c r="T23420" s="27"/>
      <c r="U23420" s="27"/>
    </row>
    <row r="23421">
      <c r="S23421" s="27"/>
      <c r="T23421" s="27"/>
      <c r="U23421" s="27"/>
    </row>
    <row r="23423">
      <c r="S23423" s="27"/>
      <c r="T23423" s="27"/>
      <c r="U23423" s="27"/>
    </row>
    <row r="23424">
      <c r="S23424" s="27"/>
      <c r="T23424" s="27"/>
      <c r="U23424" s="27"/>
    </row>
    <row r="23426">
      <c r="S23426" s="27"/>
      <c r="T23426" s="27"/>
      <c r="U23426" s="27"/>
    </row>
    <row r="23427">
      <c r="S23427" s="27"/>
      <c r="T23427" s="27"/>
      <c r="U23427" s="27"/>
    </row>
    <row r="23429">
      <c r="S23429" s="27"/>
      <c r="T23429" s="27"/>
      <c r="U23429" s="27"/>
    </row>
    <row r="23430">
      <c r="S23430" s="27"/>
      <c r="T23430" s="27"/>
      <c r="U23430" s="27"/>
    </row>
    <row r="23432">
      <c r="S23432" s="27"/>
      <c r="T23432" s="27"/>
      <c r="U23432" s="27"/>
    </row>
    <row r="23433">
      <c r="S23433" s="27"/>
      <c r="T23433" s="27"/>
      <c r="U23433" s="27"/>
    </row>
    <row r="23435">
      <c r="S23435" s="27"/>
      <c r="T23435" s="27"/>
      <c r="U23435" s="27"/>
    </row>
    <row r="23436">
      <c r="S23436" s="27"/>
      <c r="T23436" s="27"/>
      <c r="U23436" s="27"/>
    </row>
    <row r="23438">
      <c r="S23438" s="27"/>
      <c r="T23438" s="27"/>
      <c r="U23438" s="27"/>
    </row>
    <row r="23439">
      <c r="S23439" s="27"/>
      <c r="T23439" s="27"/>
      <c r="U23439" s="27"/>
    </row>
    <row r="23441">
      <c r="S23441" s="27"/>
      <c r="T23441" s="27"/>
      <c r="U23441" s="27"/>
    </row>
    <row r="23442">
      <c r="S23442" s="27"/>
      <c r="T23442" s="27"/>
      <c r="U23442" s="27"/>
    </row>
    <row r="23444">
      <c r="S23444" s="27"/>
      <c r="T23444" s="27"/>
      <c r="U23444" s="27"/>
    </row>
    <row r="23445">
      <c r="S23445" s="27"/>
      <c r="T23445" s="27"/>
      <c r="U23445" s="27"/>
    </row>
    <row r="23447">
      <c r="S23447" s="27"/>
      <c r="T23447" s="27"/>
      <c r="U23447" s="27"/>
    </row>
    <row r="23448">
      <c r="S23448" s="27"/>
      <c r="T23448" s="27"/>
      <c r="U23448" s="27"/>
    </row>
    <row r="23450">
      <c r="S23450" s="27"/>
      <c r="T23450" s="27"/>
      <c r="U23450" s="27"/>
    </row>
    <row r="23451">
      <c r="S23451" s="27"/>
      <c r="T23451" s="27"/>
      <c r="U23451" s="27"/>
    </row>
    <row r="23453">
      <c r="S23453" s="27"/>
      <c r="T23453" s="27"/>
      <c r="U23453" s="27"/>
    </row>
    <row r="23454">
      <c r="S23454" s="27"/>
      <c r="T23454" s="27"/>
      <c r="U23454" s="27"/>
    </row>
    <row r="23456">
      <c r="S23456" s="27"/>
      <c r="T23456" s="27"/>
      <c r="U23456" s="27"/>
    </row>
    <row r="23457">
      <c r="S23457" s="27"/>
      <c r="T23457" s="27"/>
      <c r="U23457" s="27"/>
    </row>
    <row r="23459">
      <c r="S23459" s="27"/>
      <c r="T23459" s="27"/>
      <c r="U23459" s="27"/>
    </row>
    <row r="23460">
      <c r="S23460" s="27"/>
      <c r="T23460" s="27"/>
      <c r="U23460" s="27"/>
    </row>
    <row r="23462">
      <c r="S23462" s="27"/>
      <c r="T23462" s="27"/>
      <c r="U23462" s="27"/>
    </row>
    <row r="23463">
      <c r="S23463" s="27"/>
      <c r="T23463" s="27"/>
      <c r="U23463" s="27"/>
    </row>
    <row r="23465">
      <c r="S23465" s="27"/>
      <c r="T23465" s="27"/>
      <c r="U23465" s="27"/>
    </row>
    <row r="23466">
      <c r="S23466" s="27"/>
      <c r="T23466" s="27"/>
      <c r="U23466" s="27"/>
    </row>
    <row r="23468">
      <c r="S23468" s="27"/>
      <c r="T23468" s="27"/>
      <c r="U23468" s="27"/>
    </row>
    <row r="23469">
      <c r="S23469" s="27"/>
      <c r="T23469" s="27"/>
      <c r="U23469" s="27"/>
    </row>
    <row r="23471">
      <c r="S23471" s="27"/>
      <c r="T23471" s="27"/>
      <c r="U23471" s="27"/>
    </row>
    <row r="23472">
      <c r="S23472" s="27"/>
      <c r="T23472" s="27"/>
      <c r="U23472" s="27"/>
    </row>
    <row r="23474">
      <c r="S23474" s="27"/>
      <c r="T23474" s="27"/>
      <c r="U23474" s="27"/>
    </row>
    <row r="23475">
      <c r="S23475" s="27"/>
      <c r="T23475" s="27"/>
      <c r="U23475" s="27"/>
    </row>
    <row r="23477">
      <c r="S23477" s="27"/>
      <c r="T23477" s="27"/>
      <c r="U23477" s="27"/>
    </row>
    <row r="23478">
      <c r="S23478" s="27"/>
      <c r="T23478" s="27"/>
      <c r="U23478" s="27"/>
    </row>
    <row r="23480">
      <c r="S23480" s="27"/>
      <c r="T23480" s="27"/>
      <c r="U23480" s="27"/>
    </row>
    <row r="23482">
      <c r="S23482" s="27"/>
      <c r="T23482" s="27"/>
      <c r="U23482" s="27"/>
    </row>
    <row r="23483">
      <c r="S23483" s="27"/>
      <c r="T23483" s="27"/>
      <c r="U23483" s="27"/>
    </row>
    <row r="23485">
      <c r="S23485" s="27"/>
      <c r="T23485" s="27"/>
      <c r="U23485" s="27"/>
    </row>
    <row r="23486">
      <c r="S23486" s="27"/>
      <c r="T23486" s="27"/>
      <c r="U23486" s="27"/>
    </row>
    <row r="23488">
      <c r="S23488" s="27"/>
      <c r="T23488" s="27"/>
      <c r="U23488" s="27"/>
    </row>
    <row r="23489">
      <c r="S23489" s="27"/>
      <c r="T23489" s="27"/>
      <c r="U23489" s="27"/>
    </row>
    <row r="23491">
      <c r="S23491" s="27"/>
      <c r="T23491" s="27"/>
      <c r="U23491" s="27"/>
    </row>
    <row r="23492">
      <c r="S23492" s="27"/>
      <c r="T23492" s="27"/>
      <c r="U23492" s="27"/>
    </row>
    <row r="23494">
      <c r="S23494" s="27"/>
      <c r="T23494" s="27"/>
      <c r="U23494" s="27"/>
    </row>
    <row r="23495">
      <c r="S23495" s="27"/>
      <c r="T23495" s="27"/>
      <c r="U23495" s="27"/>
    </row>
    <row r="23497">
      <c r="S23497" s="27"/>
      <c r="T23497" s="27"/>
      <c r="U23497" s="27"/>
    </row>
    <row r="23498">
      <c r="S23498" s="27"/>
      <c r="T23498" s="27"/>
      <c r="U23498" s="27"/>
    </row>
    <row r="23500">
      <c r="S23500" s="27"/>
      <c r="T23500" s="27"/>
      <c r="U23500" s="27"/>
    </row>
    <row r="23501">
      <c r="S23501" s="27"/>
      <c r="T23501" s="27"/>
      <c r="U23501" s="27"/>
    </row>
    <row r="23503">
      <c r="S23503" s="27"/>
      <c r="T23503" s="27"/>
      <c r="U23503" s="27"/>
    </row>
    <row r="23505">
      <c r="S23505" s="27"/>
      <c r="T23505" s="27"/>
      <c r="U23505" s="27"/>
    </row>
    <row r="23507">
      <c r="S23507" s="27"/>
      <c r="T23507" s="27"/>
      <c r="U23507" s="27"/>
    </row>
    <row r="23509">
      <c r="S23509" s="27"/>
      <c r="T23509" s="27"/>
      <c r="U23509" s="27"/>
    </row>
    <row r="23511">
      <c r="S23511" s="27"/>
      <c r="T23511" s="27"/>
      <c r="U23511" s="27"/>
    </row>
    <row r="23512">
      <c r="S23512" s="27"/>
      <c r="T23512" s="27"/>
      <c r="U23512" s="27"/>
    </row>
    <row r="23514">
      <c r="S23514" s="27"/>
      <c r="T23514" s="27"/>
      <c r="U23514" s="27"/>
    </row>
    <row r="23515">
      <c r="S23515" s="27"/>
      <c r="T23515" s="27"/>
      <c r="U23515" s="27"/>
    </row>
    <row r="23517">
      <c r="S23517" s="27"/>
      <c r="T23517" s="27"/>
      <c r="U23517" s="27"/>
    </row>
    <row r="23518">
      <c r="S23518" s="33"/>
      <c r="T23518" s="33"/>
      <c r="U23518" s="27"/>
    </row>
    <row r="23520">
      <c r="S23520" s="27"/>
      <c r="T23520" s="27"/>
      <c r="U23520" s="27"/>
    </row>
    <row r="23521">
      <c r="S23521" s="27"/>
      <c r="T23521" s="27"/>
      <c r="U23521" s="27"/>
    </row>
    <row r="23523">
      <c r="S23523" s="27"/>
      <c r="T23523" s="27"/>
      <c r="U23523" s="27"/>
    </row>
    <row r="23524">
      <c r="S23524" s="27"/>
      <c r="T23524" s="27"/>
      <c r="U23524" s="27"/>
    </row>
    <row r="23526">
      <c r="S23526" s="27"/>
      <c r="T23526" s="27"/>
      <c r="U23526" s="27"/>
    </row>
    <row r="23527">
      <c r="S23527" s="27"/>
      <c r="T23527" s="27"/>
      <c r="U23527" s="27"/>
    </row>
    <row r="23529">
      <c r="S23529" s="27"/>
      <c r="T23529" s="27"/>
      <c r="U23529" s="27"/>
    </row>
    <row r="23530">
      <c r="S23530" s="27"/>
      <c r="T23530" s="27"/>
      <c r="U23530" s="27"/>
    </row>
    <row r="23532">
      <c r="S23532" s="27"/>
      <c r="T23532" s="26"/>
      <c r="U23532" s="26"/>
    </row>
    <row r="23535">
      <c r="S23535" s="33"/>
      <c r="T23535" s="33"/>
      <c r="U23535" s="33"/>
    </row>
    <row r="23536">
      <c r="S23536" s="26"/>
      <c r="T23536" s="26"/>
      <c r="U23536" s="26"/>
    </row>
    <row r="23538">
      <c r="S23538" s="27"/>
      <c r="T23538" s="27"/>
      <c r="U23538" s="27"/>
    </row>
    <row r="23539">
      <c r="S23539" s="27"/>
      <c r="T23539" s="27"/>
      <c r="U23539" s="27"/>
    </row>
    <row r="23541">
      <c r="S23541" s="27"/>
      <c r="T23541" s="27"/>
      <c r="U23541" s="27"/>
    </row>
    <row r="23542">
      <c r="S23542" s="27"/>
      <c r="T23542" s="27"/>
      <c r="U23542" s="27"/>
    </row>
    <row r="23544">
      <c r="S23544" s="27"/>
      <c r="T23544" s="27"/>
      <c r="U23544" s="27"/>
    </row>
    <row r="23545">
      <c r="S23545" s="27"/>
      <c r="T23545" s="27"/>
      <c r="U23545" s="27"/>
    </row>
    <row r="23547">
      <c r="U23547" s="26"/>
    </row>
    <row r="23550">
      <c r="S23550" s="27"/>
      <c r="T23550" s="27"/>
      <c r="U23550" s="27"/>
    </row>
    <row r="23551">
      <c r="S23551" s="27"/>
      <c r="T23551" s="27"/>
      <c r="U23551" s="27"/>
    </row>
    <row r="23553">
      <c r="S23553" s="27"/>
      <c r="T23553" s="27"/>
      <c r="U23553" s="27"/>
    </row>
    <row r="23554">
      <c r="S23554" s="27"/>
      <c r="T23554" s="27"/>
      <c r="U23554" s="27"/>
    </row>
    <row r="23556">
      <c r="S23556" s="27"/>
      <c r="T23556" s="27"/>
      <c r="U23556" s="27"/>
    </row>
    <row r="23557">
      <c r="S23557" s="27"/>
      <c r="T23557" s="27"/>
      <c r="U23557" s="27"/>
    </row>
    <row r="23559">
      <c r="U23559" s="27"/>
    </row>
    <row r="23562">
      <c r="S23562" s="26"/>
      <c r="T23562" s="26"/>
      <c r="U23562" s="26"/>
    </row>
    <row r="23565">
      <c r="S23565" s="27"/>
      <c r="T23565" s="27"/>
      <c r="U23565" s="27"/>
    </row>
    <row r="23566">
      <c r="S23566" s="27"/>
      <c r="T23566" s="27"/>
      <c r="U23566" s="27"/>
    </row>
    <row r="23568">
      <c r="S23568" s="27"/>
      <c r="T23568" s="27"/>
      <c r="U23568" s="27"/>
    </row>
    <row r="23569">
      <c r="S23569" s="27"/>
      <c r="T23569" s="27"/>
      <c r="U23569" s="27"/>
    </row>
    <row r="23577">
      <c r="S23577" s="27"/>
      <c r="T23577" s="27"/>
      <c r="U23577" s="27"/>
    </row>
    <row r="23580">
      <c r="S23580" s="27"/>
      <c r="T23580" s="27"/>
      <c r="U23580" s="27"/>
    </row>
    <row r="23581">
      <c r="S23581" s="27"/>
      <c r="T23581" s="27"/>
      <c r="U23581" s="27"/>
    </row>
    <row r="23583">
      <c r="S23583" s="27"/>
      <c r="T23583" s="27"/>
      <c r="U23583" s="27"/>
    </row>
    <row r="23584">
      <c r="S23584" s="27"/>
      <c r="T23584" s="27"/>
      <c r="U23584" s="27"/>
    </row>
    <row r="23586">
      <c r="S23586" s="27"/>
      <c r="T23586" s="27"/>
      <c r="U23586" s="27"/>
    </row>
    <row r="23587">
      <c r="S23587" s="27"/>
      <c r="T23587" s="27"/>
      <c r="U23587" s="27"/>
    </row>
    <row r="23589">
      <c r="S23589" s="27"/>
      <c r="T23589" s="27"/>
      <c r="U23589" s="27"/>
    </row>
    <row r="23590">
      <c r="S23590" s="27"/>
      <c r="T23590" s="27"/>
      <c r="U23590" s="27"/>
    </row>
    <row r="23592">
      <c r="S23592" s="27"/>
      <c r="T23592" s="27"/>
      <c r="U23592" s="27"/>
    </row>
    <row r="23593">
      <c r="S23593" s="27"/>
      <c r="T23593" s="27"/>
      <c r="U23593" s="27"/>
    </row>
    <row r="23595">
      <c r="S23595" s="27"/>
      <c r="T23595" s="27"/>
      <c r="U23595" s="27"/>
    </row>
    <row r="23596">
      <c r="S23596" s="27"/>
      <c r="T23596" s="27"/>
      <c r="U23596" s="27"/>
    </row>
    <row r="23598">
      <c r="S23598" s="27"/>
      <c r="T23598" s="27"/>
      <c r="U23598" s="27"/>
    </row>
    <row r="23599">
      <c r="S23599" s="27"/>
      <c r="T23599" s="27"/>
      <c r="U23599" s="27"/>
    </row>
    <row r="23601">
      <c r="S23601" s="27"/>
      <c r="T23601" s="27"/>
      <c r="U23601" s="27"/>
    </row>
    <row r="23602">
      <c r="S23602" s="27"/>
      <c r="T23602" s="27"/>
      <c r="U23602" s="27"/>
    </row>
    <row r="23604">
      <c r="S23604" s="27"/>
      <c r="T23604" s="27"/>
      <c r="U23604" s="27"/>
    </row>
    <row r="23605">
      <c r="S23605" s="27"/>
      <c r="T23605" s="27"/>
      <c r="U23605" s="27"/>
    </row>
    <row r="23607">
      <c r="S23607" s="27"/>
      <c r="T23607" s="27"/>
      <c r="U23607" s="27"/>
    </row>
    <row r="23608">
      <c r="S23608" s="27"/>
      <c r="T23608" s="27"/>
      <c r="U23608" s="27"/>
    </row>
    <row r="23610">
      <c r="S23610" s="27"/>
      <c r="T23610" s="27"/>
      <c r="U23610" s="27"/>
    </row>
    <row r="23611">
      <c r="S23611" s="27"/>
      <c r="T23611" s="27"/>
      <c r="U23611" s="27"/>
    </row>
    <row r="23613">
      <c r="S23613" s="27"/>
      <c r="T23613" s="27"/>
      <c r="U23613" s="27"/>
    </row>
    <row r="23614">
      <c r="S23614" s="27"/>
      <c r="T23614" s="27"/>
      <c r="U23614" s="27"/>
    </row>
    <row r="23616">
      <c r="S23616" s="27"/>
      <c r="T23616" s="27"/>
      <c r="U23616" s="27"/>
    </row>
    <row r="23617">
      <c r="S23617" s="27"/>
      <c r="T23617" s="27"/>
      <c r="U23617" s="27"/>
    </row>
    <row r="23619">
      <c r="S23619" s="27"/>
      <c r="T23619" s="27"/>
      <c r="U23619" s="27"/>
    </row>
    <row r="23620">
      <c r="S23620" s="27"/>
      <c r="T23620" s="27"/>
      <c r="U23620" s="27"/>
    </row>
    <row r="23622">
      <c r="S23622" s="27"/>
      <c r="T23622" s="27"/>
      <c r="U23622" s="27"/>
    </row>
    <row r="23623">
      <c r="S23623" s="27"/>
      <c r="T23623" s="27"/>
      <c r="U23623" s="27"/>
    </row>
    <row r="23625">
      <c r="S23625" s="27"/>
      <c r="T23625" s="27"/>
      <c r="U23625" s="27"/>
    </row>
    <row r="23626">
      <c r="S23626" s="27"/>
      <c r="T23626" s="27"/>
      <c r="U23626" s="27"/>
    </row>
    <row r="23628">
      <c r="S23628" s="27"/>
      <c r="T23628" s="27"/>
      <c r="U23628" s="27"/>
    </row>
    <row r="23629">
      <c r="S23629" s="27"/>
      <c r="T23629" s="27"/>
      <c r="U23629" s="27"/>
    </row>
    <row r="23631">
      <c r="S23631" s="27"/>
      <c r="T23631" s="27"/>
      <c r="U23631" s="27"/>
    </row>
    <row r="23632">
      <c r="S23632" s="27"/>
      <c r="T23632" s="27"/>
      <c r="U23632" s="27"/>
    </row>
    <row r="23634">
      <c r="S23634" s="27"/>
      <c r="T23634" s="27"/>
      <c r="U23634" s="27"/>
    </row>
    <row r="23635">
      <c r="S23635" s="27"/>
      <c r="T23635" s="27"/>
      <c r="U23635" s="27"/>
    </row>
    <row r="23637">
      <c r="S23637" s="27"/>
      <c r="T23637" s="27"/>
      <c r="U23637" s="27"/>
    </row>
    <row r="23638">
      <c r="S23638" s="27"/>
      <c r="T23638" s="27"/>
      <c r="U23638" s="27"/>
    </row>
    <row r="23640">
      <c r="S23640" s="27"/>
      <c r="T23640" s="27"/>
      <c r="U23640" s="27"/>
    </row>
    <row r="23641">
      <c r="S23641" s="27"/>
      <c r="T23641" s="27"/>
      <c r="U23641" s="27"/>
    </row>
    <row r="23643">
      <c r="S23643" s="27"/>
      <c r="T23643" s="27"/>
      <c r="U23643" s="27"/>
    </row>
    <row r="23644">
      <c r="S23644" s="27"/>
      <c r="T23644" s="27"/>
      <c r="U23644" s="27"/>
    </row>
    <row r="23646">
      <c r="S23646" s="27"/>
      <c r="T23646" s="27"/>
      <c r="U23646" s="27"/>
    </row>
    <row r="23647">
      <c r="S23647" s="27"/>
      <c r="T23647" s="27"/>
      <c r="U23647" s="27"/>
    </row>
    <row r="23649">
      <c r="S23649" s="27"/>
      <c r="T23649" s="27"/>
      <c r="U23649" s="27"/>
    </row>
    <row r="23650">
      <c r="S23650" s="27"/>
      <c r="T23650" s="27"/>
      <c r="U23650" s="27"/>
    </row>
    <row r="23652">
      <c r="S23652" s="27"/>
      <c r="T23652" s="27"/>
      <c r="U23652" s="27"/>
    </row>
    <row r="23653">
      <c r="S23653" s="27"/>
      <c r="T23653" s="27"/>
      <c r="U23653" s="27"/>
    </row>
    <row r="23655">
      <c r="S23655" s="27"/>
      <c r="T23655" s="27"/>
      <c r="U23655" s="27"/>
    </row>
    <row r="23656">
      <c r="S23656" s="27"/>
      <c r="T23656" s="27"/>
      <c r="U23656" s="27"/>
    </row>
    <row r="23658">
      <c r="S23658" s="27"/>
      <c r="T23658" s="27"/>
      <c r="U23658" s="27"/>
    </row>
    <row r="23661">
      <c r="S23661" s="27"/>
      <c r="T23661" s="33"/>
      <c r="U23661" s="33"/>
    </row>
    <row r="23662">
      <c r="S23662" s="27"/>
      <c r="T23662" s="27"/>
      <c r="U23662" s="27"/>
    </row>
    <row r="23664">
      <c r="S23664" s="27"/>
      <c r="T23664" s="27"/>
      <c r="U23664" s="27"/>
    </row>
    <row r="23665">
      <c r="S23665" s="27"/>
      <c r="T23665" s="27"/>
      <c r="U23665" s="27"/>
    </row>
    <row r="23667">
      <c r="S23667" s="27"/>
      <c r="T23667" s="27"/>
      <c r="U23667" s="27"/>
    </row>
    <row r="23670">
      <c r="S23670" s="27"/>
      <c r="T23670" s="27"/>
      <c r="U23670" s="27"/>
    </row>
    <row r="23671">
      <c r="S23671" s="27"/>
      <c r="T23671" s="27"/>
      <c r="U23671" s="27"/>
    </row>
    <row r="23673">
      <c r="S23673" s="27"/>
      <c r="T23673" s="27"/>
      <c r="U23673" s="27"/>
    </row>
    <row r="23674">
      <c r="S23674" s="27"/>
      <c r="T23674" s="27"/>
      <c r="U23674" s="27"/>
    </row>
    <row r="23676">
      <c r="S23676" s="27"/>
      <c r="T23676" s="27"/>
      <c r="U23676" s="27"/>
    </row>
    <row r="23677">
      <c r="S23677" s="27"/>
      <c r="T23677" s="27"/>
      <c r="U23677" s="27"/>
    </row>
    <row r="23679">
      <c r="S23679" s="26"/>
    </row>
    <row r="23682">
      <c r="S23682" s="26"/>
      <c r="T23682" s="26"/>
    </row>
    <row r="23685">
      <c r="S23685" s="27"/>
      <c r="T23685" s="27"/>
      <c r="U23685" s="27"/>
    </row>
    <row r="23689">
      <c r="S23689" s="27"/>
      <c r="T23689" s="27"/>
      <c r="U23689" s="27"/>
    </row>
    <row r="23692">
      <c r="S23692" s="27"/>
      <c r="T23692" s="27"/>
      <c r="U23692" s="27"/>
    </row>
    <row r="23695">
      <c r="S23695" s="27"/>
      <c r="T23695" s="27"/>
      <c r="U23695" s="27"/>
    </row>
    <row r="23696">
      <c r="S23696" s="27"/>
      <c r="T23696" s="27"/>
      <c r="U23696" s="27"/>
    </row>
    <row r="23698">
      <c r="S23698" s="27"/>
      <c r="T23698" s="27"/>
      <c r="U23698" s="27"/>
    </row>
    <row r="23699">
      <c r="S23699" s="27"/>
      <c r="T23699" s="27"/>
      <c r="U23699" s="27"/>
    </row>
    <row r="23701">
      <c r="S23701" s="27"/>
      <c r="T23701" s="27"/>
      <c r="U23701" s="27"/>
    </row>
    <row r="23702">
      <c r="S23702" s="27"/>
      <c r="T23702" s="27"/>
      <c r="U23702" s="27"/>
    </row>
    <row r="23705">
      <c r="S23705" s="27"/>
    </row>
    <row r="23707">
      <c r="S23707" s="27"/>
      <c r="T23707" s="27"/>
      <c r="U23707" s="27"/>
    </row>
    <row r="23708">
      <c r="S23708" s="27"/>
      <c r="T23708" s="27"/>
      <c r="U23708" s="27"/>
    </row>
    <row r="23713">
      <c r="S23713" s="27"/>
      <c r="T23713" s="27"/>
      <c r="U23713" s="27"/>
    </row>
    <row r="23714">
      <c r="S23714" s="27"/>
      <c r="T23714" s="27"/>
      <c r="U23714" s="27"/>
    </row>
    <row r="23716">
      <c r="S23716" s="27"/>
      <c r="T23716" s="27"/>
      <c r="U23716" s="27"/>
    </row>
    <row r="23717">
      <c r="S23717" s="27"/>
      <c r="T23717" s="27"/>
      <c r="U23717" s="27"/>
    </row>
    <row r="23719">
      <c r="S23719" s="27"/>
      <c r="T23719" s="27"/>
      <c r="U23719" s="27"/>
    </row>
    <row r="23720">
      <c r="S23720" s="27"/>
      <c r="T23720" s="27"/>
      <c r="U23720" s="27"/>
    </row>
    <row r="23722">
      <c r="S23722" s="33"/>
      <c r="T23722" s="33"/>
      <c r="U23722" s="33"/>
    </row>
    <row r="23725">
      <c r="S23725" s="27"/>
      <c r="T23725" s="27"/>
      <c r="U23725" s="27"/>
    </row>
    <row r="23726">
      <c r="S23726" s="27"/>
      <c r="T23726" s="27"/>
      <c r="U23726" s="27"/>
    </row>
    <row r="23728">
      <c r="S23728" s="27"/>
      <c r="T23728" s="27"/>
      <c r="U23728" s="27"/>
    </row>
    <row r="23731">
      <c r="S23731" s="33"/>
      <c r="T23731" s="33"/>
      <c r="U23731" s="33"/>
    </row>
    <row r="23732">
      <c r="S23732" s="27"/>
      <c r="T23732" s="27"/>
      <c r="U23732" s="27"/>
    </row>
    <row r="23734">
      <c r="S23734" s="27"/>
    </row>
    <row r="23735">
      <c r="S23735" s="26"/>
      <c r="T23735" s="26"/>
      <c r="U23735" s="26"/>
    </row>
    <row r="23737">
      <c r="S23737" s="27"/>
      <c r="T23737" s="27"/>
      <c r="U23737" s="27"/>
    </row>
    <row r="23738">
      <c r="S23738" s="27"/>
      <c r="T23738" s="27"/>
      <c r="U23738" s="27"/>
    </row>
    <row r="23740">
      <c r="S23740" s="27"/>
      <c r="T23740" s="27"/>
      <c r="U23740" s="27"/>
    </row>
    <row r="23741">
      <c r="S23741" s="27"/>
      <c r="T23741" s="27"/>
      <c r="U23741" s="27"/>
    </row>
    <row r="23743">
      <c r="S23743" s="27"/>
      <c r="T23743" s="27"/>
      <c r="U23743" s="27"/>
    </row>
    <row r="23744">
      <c r="S23744" s="27"/>
      <c r="T23744" s="27"/>
      <c r="U23744" s="27"/>
    </row>
    <row r="23746">
      <c r="S23746" s="27"/>
      <c r="T23746" s="27"/>
      <c r="U23746" s="27"/>
    </row>
    <row r="23747">
      <c r="S23747" s="27"/>
      <c r="T23747" s="27"/>
      <c r="U23747" s="27"/>
    </row>
    <row r="23749">
      <c r="U23749" s="26"/>
    </row>
    <row r="23752">
      <c r="S23752" s="27"/>
      <c r="T23752" s="27"/>
      <c r="U23752" s="27"/>
    </row>
    <row r="23753">
      <c r="S23753" s="27"/>
      <c r="T23753" s="27"/>
      <c r="U23753" s="27"/>
    </row>
    <row r="23755">
      <c r="S23755" s="27"/>
      <c r="T23755" s="27"/>
      <c r="U23755" s="27"/>
    </row>
    <row r="23756">
      <c r="S23756" s="27"/>
      <c r="T23756" s="27"/>
      <c r="U23756" s="27"/>
    </row>
    <row r="23758">
      <c r="S23758" s="27"/>
      <c r="T23758" s="27"/>
      <c r="U23758" s="27"/>
    </row>
    <row r="23761">
      <c r="S23761" s="27"/>
      <c r="U23761" s="27"/>
    </row>
    <row r="23762">
      <c r="S23762" s="27"/>
      <c r="T23762" s="27"/>
      <c r="U23762" s="27"/>
    </row>
    <row r="23764">
      <c r="S23764" s="27"/>
      <c r="T23764" s="27"/>
      <c r="U23764" s="27"/>
    </row>
    <row r="23765">
      <c r="S23765" s="27"/>
      <c r="T23765" s="27"/>
      <c r="U23765" s="27"/>
    </row>
    <row r="23767">
      <c r="S23767" s="27"/>
      <c r="T23767" s="27"/>
      <c r="U23767" s="27"/>
    </row>
    <row r="23768">
      <c r="S23768" s="27"/>
      <c r="T23768" s="27"/>
      <c r="U23768" s="27"/>
    </row>
    <row r="23770">
      <c r="S23770" s="27"/>
      <c r="T23770" s="27"/>
      <c r="U23770" s="27"/>
    </row>
    <row r="23771">
      <c r="S23771" s="26"/>
      <c r="T23771" s="26"/>
      <c r="U23771" s="26"/>
    </row>
    <row r="23773">
      <c r="S23773" s="27"/>
      <c r="T23773" s="27"/>
      <c r="U23773" s="27"/>
    </row>
    <row r="23774">
      <c r="S23774" s="27"/>
      <c r="T23774" s="27"/>
      <c r="U23774" s="27"/>
    </row>
    <row r="23776">
      <c r="S23776" s="26"/>
      <c r="T23776" s="26"/>
      <c r="U23776" s="26"/>
    </row>
    <row r="23779">
      <c r="S23779" s="27"/>
      <c r="T23779" s="27"/>
      <c r="U23779" s="27"/>
    </row>
    <row r="23782">
      <c r="S23782" s="27"/>
      <c r="T23782" s="27"/>
      <c r="U23782" s="27"/>
    </row>
    <row r="23783">
      <c r="S23783" s="27"/>
      <c r="T23783" s="27"/>
      <c r="U23783" s="27"/>
    </row>
    <row r="23785">
      <c r="S23785" s="27"/>
      <c r="T23785" s="27"/>
      <c r="U23785" s="27"/>
    </row>
    <row r="23786">
      <c r="S23786" s="27"/>
      <c r="T23786" s="27"/>
      <c r="U23786" s="27"/>
    </row>
    <row r="23788">
      <c r="S23788" s="27"/>
      <c r="T23788" s="27"/>
      <c r="U23788" s="27"/>
    </row>
    <row r="23789">
      <c r="S23789" s="27"/>
      <c r="T23789" s="27"/>
      <c r="U23789" s="27"/>
    </row>
    <row r="23791">
      <c r="S23791" s="26"/>
    </row>
    <row r="23792">
      <c r="S23792" s="26"/>
      <c r="T23792" s="26"/>
      <c r="U23792" s="26"/>
    </row>
    <row r="23794">
      <c r="S23794" s="27"/>
      <c r="T23794" s="27"/>
      <c r="U23794" s="27"/>
    </row>
    <row r="23795">
      <c r="S23795" s="27"/>
      <c r="T23795" s="27"/>
      <c r="U23795" s="27"/>
    </row>
    <row r="23797">
      <c r="S23797" s="27"/>
      <c r="T23797" s="27"/>
      <c r="U23797" s="27"/>
    </row>
    <row r="23798">
      <c r="S23798" s="27"/>
      <c r="T23798" s="27"/>
      <c r="U23798" s="27"/>
    </row>
    <row r="23800">
      <c r="S23800" s="27"/>
      <c r="T23800" s="27"/>
      <c r="U23800" s="27"/>
    </row>
    <row r="23801">
      <c r="S23801" s="27"/>
      <c r="T23801" s="27"/>
      <c r="U23801" s="27"/>
    </row>
    <row r="23803">
      <c r="S23803" s="27"/>
      <c r="T23803" s="27"/>
      <c r="U23803" s="27"/>
    </row>
    <row r="23804">
      <c r="S23804" s="27"/>
      <c r="T23804" s="27"/>
      <c r="U23804" s="27"/>
    </row>
    <row r="23806">
      <c r="S23806" s="27"/>
      <c r="T23806" s="27"/>
      <c r="U23806" s="27"/>
    </row>
    <row r="23807">
      <c r="S23807" s="27"/>
      <c r="T23807" s="27"/>
      <c r="U23807" s="27"/>
    </row>
    <row r="23809">
      <c r="S23809" s="27"/>
      <c r="T23809" s="27"/>
      <c r="U23809" s="27"/>
    </row>
    <row r="23810">
      <c r="S23810" s="27"/>
      <c r="T23810" s="27"/>
      <c r="U23810" s="27"/>
    </row>
    <row r="23812">
      <c r="S23812" s="27"/>
      <c r="T23812" s="27"/>
      <c r="U23812" s="27"/>
    </row>
    <row r="23813">
      <c r="S23813" s="27"/>
      <c r="T23813" s="27"/>
      <c r="U23813" s="27"/>
    </row>
    <row r="23815">
      <c r="S23815" s="27"/>
      <c r="T23815" s="27"/>
      <c r="U23815" s="27"/>
    </row>
    <row r="23816">
      <c r="S23816" s="27"/>
      <c r="T23816" s="27"/>
      <c r="U23816" s="27"/>
    </row>
    <row r="23818">
      <c r="S23818" s="27"/>
      <c r="T23818" s="27"/>
      <c r="U23818" s="27"/>
    </row>
    <row r="23819">
      <c r="S23819" s="27"/>
      <c r="T23819" s="27"/>
      <c r="U23819" s="27"/>
    </row>
    <row r="23821">
      <c r="S23821" s="27"/>
      <c r="T23821" s="27"/>
      <c r="U23821" s="27"/>
    </row>
    <row r="23822">
      <c r="S23822" s="27"/>
      <c r="T23822" s="27"/>
      <c r="U23822" s="27"/>
    </row>
    <row r="23824">
      <c r="S23824" s="27"/>
      <c r="T23824" s="27"/>
      <c r="U23824" s="27"/>
    </row>
    <row r="23825">
      <c r="S23825" s="27"/>
      <c r="T23825" s="27"/>
      <c r="U23825" s="27"/>
    </row>
    <row r="23827">
      <c r="S23827" s="27"/>
      <c r="T23827" s="27"/>
      <c r="U23827" s="27"/>
    </row>
    <row r="23828">
      <c r="S23828" s="27"/>
      <c r="T23828" s="27"/>
      <c r="U23828" s="27"/>
    </row>
    <row r="23830">
      <c r="S23830" s="27"/>
      <c r="T23830" s="27"/>
      <c r="U23830" s="27"/>
    </row>
    <row r="23831">
      <c r="S23831" s="27"/>
      <c r="T23831" s="27"/>
      <c r="U23831" s="27"/>
    </row>
    <row r="23833">
      <c r="S23833" s="27"/>
      <c r="T23833" s="27"/>
      <c r="U23833" s="27"/>
    </row>
    <row r="23834">
      <c r="S23834" s="27"/>
      <c r="T23834" s="27"/>
      <c r="U23834" s="27"/>
    </row>
    <row r="23836">
      <c r="S23836" s="27"/>
      <c r="T23836" s="27"/>
      <c r="U23836" s="27"/>
    </row>
    <row r="23837">
      <c r="S23837" s="27"/>
      <c r="T23837" s="27"/>
      <c r="U23837" s="27"/>
    </row>
    <row r="23839">
      <c r="S23839" s="27"/>
      <c r="T23839" s="27"/>
      <c r="U23839" s="27"/>
    </row>
    <row r="23840">
      <c r="S23840" s="27"/>
      <c r="T23840" s="27"/>
      <c r="U23840" s="27"/>
    </row>
    <row r="23842">
      <c r="S23842" s="27"/>
      <c r="T23842" s="27"/>
      <c r="U23842" s="27"/>
    </row>
    <row r="23843">
      <c r="S23843" s="27"/>
      <c r="T23843" s="27"/>
      <c r="U23843" s="27"/>
    </row>
    <row r="23845">
      <c r="S23845" s="27"/>
      <c r="T23845" s="27"/>
      <c r="U23845" s="27"/>
    </row>
    <row r="23846">
      <c r="S23846" s="27"/>
      <c r="T23846" s="27"/>
      <c r="U23846" s="27"/>
    </row>
    <row r="23848">
      <c r="S23848" s="27"/>
      <c r="T23848" s="27"/>
      <c r="U23848" s="27"/>
    </row>
    <row r="23849">
      <c r="S23849" s="27"/>
      <c r="T23849" s="27"/>
      <c r="U23849" s="27"/>
    </row>
    <row r="23851">
      <c r="S23851" s="27"/>
      <c r="T23851" s="27"/>
      <c r="U23851" s="27"/>
    </row>
    <row r="23852">
      <c r="S23852" s="27"/>
      <c r="T23852" s="27"/>
      <c r="U23852" s="27"/>
    </row>
    <row r="23854">
      <c r="S23854" s="27"/>
      <c r="T23854" s="27"/>
      <c r="U23854" s="27"/>
    </row>
    <row r="23855">
      <c r="S23855" s="27"/>
      <c r="T23855" s="27"/>
      <c r="U23855" s="27"/>
    </row>
    <row r="23857">
      <c r="S23857" s="27"/>
      <c r="T23857" s="27"/>
      <c r="U23857" s="27"/>
    </row>
    <row r="23858">
      <c r="S23858" s="27"/>
      <c r="T23858" s="27"/>
      <c r="U23858" s="27"/>
    </row>
    <row r="23860">
      <c r="S23860" s="27"/>
      <c r="T23860" s="27"/>
      <c r="U23860" s="27"/>
    </row>
    <row r="23861">
      <c r="S23861" s="27"/>
      <c r="T23861" s="27"/>
      <c r="U23861" s="27"/>
    </row>
    <row r="23863">
      <c r="S23863" s="27"/>
      <c r="T23863" s="27"/>
      <c r="U23863" s="27"/>
    </row>
    <row r="23864">
      <c r="S23864" s="27"/>
      <c r="T23864" s="27"/>
      <c r="U23864" s="27"/>
    </row>
    <row r="23866">
      <c r="S23866" s="27"/>
      <c r="T23866" s="27"/>
      <c r="U23866" s="27"/>
    </row>
    <row r="23867">
      <c r="S23867" s="27"/>
      <c r="T23867" s="27"/>
      <c r="U23867" s="27"/>
    </row>
    <row r="23869">
      <c r="S23869" s="27"/>
      <c r="T23869" s="27"/>
      <c r="U23869" s="27"/>
    </row>
    <row r="23870">
      <c r="S23870" s="27"/>
      <c r="T23870" s="27"/>
      <c r="U23870" s="27"/>
    </row>
    <row r="23872">
      <c r="S23872" s="27"/>
      <c r="T23872" s="27"/>
      <c r="U23872" s="27"/>
    </row>
    <row r="23873">
      <c r="S23873" s="27"/>
      <c r="T23873" s="27"/>
      <c r="U23873" s="27"/>
    </row>
    <row r="23875">
      <c r="S23875" s="27"/>
      <c r="T23875" s="27"/>
      <c r="U23875" s="27"/>
    </row>
    <row r="23876">
      <c r="S23876" s="27"/>
      <c r="T23876" s="27"/>
      <c r="U23876" s="27"/>
    </row>
    <row r="23878">
      <c r="S23878" s="27"/>
      <c r="T23878" s="27"/>
      <c r="U23878" s="27"/>
    </row>
    <row r="23879">
      <c r="S23879" s="27"/>
      <c r="T23879" s="27"/>
      <c r="U23879" s="27"/>
    </row>
    <row r="23881">
      <c r="S23881" s="27"/>
      <c r="T23881" s="27"/>
      <c r="U23881" s="27"/>
    </row>
    <row r="23882">
      <c r="S23882" s="27"/>
      <c r="T23882" s="27"/>
      <c r="U23882" s="27"/>
    </row>
    <row r="23884">
      <c r="S23884" s="27"/>
      <c r="T23884" s="27"/>
      <c r="U23884" s="27"/>
    </row>
    <row r="23885">
      <c r="S23885" s="27"/>
      <c r="T23885" s="27"/>
      <c r="U23885" s="27"/>
    </row>
    <row r="23887">
      <c r="S23887" s="27"/>
      <c r="T23887" s="27"/>
      <c r="U23887" s="27"/>
    </row>
    <row r="23888">
      <c r="S23888" s="27"/>
      <c r="T23888" s="27"/>
      <c r="U23888" s="27"/>
    </row>
    <row r="23890">
      <c r="S23890" s="27"/>
      <c r="T23890" s="27"/>
      <c r="U23890" s="27"/>
    </row>
    <row r="23892">
      <c r="S23892" s="27"/>
      <c r="T23892" s="27"/>
      <c r="U23892" s="27"/>
    </row>
    <row r="23893">
      <c r="S23893" s="27"/>
      <c r="T23893" s="27"/>
      <c r="U23893" s="27"/>
    </row>
    <row r="23895">
      <c r="S23895" s="27"/>
      <c r="T23895" s="27"/>
      <c r="U23895" s="27"/>
    </row>
    <row r="23896">
      <c r="S23896" s="27"/>
      <c r="T23896" s="27"/>
      <c r="U23896" s="27"/>
    </row>
    <row r="23898">
      <c r="S23898" s="27"/>
      <c r="T23898" s="27"/>
      <c r="U23898" s="27"/>
    </row>
    <row r="23899">
      <c r="S23899" s="27"/>
      <c r="T23899" s="27"/>
      <c r="U23899" s="27"/>
    </row>
    <row r="23901">
      <c r="S23901" s="27"/>
      <c r="T23901" s="27"/>
      <c r="U23901" s="27"/>
    </row>
    <row r="23902">
      <c r="S23902" s="27"/>
      <c r="T23902" s="27"/>
      <c r="U23902" s="27"/>
    </row>
    <row r="23904">
      <c r="S23904" s="27"/>
      <c r="T23904" s="27"/>
      <c r="U23904" s="27"/>
    </row>
    <row r="23905">
      <c r="S23905" s="27"/>
      <c r="T23905" s="27"/>
      <c r="U23905" s="27"/>
    </row>
    <row r="23907">
      <c r="S23907" s="27"/>
      <c r="T23907" s="27"/>
      <c r="U23907" s="27"/>
    </row>
    <row r="23908">
      <c r="S23908" s="27"/>
      <c r="T23908" s="27"/>
      <c r="U23908" s="27"/>
    </row>
    <row r="23911">
      <c r="S23911" s="27"/>
      <c r="T23911" s="27"/>
      <c r="U23911" s="27"/>
    </row>
    <row r="23913">
      <c r="S23913" s="27"/>
      <c r="T23913" s="27"/>
      <c r="U23913" s="27"/>
    </row>
    <row r="23915">
      <c r="S23915" s="27"/>
      <c r="T23915" s="27"/>
      <c r="U23915" s="27"/>
    </row>
    <row r="23917">
      <c r="S23917" s="27"/>
      <c r="T23917" s="27"/>
      <c r="U23917" s="27"/>
    </row>
    <row r="23919">
      <c r="S23919" s="27"/>
      <c r="T23919" s="27"/>
      <c r="U23919" s="27"/>
    </row>
    <row r="23921">
      <c r="S23921" s="27"/>
      <c r="T23921" s="27"/>
      <c r="U23921" s="27"/>
    </row>
    <row r="23922">
      <c r="S23922" s="27"/>
      <c r="T23922" s="27"/>
      <c r="U23922" s="27"/>
    </row>
    <row r="23924">
      <c r="S23924" s="27"/>
      <c r="T23924" s="27"/>
      <c r="U23924" s="27"/>
    </row>
    <row r="23925">
      <c r="S23925" s="27"/>
      <c r="T23925" s="27"/>
      <c r="U23925" s="27"/>
    </row>
    <row r="23927">
      <c r="S23927" s="27"/>
      <c r="T23927" s="27"/>
      <c r="U23927" s="27"/>
    </row>
    <row r="23928">
      <c r="S23928" s="26"/>
      <c r="T23928" s="26"/>
    </row>
    <row r="23930">
      <c r="S23930" s="27"/>
      <c r="T23930" s="27"/>
      <c r="U23930" s="27"/>
    </row>
    <row r="23931">
      <c r="S23931" s="27"/>
      <c r="T23931" s="27"/>
      <c r="U23931" s="27"/>
    </row>
    <row r="23933">
      <c r="S23933" s="27"/>
      <c r="T23933" s="27"/>
      <c r="U23933" s="27"/>
    </row>
    <row r="23934">
      <c r="S23934" s="27"/>
      <c r="T23934" s="27"/>
      <c r="U23934" s="27"/>
    </row>
    <row r="23936">
      <c r="S23936" s="27"/>
      <c r="T23936" s="27"/>
      <c r="U23936" s="27"/>
    </row>
    <row r="23937">
      <c r="S23937" s="27"/>
      <c r="T23937" s="27"/>
      <c r="U23937" s="27"/>
    </row>
    <row r="23939">
      <c r="S23939" s="27"/>
      <c r="T23939" s="27"/>
      <c r="U23939" s="27"/>
    </row>
    <row r="23940">
      <c r="S23940" s="27"/>
      <c r="T23940" s="27"/>
      <c r="U23940" s="27"/>
    </row>
    <row r="23942">
      <c r="S23942" s="26"/>
      <c r="T23942" s="26"/>
      <c r="U23942" s="26"/>
    </row>
    <row r="23945">
      <c r="S23945" s="27"/>
      <c r="T23945" s="27"/>
      <c r="U23945" s="27"/>
    </row>
    <row r="23948">
      <c r="S23948" s="27"/>
      <c r="T23948" s="27"/>
      <c r="U23948" s="27"/>
    </row>
    <row r="23949">
      <c r="S23949" s="27"/>
      <c r="T23949" s="27"/>
      <c r="U23949" s="27"/>
    </row>
    <row r="23951">
      <c r="S23951" s="27"/>
      <c r="T23951" s="27"/>
      <c r="U23951" s="27"/>
    </row>
    <row r="23952">
      <c r="S23952" s="27"/>
      <c r="T23952" s="27"/>
      <c r="U23952" s="27"/>
    </row>
    <row r="23954">
      <c r="S23954" s="27"/>
      <c r="T23954" s="27"/>
      <c r="U23954" s="27"/>
    </row>
    <row r="23955">
      <c r="S23955" s="27"/>
      <c r="T23955" s="27"/>
      <c r="U23955" s="27"/>
    </row>
    <row r="23960">
      <c r="S23960" s="27"/>
      <c r="T23960" s="27"/>
      <c r="U23960" s="27"/>
    </row>
    <row r="23961">
      <c r="S23961" s="27"/>
      <c r="T23961" s="27"/>
      <c r="U23961" s="27"/>
    </row>
    <row r="23963">
      <c r="S23963" s="27"/>
      <c r="T23963" s="27"/>
      <c r="U23963" s="27"/>
    </row>
    <row r="23964">
      <c r="S23964" s="27"/>
      <c r="T23964" s="27"/>
      <c r="U23964" s="27"/>
    </row>
    <row r="23966">
      <c r="T23966" s="27"/>
      <c r="U23966" s="27"/>
    </row>
    <row r="23967">
      <c r="S23967" s="27"/>
      <c r="T23967" s="27"/>
      <c r="U23967" s="27"/>
    </row>
    <row r="23972">
      <c r="S23972" s="26"/>
      <c r="T23972" s="26"/>
      <c r="U23972" s="26"/>
    </row>
    <row r="23975">
      <c r="S23975" s="27"/>
      <c r="T23975" s="27"/>
      <c r="U23975" s="27"/>
    </row>
    <row r="23976">
      <c r="S23976" s="27"/>
      <c r="T23976" s="27"/>
      <c r="U23976" s="27"/>
    </row>
    <row r="23978">
      <c r="S23978" s="27"/>
      <c r="T23978" s="27"/>
      <c r="U23978" s="27"/>
    </row>
    <row r="23979">
      <c r="S23979" s="27"/>
      <c r="T23979" s="27"/>
      <c r="U23979" s="27"/>
    </row>
    <row r="23981">
      <c r="S23981" s="26"/>
      <c r="T23981" s="26"/>
      <c r="U23981" s="26"/>
    </row>
    <row r="23987">
      <c r="S23987" s="27"/>
      <c r="T23987" s="27"/>
      <c r="U23987" s="27"/>
    </row>
    <row r="23990">
      <c r="S23990" s="27"/>
      <c r="T23990" s="27"/>
      <c r="U23990" s="27"/>
    </row>
    <row r="23991">
      <c r="S23991" s="27"/>
      <c r="T23991" s="27"/>
      <c r="U23991" s="27"/>
    </row>
    <row r="23993">
      <c r="S23993" s="27"/>
      <c r="T23993" s="27"/>
      <c r="U23993" s="27"/>
    </row>
    <row r="23994">
      <c r="S23994" s="27"/>
      <c r="T23994" s="27"/>
      <c r="U23994" s="27"/>
    </row>
    <row r="23996">
      <c r="S23996" s="27"/>
      <c r="T23996" s="27"/>
      <c r="U23996" s="27"/>
    </row>
    <row r="23997">
      <c r="S23997" s="27"/>
      <c r="T23997" s="27"/>
      <c r="U23997" s="27"/>
    </row>
    <row r="23999">
      <c r="S23999" s="27"/>
      <c r="T23999" s="27"/>
      <c r="U23999" s="27"/>
    </row>
    <row r="24000">
      <c r="S24000" s="27"/>
      <c r="T24000" s="27"/>
      <c r="U24000" s="27"/>
    </row>
    <row r="24002">
      <c r="S24002" s="27"/>
      <c r="T24002" s="27"/>
      <c r="U24002" s="27"/>
    </row>
    <row r="24003">
      <c r="S24003" s="27"/>
      <c r="T24003" s="27"/>
      <c r="U24003" s="27"/>
    </row>
    <row r="24005">
      <c r="S24005" s="27"/>
      <c r="T24005" s="27"/>
      <c r="U24005" s="27"/>
    </row>
    <row r="24006">
      <c r="S24006" s="27"/>
      <c r="T24006" s="27"/>
      <c r="U24006" s="27"/>
    </row>
    <row r="24008">
      <c r="S24008" s="27"/>
      <c r="T24008" s="27"/>
      <c r="U24008" s="27"/>
    </row>
    <row r="24009">
      <c r="S24009" s="27"/>
      <c r="T24009" s="27"/>
      <c r="U24009" s="27"/>
    </row>
    <row r="24011">
      <c r="S24011" s="27"/>
      <c r="T24011" s="27"/>
      <c r="U24011" s="27"/>
    </row>
    <row r="24012">
      <c r="S24012" s="27"/>
      <c r="T24012" s="27"/>
      <c r="U24012" s="27"/>
    </row>
    <row r="24014">
      <c r="S24014" s="27"/>
      <c r="T24014" s="27"/>
      <c r="U24014" s="27"/>
    </row>
    <row r="24015">
      <c r="S24015" s="27"/>
      <c r="T24015" s="27"/>
      <c r="U24015" s="27"/>
    </row>
    <row r="24017">
      <c r="S24017" s="27"/>
      <c r="T24017" s="27"/>
      <c r="U24017" s="27"/>
    </row>
    <row r="24018">
      <c r="S24018" s="27"/>
      <c r="T24018" s="27"/>
      <c r="U24018" s="27"/>
    </row>
    <row r="24020">
      <c r="S24020" s="27"/>
      <c r="T24020" s="27"/>
      <c r="U24020" s="27"/>
    </row>
    <row r="24021">
      <c r="S24021" s="27"/>
      <c r="T24021" s="27"/>
      <c r="U24021" s="27"/>
    </row>
    <row r="24023">
      <c r="S24023" s="27"/>
      <c r="T24023" s="27"/>
      <c r="U24023" s="27"/>
    </row>
    <row r="24024">
      <c r="S24024" s="27"/>
      <c r="T24024" s="27"/>
      <c r="U24024" s="27"/>
    </row>
    <row r="24026">
      <c r="S24026" s="27"/>
      <c r="T24026" s="27"/>
      <c r="U24026" s="27"/>
    </row>
    <row r="24027">
      <c r="S24027" s="27"/>
      <c r="T24027" s="27"/>
      <c r="U24027" s="27"/>
    </row>
    <row r="24029">
      <c r="S24029" s="27"/>
      <c r="T24029" s="27"/>
      <c r="U24029" s="27"/>
    </row>
    <row r="24030">
      <c r="S24030" s="27"/>
      <c r="T24030" s="27"/>
      <c r="U24030" s="27"/>
    </row>
    <row r="24032">
      <c r="S24032" s="27"/>
      <c r="T24032" s="27"/>
      <c r="U24032" s="27"/>
    </row>
    <row r="24033">
      <c r="S24033" s="27"/>
      <c r="T24033" s="27"/>
      <c r="U24033" s="27"/>
    </row>
    <row r="24035">
      <c r="S24035" s="27"/>
      <c r="T24035" s="27"/>
      <c r="U24035" s="27"/>
    </row>
    <row r="24036">
      <c r="S24036" s="27"/>
      <c r="T24036" s="27"/>
      <c r="U24036" s="27"/>
    </row>
    <row r="24038">
      <c r="S24038" s="27"/>
      <c r="T24038" s="27"/>
      <c r="U24038" s="27"/>
    </row>
    <row r="24039">
      <c r="S24039" s="27"/>
      <c r="T24039" s="27"/>
      <c r="U24039" s="27"/>
    </row>
    <row r="24041">
      <c r="S24041" s="27"/>
      <c r="T24041" s="27"/>
      <c r="U24041" s="27"/>
    </row>
    <row r="24042">
      <c r="S24042" s="27"/>
      <c r="T24042" s="27"/>
      <c r="U24042" s="27"/>
    </row>
    <row r="24044">
      <c r="S24044" s="27"/>
      <c r="T24044" s="27"/>
      <c r="U24044" s="27"/>
    </row>
    <row r="24045">
      <c r="S24045" s="27"/>
      <c r="T24045" s="27"/>
      <c r="U24045" s="27"/>
    </row>
    <row r="24047">
      <c r="S24047" s="27"/>
      <c r="T24047" s="27"/>
      <c r="U24047" s="27"/>
    </row>
    <row r="24048">
      <c r="S24048" s="27"/>
      <c r="T24048" s="27"/>
      <c r="U24048" s="27"/>
    </row>
    <row r="24050">
      <c r="S24050" s="26"/>
      <c r="T24050" s="27"/>
      <c r="U24050" s="27"/>
    </row>
    <row r="24051">
      <c r="S24051" s="26"/>
      <c r="T24051" s="27"/>
      <c r="U24051" s="27"/>
    </row>
    <row r="24053">
      <c r="S24053" s="27"/>
      <c r="T24053" s="27"/>
      <c r="U24053" s="27"/>
    </row>
    <row r="24054">
      <c r="S24054" s="27"/>
      <c r="T24054" s="27"/>
      <c r="U24054" s="27"/>
    </row>
    <row r="24056">
      <c r="S24056" s="27"/>
      <c r="T24056" s="27"/>
      <c r="U24056" s="27"/>
    </row>
    <row r="24057">
      <c r="S24057" s="27"/>
      <c r="T24057" s="27"/>
      <c r="U24057" s="27"/>
    </row>
    <row r="24059">
      <c r="S24059" s="27"/>
      <c r="T24059" s="27"/>
      <c r="U24059" s="27"/>
    </row>
    <row r="24060">
      <c r="S24060" s="27"/>
      <c r="T24060" s="27"/>
      <c r="U24060" s="27"/>
    </row>
    <row r="24065">
      <c r="S24065" s="27"/>
      <c r="T24065" s="27"/>
      <c r="U24065" s="27"/>
    </row>
    <row r="24066">
      <c r="S24066" s="27"/>
      <c r="T24066" s="27"/>
      <c r="U24066" s="27"/>
    </row>
    <row r="24068">
      <c r="T24068" s="27"/>
      <c r="U24068" s="27"/>
    </row>
    <row r="24071">
      <c r="S24071" s="33"/>
    </row>
    <row r="24072">
      <c r="S24072" s="27"/>
    </row>
    <row r="24074">
      <c r="S24074" s="27"/>
      <c r="T24074" s="27"/>
      <c r="U24074" s="27"/>
    </row>
    <row r="24075">
      <c r="S24075" s="27"/>
      <c r="T24075" s="27"/>
    </row>
    <row r="24077">
      <c r="S24077" s="27"/>
      <c r="T24077" s="27"/>
      <c r="U24077" s="27"/>
    </row>
    <row r="24081">
      <c r="S24081" s="27"/>
      <c r="T24081" s="27"/>
      <c r="U24081" s="27"/>
    </row>
    <row r="24082">
      <c r="S24082" s="27"/>
      <c r="T24082" s="27"/>
      <c r="U24082" s="27"/>
    </row>
    <row r="24084">
      <c r="S24084" s="27"/>
      <c r="T24084" s="27"/>
      <c r="U24084" s="27"/>
    </row>
    <row r="24085">
      <c r="S24085" s="27"/>
      <c r="T24085" s="27"/>
      <c r="U24085" s="27"/>
    </row>
    <row r="24087">
      <c r="S24087" s="26"/>
      <c r="T24087" s="26"/>
    </row>
    <row r="24090">
      <c r="S24090" s="26"/>
      <c r="U24090" s="26"/>
    </row>
    <row r="24097">
      <c r="S24097" s="27"/>
      <c r="T24097" s="27"/>
      <c r="U24097" s="27"/>
    </row>
    <row r="24105">
      <c r="S24105" s="27"/>
      <c r="T24105" s="27"/>
      <c r="U24105" s="27"/>
    </row>
    <row r="24108">
      <c r="S24108" s="27"/>
      <c r="T24108" s="27"/>
      <c r="U24108" s="27"/>
    </row>
    <row r="24109">
      <c r="S24109" s="27"/>
      <c r="T24109" s="26"/>
      <c r="U24109" s="27"/>
    </row>
    <row r="24111">
      <c r="S24111" s="27"/>
      <c r="U24111" s="27"/>
    </row>
    <row r="24112">
      <c r="S24112" s="27"/>
      <c r="T24112" s="27"/>
      <c r="U24112" s="27"/>
    </row>
    <row r="24117">
      <c r="S24117" s="27"/>
      <c r="T24117" s="27"/>
      <c r="U24117" s="27"/>
    </row>
    <row r="24118">
      <c r="S24118" s="27"/>
      <c r="T24118" s="27"/>
      <c r="U24118" s="27"/>
    </row>
    <row r="24120">
      <c r="T24120" s="27"/>
      <c r="U24120" s="27"/>
    </row>
    <row r="24121">
      <c r="U24121" s="27"/>
    </row>
    <row r="24123">
      <c r="S24123" s="27"/>
      <c r="T24123" s="27"/>
      <c r="U24123" s="27"/>
    </row>
    <row r="24124">
      <c r="S24124" s="27"/>
      <c r="T24124" s="27"/>
      <c r="U24124" s="27"/>
    </row>
    <row r="24129">
      <c r="S24129" s="27"/>
      <c r="T24129" s="27"/>
      <c r="U24129" s="27"/>
    </row>
    <row r="24132">
      <c r="S24132" s="33"/>
      <c r="T24132" s="33"/>
      <c r="U24132" s="27"/>
    </row>
    <row r="24133">
      <c r="S24133" s="33"/>
      <c r="T24133" s="33"/>
      <c r="U24133" s="33"/>
    </row>
    <row r="24136">
      <c r="S24136" s="26"/>
      <c r="T24136" s="26"/>
      <c r="U24136" s="26"/>
    </row>
    <row r="24138">
      <c r="S24138" s="27"/>
      <c r="T24138" s="27"/>
      <c r="U24138" s="27"/>
    </row>
    <row r="24139">
      <c r="S24139" s="27"/>
      <c r="T24139" s="27"/>
      <c r="U24139" s="27"/>
    </row>
    <row r="24141">
      <c r="S24141" s="27"/>
      <c r="T24141" s="27"/>
      <c r="U24141" s="27"/>
    </row>
    <row r="24142">
      <c r="S24142" s="27"/>
      <c r="T24142" s="27"/>
      <c r="U24142" s="27"/>
    </row>
    <row r="24144">
      <c r="S24144" s="27"/>
      <c r="T24144" s="27"/>
      <c r="U24144" s="27"/>
    </row>
    <row r="24145">
      <c r="S24145" s="27"/>
      <c r="T24145" s="27"/>
      <c r="U24145" s="27"/>
    </row>
    <row r="24147">
      <c r="S24147" s="27"/>
      <c r="T24147" s="27"/>
      <c r="U24147" s="27"/>
    </row>
    <row r="24148">
      <c r="S24148" s="27"/>
      <c r="T24148" s="27"/>
      <c r="U24148" s="27"/>
    </row>
    <row r="24150">
      <c r="U24150" s="34"/>
    </row>
    <row r="24153">
      <c r="S24153" s="27"/>
      <c r="T24153" s="27"/>
      <c r="U24153" s="27"/>
    </row>
    <row r="24154">
      <c r="S24154" s="27"/>
      <c r="T24154" s="27"/>
      <c r="U24154" s="27"/>
    </row>
    <row r="24156">
      <c r="S24156" s="27"/>
      <c r="T24156" s="27"/>
      <c r="U24156" s="27"/>
    </row>
    <row r="24157">
      <c r="S24157" s="27"/>
      <c r="T24157" s="27"/>
      <c r="U24157" s="27"/>
    </row>
    <row r="24159">
      <c r="S24159" s="26"/>
      <c r="T24159" s="27"/>
      <c r="U24159" s="27"/>
    </row>
    <row r="24160">
      <c r="U24160" s="26"/>
    </row>
    <row r="24162">
      <c r="S24162" s="27"/>
      <c r="U24162" s="27"/>
    </row>
    <row r="24163">
      <c r="T24163" s="27"/>
      <c r="U24163" s="27"/>
    </row>
    <row r="24165">
      <c r="S24165" s="27"/>
      <c r="T24165" s="27"/>
      <c r="U24165" s="27"/>
    </row>
    <row r="24166">
      <c r="S24166" s="27"/>
      <c r="T24166" s="27"/>
      <c r="U24166" s="27"/>
    </row>
    <row r="24169">
      <c r="S24169" s="27"/>
      <c r="T24169" s="27"/>
      <c r="U24169" s="27"/>
    </row>
    <row r="24172">
      <c r="S24172" s="27"/>
      <c r="T24172" s="27"/>
      <c r="U24172" s="27"/>
    </row>
    <row r="24173">
      <c r="S24173" s="27"/>
      <c r="T24173" s="27"/>
      <c r="U24173" s="27"/>
    </row>
    <row r="24178">
      <c r="T24178" s="27"/>
      <c r="U24178" s="27"/>
    </row>
    <row r="24181">
      <c r="S24181" s="27"/>
      <c r="T24181" s="27"/>
      <c r="U24181" s="27"/>
    </row>
    <row r="24182">
      <c r="S24182" s="27"/>
      <c r="T24182" s="27"/>
      <c r="U24182" s="27"/>
    </row>
    <row r="24184">
      <c r="S24184" s="27"/>
      <c r="T24184" s="27"/>
      <c r="U24184" s="27"/>
    </row>
    <row r="24185">
      <c r="S24185" s="26"/>
      <c r="T24185" s="27"/>
      <c r="U24185" s="27"/>
    </row>
    <row r="24187">
      <c r="S24187" s="27"/>
      <c r="T24187" s="27"/>
      <c r="U24187" s="27"/>
    </row>
    <row r="24188">
      <c r="S24188" s="27"/>
      <c r="T24188" s="27"/>
      <c r="U24188" s="27"/>
    </row>
    <row r="24190">
      <c r="S24190" s="27"/>
    </row>
    <row r="24193">
      <c r="S24193" s="27"/>
      <c r="T24193" s="27"/>
      <c r="U24193" s="27"/>
    </row>
    <row r="24194">
      <c r="S24194" s="27"/>
      <c r="T24194" s="27"/>
      <c r="U24194" s="27"/>
    </row>
    <row r="24196">
      <c r="S24196" s="27"/>
      <c r="T24196" s="27"/>
      <c r="U24196" s="27"/>
    </row>
    <row r="24197">
      <c r="S24197" s="27"/>
      <c r="T24197" s="27"/>
      <c r="U24197" s="27"/>
    </row>
    <row r="24199">
      <c r="S24199" s="27"/>
      <c r="T24199" s="27"/>
      <c r="U24199" s="27"/>
    </row>
    <row r="24200">
      <c r="S24200" s="27"/>
      <c r="T24200" s="27"/>
      <c r="U24200" s="27"/>
    </row>
    <row r="24202">
      <c r="S24202" s="27"/>
      <c r="T24202" s="27"/>
      <c r="U24202" s="27"/>
    </row>
    <row r="24203">
      <c r="S24203" s="27"/>
      <c r="T24203" s="27"/>
      <c r="U24203" s="27"/>
    </row>
    <row r="24205">
      <c r="S24205" s="27"/>
      <c r="T24205" s="27"/>
      <c r="U24205" s="27"/>
    </row>
    <row r="24206">
      <c r="S24206" s="27"/>
      <c r="T24206" s="27"/>
      <c r="U24206" s="27"/>
    </row>
    <row r="24208">
      <c r="S24208" s="27"/>
      <c r="T24208" s="27"/>
      <c r="U24208" s="27"/>
    </row>
    <row r="24209">
      <c r="S24209" s="27"/>
      <c r="T24209" s="27"/>
      <c r="U24209" s="27"/>
    </row>
    <row r="24211">
      <c r="S24211" s="27"/>
      <c r="T24211" s="27"/>
      <c r="U24211" s="27"/>
    </row>
    <row r="24212">
      <c r="S24212" s="27"/>
      <c r="T24212" s="27"/>
      <c r="U24212" s="27"/>
    </row>
    <row r="24214">
      <c r="S24214" s="27"/>
      <c r="T24214" s="27"/>
      <c r="U24214" s="27"/>
    </row>
    <row r="24215">
      <c r="S24215" s="27"/>
      <c r="T24215" s="27"/>
      <c r="U24215" s="27"/>
    </row>
    <row r="24217">
      <c r="S24217" s="27"/>
      <c r="T24217" s="27"/>
      <c r="U24217" s="27"/>
    </row>
    <row r="24218">
      <c r="S24218" s="27"/>
      <c r="T24218" s="27"/>
      <c r="U24218" s="27"/>
    </row>
    <row r="24220">
      <c r="S24220" s="27"/>
      <c r="T24220" s="27"/>
      <c r="U24220" s="27"/>
    </row>
    <row r="24221">
      <c r="S24221" s="27"/>
      <c r="T24221" s="27"/>
      <c r="U24221" s="27"/>
    </row>
    <row r="24223">
      <c r="S24223" s="27"/>
      <c r="T24223" s="27"/>
      <c r="U24223" s="27"/>
    </row>
    <row r="24224">
      <c r="S24224" s="27"/>
      <c r="T24224" s="27"/>
      <c r="U24224" s="27"/>
    </row>
    <row r="24226">
      <c r="S24226" s="27"/>
      <c r="T24226" s="27"/>
      <c r="U24226" s="27"/>
    </row>
    <row r="24227">
      <c r="S24227" s="27"/>
      <c r="T24227" s="27"/>
      <c r="U24227" s="27"/>
    </row>
    <row r="24229">
      <c r="S24229" s="27"/>
      <c r="T24229" s="27"/>
      <c r="U24229" s="27"/>
    </row>
    <row r="24230">
      <c r="S24230" s="27"/>
      <c r="T24230" s="27"/>
      <c r="U24230" s="27"/>
    </row>
    <row r="24232">
      <c r="S24232" s="27"/>
      <c r="T24232" s="27"/>
      <c r="U24232" s="27"/>
    </row>
    <row r="24233">
      <c r="S24233" s="27"/>
      <c r="T24233" s="27"/>
      <c r="U24233" s="27"/>
    </row>
    <row r="24235">
      <c r="S24235" s="27"/>
      <c r="T24235" s="27"/>
      <c r="U24235" s="27"/>
    </row>
    <row r="24236">
      <c r="S24236" s="27"/>
      <c r="T24236" s="27"/>
      <c r="U24236" s="27"/>
    </row>
    <row r="24238">
      <c r="S24238" s="27"/>
      <c r="T24238" s="27"/>
      <c r="U24238" s="27"/>
    </row>
    <row r="24239">
      <c r="S24239" s="27"/>
      <c r="T24239" s="27"/>
      <c r="U24239" s="27"/>
    </row>
    <row r="24241">
      <c r="S24241" s="27"/>
      <c r="T24241" s="27"/>
      <c r="U24241" s="27"/>
    </row>
    <row r="24242">
      <c r="S24242" s="27"/>
      <c r="T24242" s="27"/>
      <c r="U24242" s="27"/>
    </row>
    <row r="24244">
      <c r="S24244" s="27"/>
      <c r="T24244" s="27"/>
      <c r="U24244" s="27"/>
    </row>
    <row r="24245">
      <c r="S24245" s="27"/>
      <c r="T24245" s="27"/>
      <c r="U24245" s="27"/>
    </row>
    <row r="24247">
      <c r="S24247" s="27"/>
      <c r="T24247" s="27"/>
      <c r="U24247" s="27"/>
    </row>
    <row r="24248">
      <c r="S24248" s="27"/>
      <c r="T24248" s="27"/>
      <c r="U24248" s="27"/>
    </row>
    <row r="24250">
      <c r="S24250" s="27"/>
      <c r="T24250" s="27"/>
      <c r="U24250" s="27"/>
    </row>
    <row r="24251">
      <c r="S24251" s="27"/>
      <c r="T24251" s="27"/>
      <c r="U24251" s="27"/>
    </row>
    <row r="24253">
      <c r="S24253" s="27"/>
      <c r="T24253" s="27"/>
      <c r="U24253" s="27"/>
    </row>
    <row r="24254">
      <c r="S24254" s="27"/>
      <c r="T24254" s="27"/>
      <c r="U24254" s="27"/>
    </row>
    <row r="24256">
      <c r="S24256" s="27"/>
      <c r="T24256" s="27"/>
      <c r="U24256" s="27"/>
    </row>
    <row r="24257">
      <c r="S24257" s="27"/>
      <c r="T24257" s="27"/>
      <c r="U24257" s="27"/>
    </row>
    <row r="24259">
      <c r="S24259" s="27"/>
      <c r="T24259" s="27"/>
      <c r="U24259" s="27"/>
    </row>
    <row r="24260">
      <c r="S24260" s="27"/>
      <c r="T24260" s="27"/>
      <c r="U24260" s="27"/>
    </row>
    <row r="24262">
      <c r="S24262" s="27"/>
      <c r="T24262" s="27"/>
      <c r="U24262" s="27"/>
    </row>
    <row r="24263">
      <c r="S24263" s="27"/>
      <c r="T24263" s="27"/>
      <c r="U24263" s="27"/>
    </row>
    <row r="24265">
      <c r="S24265" s="27"/>
      <c r="T24265" s="27"/>
      <c r="U24265" s="27"/>
    </row>
    <row r="24266">
      <c r="S24266" s="27"/>
      <c r="T24266" s="27"/>
      <c r="U24266" s="27"/>
    </row>
    <row r="24268">
      <c r="S24268" s="27"/>
      <c r="T24268" s="27"/>
      <c r="U24268" s="27"/>
    </row>
    <row r="24269">
      <c r="S24269" s="27"/>
      <c r="T24269" s="27"/>
      <c r="U24269" s="27"/>
    </row>
    <row r="24271">
      <c r="S24271" s="27"/>
      <c r="T24271" s="27"/>
      <c r="U24271" s="27"/>
    </row>
    <row r="24272">
      <c r="S24272" s="27"/>
      <c r="T24272" s="27"/>
      <c r="U24272" s="27"/>
    </row>
    <row r="24274">
      <c r="S24274" s="27"/>
      <c r="T24274" s="27"/>
      <c r="U24274" s="27"/>
    </row>
    <row r="24275">
      <c r="S24275" s="27"/>
      <c r="T24275" s="27"/>
      <c r="U24275" s="27"/>
    </row>
    <row r="24277">
      <c r="S24277" s="27"/>
      <c r="T24277" s="27"/>
      <c r="U24277" s="27"/>
    </row>
    <row r="24278">
      <c r="S24278" s="27"/>
      <c r="T24278" s="27"/>
      <c r="U24278" s="27"/>
    </row>
    <row r="24280">
      <c r="S24280" s="27"/>
      <c r="T24280" s="27"/>
      <c r="U24280" s="27"/>
    </row>
    <row r="24281">
      <c r="S24281" s="27"/>
      <c r="T24281" s="27"/>
      <c r="U24281" s="27"/>
    </row>
    <row r="24283">
      <c r="S24283" s="27"/>
      <c r="T24283" s="27"/>
      <c r="U24283" s="27"/>
    </row>
    <row r="24284">
      <c r="S24284" s="27"/>
      <c r="T24284" s="27"/>
      <c r="U24284" s="27"/>
    </row>
    <row r="24286">
      <c r="S24286" s="27"/>
      <c r="T24286" s="27"/>
      <c r="U24286" s="27"/>
    </row>
    <row r="24288">
      <c r="S24288" s="27"/>
      <c r="T24288" s="27"/>
      <c r="U24288" s="27"/>
    </row>
    <row r="24289">
      <c r="S24289" s="27"/>
      <c r="T24289" s="27"/>
      <c r="U24289" s="27"/>
    </row>
    <row r="24291">
      <c r="S24291" s="27"/>
    </row>
    <row r="24292">
      <c r="S24292" s="27"/>
      <c r="T24292" s="27"/>
      <c r="U24292" s="27"/>
    </row>
    <row r="24294">
      <c r="S24294" s="27"/>
      <c r="T24294" s="27"/>
      <c r="U24294" s="27"/>
    </row>
    <row r="24295">
      <c r="S24295" s="27"/>
      <c r="T24295" s="27"/>
      <c r="U24295" s="27"/>
    </row>
    <row r="24297">
      <c r="S24297" s="27"/>
      <c r="T24297" s="27"/>
      <c r="U24297" s="27"/>
    </row>
    <row r="24298">
      <c r="S24298" s="27"/>
      <c r="T24298" s="27"/>
      <c r="U24298" s="27"/>
    </row>
    <row r="24301">
      <c r="S24301" s="27"/>
      <c r="T24301" s="27"/>
      <c r="U24301" s="27"/>
    </row>
    <row r="24303">
      <c r="S24303" s="27"/>
      <c r="T24303" s="27"/>
      <c r="U24303" s="27"/>
    </row>
    <row r="24304">
      <c r="S24304" s="27"/>
      <c r="T24304" s="27"/>
      <c r="U24304" s="27"/>
    </row>
    <row r="24306">
      <c r="S24306" s="27"/>
      <c r="T24306" s="27"/>
      <c r="U24306" s="27"/>
    </row>
    <row r="24307">
      <c r="S24307" s="27"/>
      <c r="T24307" s="27"/>
      <c r="U24307" s="27"/>
    </row>
    <row r="24309">
      <c r="S24309" s="27"/>
      <c r="T24309" s="27"/>
      <c r="U24309" s="27"/>
    </row>
    <row r="24311">
      <c r="S24311" s="27"/>
      <c r="T24311" s="27"/>
      <c r="U24311" s="27"/>
    </row>
    <row r="24313">
      <c r="S24313" s="27"/>
      <c r="T24313" s="27"/>
      <c r="U24313" s="27"/>
    </row>
    <row r="24315">
      <c r="S24315" s="27"/>
      <c r="T24315" s="27"/>
      <c r="U24315" s="27"/>
    </row>
    <row r="24317">
      <c r="S24317" s="27"/>
      <c r="T24317" s="27"/>
      <c r="U24317" s="27"/>
    </row>
    <row r="24318">
      <c r="S24318" s="27"/>
      <c r="T24318" s="27"/>
      <c r="U24318" s="27"/>
    </row>
    <row r="24320">
      <c r="S24320" s="27"/>
      <c r="T24320" s="27"/>
      <c r="U24320" s="27"/>
    </row>
    <row r="24321">
      <c r="S24321" s="27"/>
      <c r="T24321" s="27"/>
      <c r="U24321" s="27"/>
    </row>
    <row r="24323">
      <c r="S24323" s="27"/>
      <c r="T24323" s="27"/>
      <c r="U24323" s="27"/>
    </row>
    <row r="24324">
      <c r="S24324" s="27"/>
      <c r="T24324" s="27"/>
    </row>
    <row r="24326">
      <c r="S24326" s="27"/>
      <c r="T24326" s="27"/>
      <c r="U24326" s="27"/>
    </row>
    <row r="24327">
      <c r="S24327" s="27"/>
      <c r="T24327" s="27"/>
      <c r="U24327" s="27"/>
    </row>
    <row r="24329">
      <c r="S24329" s="27"/>
      <c r="T24329" s="27"/>
      <c r="U24329" s="27"/>
    </row>
    <row r="24330">
      <c r="S24330" s="27"/>
      <c r="T24330" s="27"/>
      <c r="U24330" s="27"/>
    </row>
    <row r="24332">
      <c r="S24332" s="27"/>
      <c r="T24332" s="27"/>
      <c r="U24332" s="27"/>
    </row>
    <row r="24333">
      <c r="S24333" s="27"/>
      <c r="T24333" s="27"/>
      <c r="U24333" s="27"/>
    </row>
    <row r="24335">
      <c r="S24335" s="27"/>
      <c r="T24335" s="27"/>
      <c r="U24335" s="27"/>
    </row>
    <row r="24336">
      <c r="S24336" s="27"/>
      <c r="T24336" s="27"/>
      <c r="U24336" s="27"/>
    </row>
    <row r="24338">
      <c r="S24338" s="27"/>
    </row>
    <row r="24341">
      <c r="S24341" s="27"/>
      <c r="T24341" s="27"/>
      <c r="U24341" s="27"/>
    </row>
    <row r="24344">
      <c r="S24344" s="27"/>
      <c r="T24344" s="27"/>
      <c r="U24344" s="27"/>
    </row>
    <row r="24345">
      <c r="S24345" s="27"/>
      <c r="T24345" s="27"/>
      <c r="U24345" s="27"/>
    </row>
    <row r="24347">
      <c r="S24347" s="27"/>
      <c r="T24347" s="27"/>
      <c r="U24347" s="27"/>
    </row>
    <row r="24348">
      <c r="S24348" s="27"/>
      <c r="T24348" s="27"/>
      <c r="U24348" s="27"/>
    </row>
    <row r="24350">
      <c r="S24350" s="27"/>
      <c r="T24350" s="27"/>
      <c r="U24350" s="27"/>
    </row>
    <row r="24351">
      <c r="S24351" s="27"/>
      <c r="T24351" s="27"/>
      <c r="U24351" s="27"/>
    </row>
    <row r="24353">
      <c r="S24353" s="26"/>
      <c r="T24353" s="26"/>
      <c r="U24353" s="26"/>
    </row>
    <row r="24356">
      <c r="S24356" s="27"/>
      <c r="T24356" s="27"/>
      <c r="U24356" s="27"/>
    </row>
    <row r="24357">
      <c r="S24357" s="27"/>
      <c r="T24357" s="27"/>
      <c r="U24357" s="27"/>
    </row>
    <row r="24359">
      <c r="S24359" s="27"/>
      <c r="T24359" s="27"/>
      <c r="U24359" s="27"/>
    </row>
    <row r="24360">
      <c r="S24360" s="27"/>
      <c r="T24360" s="27"/>
      <c r="U24360" s="27"/>
    </row>
    <row r="24362">
      <c r="S24362" s="27"/>
      <c r="T24362" s="27"/>
      <c r="U24362" s="27"/>
    </row>
    <row r="24363">
      <c r="T24363" s="27"/>
      <c r="U24363" s="27"/>
    </row>
    <row r="24368">
      <c r="S24368" s="26"/>
      <c r="T24368" s="26"/>
      <c r="U24368" s="26"/>
    </row>
    <row r="24371">
      <c r="S24371" s="27"/>
      <c r="T24371" s="27"/>
      <c r="U24371" s="27"/>
    </row>
    <row r="24372">
      <c r="S24372" s="27"/>
      <c r="T24372" s="27"/>
      <c r="U24372" s="27"/>
    </row>
    <row r="24374">
      <c r="S24374" s="27"/>
      <c r="T24374" s="27"/>
      <c r="U24374" s="27"/>
    </row>
    <row r="24375">
      <c r="S24375" s="27"/>
      <c r="T24375" s="27"/>
      <c r="U24375" s="27"/>
    </row>
    <row r="24377">
      <c r="S24377" s="26"/>
      <c r="T24377" s="26"/>
      <c r="U24377" s="26"/>
    </row>
    <row r="24383">
      <c r="S24383" s="27"/>
      <c r="T24383" s="27"/>
      <c r="U24383" s="27"/>
    </row>
    <row r="24386">
      <c r="S24386" s="27"/>
      <c r="T24386" s="27"/>
      <c r="U24386" s="27"/>
    </row>
    <row r="24387">
      <c r="S24387" s="27"/>
      <c r="T24387" s="27"/>
      <c r="U24387" s="27"/>
    </row>
    <row r="24389">
      <c r="S24389" s="27"/>
      <c r="T24389" s="27"/>
      <c r="U24389" s="27"/>
    </row>
    <row r="24390">
      <c r="S24390" s="27"/>
      <c r="T24390" s="27"/>
      <c r="U24390" s="27"/>
    </row>
    <row r="24392">
      <c r="S24392" s="27"/>
      <c r="T24392" s="27"/>
      <c r="U24392" s="27"/>
    </row>
    <row r="24393">
      <c r="S24393" s="27"/>
      <c r="T24393" s="27"/>
      <c r="U24393" s="27"/>
    </row>
    <row r="24395">
      <c r="S24395" s="27"/>
      <c r="T24395" s="27"/>
      <c r="U24395" s="27"/>
    </row>
    <row r="24396">
      <c r="S24396" s="27"/>
      <c r="T24396" s="27"/>
      <c r="U24396" s="27"/>
    </row>
    <row r="24398">
      <c r="S24398" s="27"/>
      <c r="T24398" s="27"/>
      <c r="U24398" s="27"/>
    </row>
    <row r="24399">
      <c r="S24399" s="27"/>
      <c r="T24399" s="27"/>
      <c r="U24399" s="27"/>
    </row>
    <row r="24401">
      <c r="S24401" s="27"/>
      <c r="T24401" s="27"/>
      <c r="U24401" s="27"/>
    </row>
    <row r="24402">
      <c r="S24402" s="27"/>
      <c r="T24402" s="27"/>
      <c r="U24402" s="27"/>
    </row>
    <row r="24404">
      <c r="S24404" s="27"/>
      <c r="T24404" s="27"/>
      <c r="U24404" s="27"/>
    </row>
    <row r="24405">
      <c r="S24405" s="27"/>
      <c r="T24405" s="27"/>
      <c r="U24405" s="27"/>
    </row>
    <row r="24407">
      <c r="S24407" s="27"/>
      <c r="T24407" s="27"/>
      <c r="U24407" s="27"/>
    </row>
    <row r="24408">
      <c r="S24408" s="27"/>
      <c r="T24408" s="27"/>
      <c r="U24408" s="27"/>
    </row>
    <row r="24410">
      <c r="S24410" s="27"/>
      <c r="T24410" s="27"/>
      <c r="U24410" s="27"/>
    </row>
    <row r="24411">
      <c r="S24411" s="27"/>
      <c r="T24411" s="27"/>
      <c r="U24411" s="27"/>
    </row>
    <row r="24413">
      <c r="S24413" s="27"/>
      <c r="T24413" s="27"/>
      <c r="U24413" s="27"/>
    </row>
    <row r="24414">
      <c r="S24414" s="27"/>
      <c r="T24414" s="27"/>
      <c r="U24414" s="27"/>
    </row>
    <row r="24416">
      <c r="S24416" s="27"/>
      <c r="T24416" s="27"/>
      <c r="U24416" s="27"/>
    </row>
    <row r="24417">
      <c r="S24417" s="27"/>
      <c r="T24417" s="27"/>
      <c r="U24417" s="27"/>
    </row>
    <row r="24419">
      <c r="S24419" s="27"/>
      <c r="T24419" s="27"/>
      <c r="U24419" s="27"/>
    </row>
    <row r="24420">
      <c r="S24420" s="27"/>
      <c r="T24420" s="27"/>
      <c r="U24420" s="27"/>
    </row>
    <row r="24422">
      <c r="S24422" s="27"/>
      <c r="T24422" s="27"/>
      <c r="U24422" s="27"/>
    </row>
    <row r="24423">
      <c r="S24423" s="27"/>
      <c r="T24423" s="27"/>
      <c r="U24423" s="27"/>
    </row>
    <row r="24425">
      <c r="S24425" s="27"/>
      <c r="T24425" s="27"/>
      <c r="U24425" s="27"/>
    </row>
    <row r="24426">
      <c r="S24426" s="27"/>
      <c r="T24426" s="27"/>
      <c r="U24426" s="27"/>
    </row>
    <row r="24428">
      <c r="S24428" s="27"/>
      <c r="T24428" s="27"/>
      <c r="U24428" s="27"/>
    </row>
    <row r="24429">
      <c r="S24429" s="27"/>
      <c r="T24429" s="27"/>
      <c r="U24429" s="27"/>
    </row>
    <row r="24431">
      <c r="S24431" s="27"/>
      <c r="T24431" s="27"/>
      <c r="U24431" s="27"/>
    </row>
    <row r="24432">
      <c r="S24432" s="27"/>
      <c r="T24432" s="27"/>
      <c r="U24432" s="27"/>
    </row>
    <row r="24434">
      <c r="S24434" s="27"/>
      <c r="T24434" s="27"/>
      <c r="U24434" s="27"/>
    </row>
    <row r="24435">
      <c r="S24435" s="27"/>
      <c r="T24435" s="27"/>
      <c r="U24435" s="27"/>
    </row>
    <row r="24437">
      <c r="S24437" s="27"/>
      <c r="T24437" s="27"/>
      <c r="U24437" s="27"/>
    </row>
    <row r="24438">
      <c r="S24438" s="27"/>
      <c r="T24438" s="27"/>
      <c r="U24438" s="27"/>
    </row>
    <row r="24440">
      <c r="S24440" s="27"/>
      <c r="T24440" s="27"/>
      <c r="U24440" s="27"/>
    </row>
    <row r="24441">
      <c r="S24441" s="27"/>
      <c r="T24441" s="27"/>
      <c r="U24441" s="27"/>
    </row>
    <row r="24443">
      <c r="S24443" s="27"/>
      <c r="T24443" s="27"/>
      <c r="U24443" s="27"/>
    </row>
    <row r="24444">
      <c r="S24444" s="27"/>
      <c r="T24444" s="27"/>
      <c r="U24444" s="27"/>
    </row>
    <row r="24446">
      <c r="S24446" s="27"/>
      <c r="T24446" s="27"/>
      <c r="U24446" s="27"/>
    </row>
    <row r="24447">
      <c r="S24447" s="27"/>
      <c r="T24447" s="27"/>
      <c r="U24447" s="27"/>
    </row>
    <row r="24449">
      <c r="S24449" s="27"/>
      <c r="T24449" s="27"/>
      <c r="U24449" s="27"/>
    </row>
    <row r="24450">
      <c r="S24450" s="27"/>
      <c r="T24450" s="27"/>
      <c r="U24450" s="27"/>
    </row>
    <row r="24452">
      <c r="S24452" s="27"/>
      <c r="T24452" s="27"/>
      <c r="U24452" s="27"/>
    </row>
    <row r="24453">
      <c r="S24453" s="27"/>
      <c r="T24453" s="27"/>
      <c r="U24453" s="27"/>
    </row>
    <row r="24455">
      <c r="S24455" s="27"/>
      <c r="T24455" s="27"/>
      <c r="U24455" s="27"/>
    </row>
    <row r="24456">
      <c r="S24456" s="27"/>
      <c r="T24456" s="27"/>
      <c r="U24456" s="27"/>
    </row>
    <row r="24461">
      <c r="S24461" s="27"/>
      <c r="T24461" s="27"/>
      <c r="U24461" s="27"/>
    </row>
    <row r="24462">
      <c r="S24462" s="27"/>
      <c r="T24462" s="27"/>
      <c r="U24462" s="27"/>
    </row>
    <row r="24464">
      <c r="S24464" s="27"/>
      <c r="T24464" s="27"/>
      <c r="U24464" s="27"/>
    </row>
    <row r="24467">
      <c r="S24467" s="33"/>
    </row>
    <row r="24468">
      <c r="S24468" s="27"/>
    </row>
    <row r="24470">
      <c r="S24470" s="27"/>
      <c r="T24470" s="27"/>
    </row>
    <row r="24471">
      <c r="S24471" s="27"/>
      <c r="T24471" s="27"/>
      <c r="U24471" s="26"/>
    </row>
    <row r="24476">
      <c r="S24476" s="27"/>
      <c r="T24476" s="27"/>
      <c r="U24476" s="27"/>
    </row>
    <row r="24477">
      <c r="S24477" s="27"/>
      <c r="T24477" s="27"/>
      <c r="U24477" s="27"/>
    </row>
    <row r="24479">
      <c r="S24479" s="27"/>
      <c r="T24479" s="27"/>
      <c r="U24479" s="27"/>
    </row>
    <row r="24480">
      <c r="S24480" s="27"/>
      <c r="T24480" s="27"/>
      <c r="U24480" s="27"/>
    </row>
    <row r="24482">
      <c r="S24482" s="27"/>
      <c r="T24482" s="27"/>
      <c r="U24482" s="27"/>
    </row>
    <row r="24483">
      <c r="S24483" s="27"/>
      <c r="T24483" s="27"/>
      <c r="U24483" s="27"/>
    </row>
    <row r="24485">
      <c r="S24485" s="26"/>
      <c r="T24485" s="26"/>
      <c r="U24485" s="26"/>
    </row>
    <row r="24488">
      <c r="U24488" s="27"/>
    </row>
    <row r="24491">
      <c r="S24491" s="27"/>
      <c r="T24491" s="27"/>
      <c r="U24491" s="27"/>
    </row>
    <row r="24493">
      <c r="S24493" s="27"/>
      <c r="T24493" s="27"/>
      <c r="U24493" s="27"/>
    </row>
    <row r="24495">
      <c r="S24495" s="26"/>
      <c r="T24495" s="26"/>
      <c r="U24495" s="26"/>
    </row>
    <row r="24498">
      <c r="S24498" s="27"/>
      <c r="T24498" s="27"/>
      <c r="U24498" s="27"/>
    </row>
    <row r="24501">
      <c r="S24501" s="27"/>
      <c r="T24501" s="27"/>
      <c r="U24501" s="27"/>
    </row>
    <row r="24502">
      <c r="S24502" s="27"/>
      <c r="T24502" s="27"/>
      <c r="U24502" s="27"/>
    </row>
    <row r="24504">
      <c r="S24504" s="27"/>
      <c r="T24504" s="27"/>
      <c r="U24504" s="27"/>
    </row>
    <row r="24505">
      <c r="S24505" s="27"/>
      <c r="T24505" s="27"/>
      <c r="U24505" s="27"/>
    </row>
    <row r="24507">
      <c r="S24507" s="27"/>
      <c r="T24507" s="27"/>
      <c r="U24507" s="27"/>
    </row>
    <row r="24508">
      <c r="S24508" s="27"/>
      <c r="T24508" s="27"/>
      <c r="U24508" s="27"/>
    </row>
    <row r="24510">
      <c r="S24510" s="27"/>
    </row>
    <row r="24511">
      <c r="S24511" s="27"/>
      <c r="T24511" s="26"/>
      <c r="U24511" s="27"/>
    </row>
    <row r="24513">
      <c r="S24513" s="27"/>
      <c r="T24513" s="27"/>
      <c r="U24513" s="27"/>
    </row>
    <row r="24514">
      <c r="S24514" s="27"/>
      <c r="T24514" s="27"/>
      <c r="U24514" s="27"/>
    </row>
    <row r="24519">
      <c r="S24519" s="27"/>
      <c r="T24519" s="27"/>
      <c r="U24519" s="27"/>
    </row>
    <row r="24520">
      <c r="S24520" s="27"/>
      <c r="T24520" s="27"/>
      <c r="U24520" s="27"/>
    </row>
    <row r="24522">
      <c r="S24522" s="27"/>
      <c r="T24522" s="27"/>
      <c r="U24522" s="27"/>
    </row>
    <row r="24523">
      <c r="S24523" s="27"/>
      <c r="T24523" s="27"/>
      <c r="U24523" s="27"/>
    </row>
    <row r="24525">
      <c r="S24525" s="27"/>
      <c r="T24525" s="27"/>
      <c r="U24525" s="27"/>
    </row>
    <row r="24526">
      <c r="S24526" s="27"/>
      <c r="T24526" s="27"/>
      <c r="U24526" s="27"/>
    </row>
    <row r="24528">
      <c r="S24528" s="33"/>
      <c r="T24528" s="33"/>
      <c r="U24528" s="27"/>
    </row>
    <row r="24534">
      <c r="S24534" s="27"/>
      <c r="T24534" s="27"/>
      <c r="U24534" s="27"/>
    </row>
    <row r="24537">
      <c r="S24537" s="33"/>
      <c r="T24537" s="33"/>
      <c r="U24537" s="27"/>
    </row>
    <row r="24538">
      <c r="S24538" s="27"/>
      <c r="T24538" s="27"/>
      <c r="U24538" s="27"/>
    </row>
    <row r="24540">
      <c r="S24540" s="26"/>
    </row>
    <row r="24541">
      <c r="T24541" s="26"/>
      <c r="U24541" s="26"/>
    </row>
    <row r="24543">
      <c r="S24543" s="27"/>
      <c r="T24543" s="27"/>
      <c r="U24543" s="27"/>
    </row>
    <row r="24544">
      <c r="S24544" s="27"/>
      <c r="T24544" s="27"/>
      <c r="U24544" s="27"/>
    </row>
    <row r="24546">
      <c r="S24546" s="27"/>
      <c r="T24546" s="27"/>
      <c r="U24546" s="27"/>
    </row>
    <row r="24547">
      <c r="S24547" s="27"/>
      <c r="T24547" s="27"/>
      <c r="U24547" s="27"/>
    </row>
    <row r="24549">
      <c r="S24549" s="27"/>
      <c r="T24549" s="27"/>
      <c r="U24549" s="27"/>
    </row>
    <row r="24550">
      <c r="S24550" s="27"/>
      <c r="T24550" s="27"/>
      <c r="U24550" s="27"/>
    </row>
    <row r="24552">
      <c r="S24552" s="27"/>
      <c r="T24552" s="27"/>
      <c r="U24552" s="27"/>
    </row>
    <row r="24553">
      <c r="S24553" s="27"/>
      <c r="T24553" s="27"/>
      <c r="U24553" s="27"/>
    </row>
    <row r="24558">
      <c r="S24558" s="27"/>
      <c r="T24558" s="27"/>
      <c r="U24558" s="27"/>
    </row>
    <row r="24559">
      <c r="S24559" s="27"/>
      <c r="T24559" s="27"/>
      <c r="U24559" s="27"/>
    </row>
    <row r="24561">
      <c r="S24561" s="27"/>
      <c r="T24561" s="27"/>
      <c r="U24561" s="27"/>
    </row>
    <row r="24562">
      <c r="S24562" s="27"/>
      <c r="T24562" s="27"/>
      <c r="U24562" s="27"/>
    </row>
    <row r="24564">
      <c r="S24564" s="27"/>
      <c r="T24564" s="27"/>
      <c r="U24564" s="27"/>
    </row>
    <row r="24565">
      <c r="S24565" s="26"/>
      <c r="T24565" s="26"/>
      <c r="U24565" s="26"/>
    </row>
    <row r="24567">
      <c r="S24567" s="27"/>
      <c r="T24567" s="27"/>
      <c r="U24567" s="27"/>
    </row>
    <row r="24568">
      <c r="S24568" s="27"/>
      <c r="T24568" s="27"/>
      <c r="U24568" s="27"/>
    </row>
    <row r="24570">
      <c r="S24570" s="27"/>
      <c r="T24570" s="27"/>
      <c r="U24570" s="27"/>
    </row>
    <row r="24571">
      <c r="S24571" s="27"/>
      <c r="T24571" s="27"/>
      <c r="U24571" s="27"/>
    </row>
    <row r="24573">
      <c r="S24573" s="27"/>
      <c r="T24573" s="27"/>
      <c r="U24573" s="27"/>
    </row>
    <row r="24574">
      <c r="S24574" s="27"/>
      <c r="T24574" s="27"/>
      <c r="U24574" s="27"/>
    </row>
    <row r="24576">
      <c r="S24576" s="27"/>
      <c r="T24576" s="27"/>
      <c r="U24576" s="27"/>
    </row>
    <row r="24577">
      <c r="S24577" s="26"/>
      <c r="T24577" s="26"/>
      <c r="U24577" s="26"/>
    </row>
    <row r="24579">
      <c r="S24579" s="27"/>
      <c r="T24579" s="27"/>
      <c r="U24579" s="27"/>
    </row>
    <row r="24582">
      <c r="S24582" s="26"/>
      <c r="T24582" s="26"/>
      <c r="U24582" s="26"/>
    </row>
    <row r="24585">
      <c r="S24585" s="27"/>
      <c r="T24585" s="27"/>
      <c r="U24585" s="27"/>
    </row>
    <row r="24588">
      <c r="S24588" s="27"/>
      <c r="T24588" s="27"/>
      <c r="U24588" s="27"/>
    </row>
    <row r="24589">
      <c r="S24589" s="27"/>
      <c r="T24589" s="27"/>
      <c r="U24589" s="27"/>
    </row>
    <row r="24591">
      <c r="S24591" s="27"/>
      <c r="T24591" s="27"/>
      <c r="U24591" s="27"/>
    </row>
    <row r="24592">
      <c r="S24592" s="27"/>
      <c r="T24592" s="27"/>
      <c r="U24592" s="27"/>
    </row>
    <row r="24594">
      <c r="S24594" s="27"/>
      <c r="T24594" s="27"/>
      <c r="U24594" s="27"/>
    </row>
    <row r="24595">
      <c r="S24595" s="27"/>
      <c r="T24595" s="27"/>
      <c r="U24595" s="27"/>
    </row>
    <row r="24597">
      <c r="S24597" s="26"/>
    </row>
    <row r="24598">
      <c r="S24598" s="26"/>
      <c r="T24598" s="26"/>
      <c r="U24598" s="26"/>
    </row>
    <row r="24600">
      <c r="S24600" s="27"/>
      <c r="T24600" s="27"/>
      <c r="U24600" s="27"/>
    </row>
    <row r="24601">
      <c r="S24601" s="27"/>
      <c r="T24601" s="27"/>
      <c r="U24601" s="27"/>
    </row>
    <row r="24603">
      <c r="S24603" s="27"/>
      <c r="T24603" s="27"/>
      <c r="U24603" s="27"/>
    </row>
    <row r="24604">
      <c r="S24604" s="27"/>
      <c r="T24604" s="27"/>
      <c r="U24604" s="27"/>
    </row>
    <row r="24606">
      <c r="S24606" s="27"/>
      <c r="T24606" s="27"/>
      <c r="U24606" s="27"/>
    </row>
    <row r="24607">
      <c r="S24607" s="27"/>
      <c r="T24607" s="27"/>
      <c r="U24607" s="27"/>
    </row>
    <row r="24609">
      <c r="S24609" s="27"/>
      <c r="T24609" s="27"/>
      <c r="U24609" s="27"/>
    </row>
    <row r="24610">
      <c r="S24610" s="27"/>
      <c r="T24610" s="27"/>
      <c r="U24610" s="27"/>
    </row>
    <row r="24612">
      <c r="S24612" s="27"/>
      <c r="T24612" s="27"/>
      <c r="U24612" s="27"/>
    </row>
    <row r="24613">
      <c r="S24613" s="27"/>
      <c r="T24613" s="27"/>
      <c r="U24613" s="27"/>
    </row>
    <row r="24615">
      <c r="S24615" s="27"/>
      <c r="T24615" s="27"/>
      <c r="U24615" s="27"/>
    </row>
    <row r="24616">
      <c r="S24616" s="27"/>
      <c r="T24616" s="27"/>
      <c r="U24616" s="27"/>
    </row>
    <row r="24618">
      <c r="S24618" s="27"/>
      <c r="T24618" s="27"/>
      <c r="U24618" s="27"/>
    </row>
    <row r="24619">
      <c r="S24619" s="27"/>
      <c r="T24619" s="27"/>
      <c r="U24619" s="27"/>
    </row>
    <row r="24621">
      <c r="S24621" s="27"/>
      <c r="T24621" s="27"/>
      <c r="U24621" s="27"/>
    </row>
    <row r="24622">
      <c r="S24622" s="27"/>
      <c r="T24622" s="27"/>
      <c r="U24622" s="27"/>
    </row>
    <row r="24624">
      <c r="S24624" s="27"/>
      <c r="T24624" s="27"/>
      <c r="U24624" s="27"/>
    </row>
    <row r="24625">
      <c r="S24625" s="27"/>
      <c r="T24625" s="27"/>
      <c r="U24625" s="27"/>
    </row>
    <row r="24627">
      <c r="S24627" s="27"/>
      <c r="T24627" s="27"/>
      <c r="U24627" s="27"/>
    </row>
    <row r="24628">
      <c r="S24628" s="27"/>
      <c r="T24628" s="27"/>
      <c r="U24628" s="27"/>
    </row>
    <row r="24630">
      <c r="S24630" s="27"/>
      <c r="T24630" s="27"/>
      <c r="U24630" s="27"/>
    </row>
    <row r="24631">
      <c r="S24631" s="27"/>
      <c r="T24631" s="27"/>
      <c r="U24631" s="27"/>
    </row>
    <row r="24633">
      <c r="S24633" s="27"/>
      <c r="T24633" s="27"/>
      <c r="U24633" s="27"/>
    </row>
    <row r="24634">
      <c r="S24634" s="27"/>
      <c r="T24634" s="27"/>
      <c r="U24634" s="27"/>
    </row>
    <row r="24636">
      <c r="S24636" s="27"/>
      <c r="T24636" s="27"/>
      <c r="U24636" s="27"/>
    </row>
    <row r="24637">
      <c r="S24637" s="27"/>
      <c r="T24637" s="27"/>
      <c r="U24637" s="27"/>
    </row>
    <row r="24639">
      <c r="S24639" s="27"/>
      <c r="T24639" s="27"/>
      <c r="U24639" s="27"/>
    </row>
    <row r="24640">
      <c r="S24640" s="27"/>
      <c r="T24640" s="27"/>
      <c r="U24640" s="27"/>
    </row>
    <row r="24642">
      <c r="S24642" s="27"/>
      <c r="T24642" s="27"/>
      <c r="U24642" s="27"/>
    </row>
    <row r="24643">
      <c r="S24643" s="27"/>
      <c r="T24643" s="27"/>
      <c r="U24643" s="27"/>
    </row>
    <row r="24645">
      <c r="S24645" s="27"/>
      <c r="T24645" s="27"/>
      <c r="U24645" s="27"/>
    </row>
    <row r="24646">
      <c r="S24646" s="27"/>
      <c r="T24646" s="27"/>
      <c r="U24646" s="27"/>
    </row>
    <row r="24648">
      <c r="S24648" s="27"/>
      <c r="T24648" s="27"/>
      <c r="U24648" s="27"/>
    </row>
    <row r="24649">
      <c r="S24649" s="27"/>
      <c r="T24649" s="27"/>
      <c r="U24649" s="27"/>
    </row>
    <row r="24651">
      <c r="S24651" s="27"/>
      <c r="T24651" s="27"/>
      <c r="U24651" s="27"/>
    </row>
    <row r="24652">
      <c r="S24652" s="27"/>
      <c r="T24652" s="27"/>
      <c r="U24652" s="27"/>
    </row>
    <row r="24654">
      <c r="S24654" s="27"/>
      <c r="T24654" s="27"/>
      <c r="U24654" s="27"/>
    </row>
    <row r="24655">
      <c r="S24655" s="27"/>
      <c r="T24655" s="27"/>
      <c r="U24655" s="27"/>
    </row>
    <row r="24657">
      <c r="S24657" s="27"/>
      <c r="T24657" s="27"/>
      <c r="U24657" s="27"/>
    </row>
    <row r="24658">
      <c r="S24658" s="27"/>
      <c r="T24658" s="27"/>
      <c r="U24658" s="27"/>
    </row>
    <row r="24660">
      <c r="S24660" s="27"/>
      <c r="T24660" s="27"/>
      <c r="U24660" s="27"/>
    </row>
    <row r="24661">
      <c r="S24661" s="27"/>
      <c r="T24661" s="27"/>
      <c r="U24661" s="27"/>
    </row>
    <row r="24663">
      <c r="S24663" s="27"/>
      <c r="T24663" s="27"/>
      <c r="U24663" s="27"/>
    </row>
    <row r="24664">
      <c r="S24664" s="27"/>
      <c r="T24664" s="27"/>
      <c r="U24664" s="27"/>
    </row>
    <row r="24666">
      <c r="S24666" s="27"/>
      <c r="T24666" s="27"/>
      <c r="U24666" s="27"/>
    </row>
    <row r="24667">
      <c r="S24667" s="27"/>
      <c r="T24667" s="27"/>
      <c r="U24667" s="27"/>
    </row>
    <row r="24669">
      <c r="S24669" s="27"/>
      <c r="T24669" s="27"/>
      <c r="U24669" s="27"/>
    </row>
    <row r="24670">
      <c r="S24670" s="27"/>
      <c r="T24670" s="27"/>
      <c r="U24670" s="27"/>
    </row>
    <row r="24672">
      <c r="S24672" s="27"/>
      <c r="T24672" s="27"/>
      <c r="U24672" s="27"/>
    </row>
    <row r="24673">
      <c r="S24673" s="27"/>
      <c r="T24673" s="27"/>
      <c r="U24673" s="27"/>
    </row>
    <row r="24675">
      <c r="S24675" s="27"/>
      <c r="T24675" s="27"/>
      <c r="U24675" s="27"/>
    </row>
    <row r="24676">
      <c r="S24676" s="27"/>
      <c r="T24676" s="27"/>
      <c r="U24676" s="27"/>
    </row>
    <row r="24678">
      <c r="S24678" s="27"/>
      <c r="T24678" s="27"/>
      <c r="U24678" s="27"/>
    </row>
    <row r="24679">
      <c r="S24679" s="27"/>
      <c r="T24679" s="27"/>
      <c r="U24679" s="27"/>
    </row>
    <row r="24681">
      <c r="S24681" s="27"/>
      <c r="T24681" s="27"/>
      <c r="U24681" s="27"/>
    </row>
    <row r="24682">
      <c r="S24682" s="27"/>
      <c r="T24682" s="27"/>
      <c r="U24682" s="27"/>
    </row>
    <row r="24684">
      <c r="S24684" s="27"/>
      <c r="T24684" s="27"/>
      <c r="U24684" s="27"/>
    </row>
    <row r="24685">
      <c r="S24685" s="27"/>
      <c r="T24685" s="27"/>
      <c r="U24685" s="27"/>
    </row>
    <row r="24687">
      <c r="S24687" s="27"/>
      <c r="T24687" s="27"/>
      <c r="U24687" s="27"/>
    </row>
    <row r="24688">
      <c r="S24688" s="27"/>
      <c r="T24688" s="27"/>
      <c r="U24688" s="27"/>
    </row>
    <row r="24690">
      <c r="S24690" s="27"/>
      <c r="T24690" s="27"/>
      <c r="U24690" s="27"/>
    </row>
    <row r="24691">
      <c r="S24691" s="27"/>
      <c r="T24691" s="27"/>
      <c r="U24691" s="27"/>
    </row>
    <row r="24693">
      <c r="S24693" s="27"/>
      <c r="T24693" s="27"/>
      <c r="U24693" s="27"/>
    </row>
    <row r="24694">
      <c r="S24694" s="27"/>
      <c r="T24694" s="27"/>
      <c r="U24694" s="27"/>
    </row>
    <row r="24696">
      <c r="S24696" s="27"/>
      <c r="T24696" s="27"/>
      <c r="U24696" s="27"/>
    </row>
    <row r="24698">
      <c r="S24698" s="27"/>
      <c r="T24698" s="27"/>
      <c r="U24698" s="27"/>
    </row>
    <row r="24699">
      <c r="S24699" s="27"/>
      <c r="T24699" s="27"/>
      <c r="U24699" s="27"/>
    </row>
    <row r="24701">
      <c r="S24701" s="27"/>
      <c r="T24701" s="27"/>
      <c r="U24701" s="27"/>
    </row>
    <row r="24702">
      <c r="S24702" s="27"/>
      <c r="T24702" s="27"/>
      <c r="U24702" s="27"/>
    </row>
    <row r="24704">
      <c r="S24704" s="27"/>
      <c r="T24704" s="27"/>
      <c r="U24704" s="27"/>
    </row>
    <row r="24705">
      <c r="S24705" s="27"/>
      <c r="T24705" s="27"/>
      <c r="U24705" s="27"/>
    </row>
    <row r="24707">
      <c r="S24707" s="27"/>
      <c r="T24707" s="27"/>
      <c r="U24707" s="27"/>
    </row>
    <row r="24708">
      <c r="S24708" s="27"/>
      <c r="T24708" s="27"/>
      <c r="U24708" s="27"/>
    </row>
    <row r="24710">
      <c r="S24710" s="27"/>
      <c r="T24710" s="27"/>
      <c r="U24710" s="27"/>
    </row>
    <row r="24711">
      <c r="S24711" s="27"/>
      <c r="T24711" s="27"/>
      <c r="U24711" s="27"/>
    </row>
    <row r="24713">
      <c r="S24713" s="27"/>
      <c r="T24713" s="27"/>
      <c r="U24713" s="27"/>
    </row>
    <row r="24714">
      <c r="S24714" s="27"/>
      <c r="T24714" s="27"/>
      <c r="U24714" s="27"/>
    </row>
    <row r="24716">
      <c r="S24716" s="27"/>
      <c r="T24716" s="27"/>
      <c r="U24716" s="27"/>
    </row>
    <row r="24717">
      <c r="S24717" s="27"/>
      <c r="T24717" s="27"/>
      <c r="U24717" s="27"/>
    </row>
    <row r="24719">
      <c r="S24719" s="27"/>
      <c r="T24719" s="27"/>
      <c r="U24719" s="27"/>
    </row>
    <row r="24721">
      <c r="S24721" s="27"/>
      <c r="T24721" s="27"/>
      <c r="U24721" s="27"/>
    </row>
    <row r="24723">
      <c r="S24723" s="27"/>
      <c r="T24723" s="27"/>
      <c r="U24723" s="27"/>
    </row>
    <row r="24725">
      <c r="S24725" s="27"/>
      <c r="T24725" s="27"/>
      <c r="U24725" s="27"/>
    </row>
    <row r="24727">
      <c r="S24727" s="27"/>
      <c r="T24727" s="27"/>
      <c r="U24727" s="27"/>
    </row>
    <row r="24728">
      <c r="S24728" s="27"/>
      <c r="T24728" s="27"/>
      <c r="U24728" s="27"/>
    </row>
    <row r="24730">
      <c r="S24730" s="27"/>
      <c r="T24730" s="27"/>
      <c r="U24730" s="27"/>
    </row>
    <row r="24731">
      <c r="S24731" s="27"/>
      <c r="T24731" s="27"/>
      <c r="U24731" s="27"/>
    </row>
    <row r="24733">
      <c r="S24733" s="27"/>
      <c r="T24733" s="27"/>
      <c r="U24733" s="27"/>
    </row>
    <row r="24734">
      <c r="S24734" s="27"/>
      <c r="T24734" s="27"/>
      <c r="U24734" s="27"/>
    </row>
    <row r="24736">
      <c r="S24736" s="27"/>
      <c r="T24736" s="27"/>
      <c r="U24736" s="27"/>
    </row>
    <row r="24737">
      <c r="S24737" s="27"/>
      <c r="T24737" s="27"/>
      <c r="U24737" s="27"/>
    </row>
    <row r="24739">
      <c r="S24739" s="27"/>
      <c r="T24739" s="27"/>
      <c r="U24739" s="27"/>
    </row>
    <row r="24740">
      <c r="S24740" s="27"/>
      <c r="T24740" s="27"/>
      <c r="U24740" s="27"/>
    </row>
    <row r="24742">
      <c r="S24742" s="27"/>
      <c r="T24742" s="27"/>
      <c r="U24742" s="27"/>
    </row>
    <row r="24743">
      <c r="S24743" s="27"/>
      <c r="T24743" s="27"/>
      <c r="U24743" s="27"/>
    </row>
    <row r="24745">
      <c r="S24745" s="27"/>
      <c r="T24745" s="27"/>
      <c r="U24745" s="27"/>
    </row>
    <row r="24746">
      <c r="S24746" s="27"/>
      <c r="T24746" s="27"/>
      <c r="U24746" s="27"/>
    </row>
    <row r="24751">
      <c r="S24751" s="27"/>
      <c r="T24751" s="27"/>
      <c r="U24751" s="27"/>
    </row>
    <row r="24754">
      <c r="S24754" s="27"/>
      <c r="T24754" s="27"/>
      <c r="U24754" s="27"/>
    </row>
    <row r="24755">
      <c r="S24755" s="27"/>
      <c r="T24755" s="27"/>
      <c r="U24755" s="27"/>
    </row>
    <row r="24757">
      <c r="S24757" s="27"/>
      <c r="T24757" s="27"/>
      <c r="U24757" s="27"/>
    </row>
    <row r="24758">
      <c r="S24758" s="27"/>
      <c r="T24758" s="27"/>
      <c r="U24758" s="27"/>
    </row>
    <row r="24760">
      <c r="S24760" s="27"/>
      <c r="T24760" s="27"/>
      <c r="U24760" s="27"/>
    </row>
    <row r="24761">
      <c r="S24761" s="27"/>
      <c r="T24761" s="27"/>
      <c r="U24761" s="27"/>
    </row>
    <row r="24763">
      <c r="S24763" s="26"/>
      <c r="T24763" s="26"/>
    </row>
    <row r="24766">
      <c r="S24766" s="27"/>
      <c r="T24766" s="27"/>
      <c r="U24766" s="27"/>
    </row>
    <row r="24767">
      <c r="S24767" s="27"/>
      <c r="T24767" s="27"/>
      <c r="U24767" s="27"/>
    </row>
    <row r="24769">
      <c r="S24769" s="27"/>
      <c r="T24769" s="27"/>
      <c r="U24769" s="27"/>
    </row>
    <row r="24770">
      <c r="S24770" s="27"/>
      <c r="T24770" s="27"/>
      <c r="U24770" s="27"/>
    </row>
    <row r="24772">
      <c r="S24772" s="27"/>
      <c r="T24772" s="27"/>
      <c r="U24772" s="26"/>
    </row>
    <row r="24775">
      <c r="S24775" s="27"/>
    </row>
    <row r="24778">
      <c r="S24778" s="27"/>
      <c r="T24778" s="26"/>
      <c r="U24778" s="26"/>
    </row>
    <row r="24781">
      <c r="S24781" s="27"/>
      <c r="T24781" s="27"/>
      <c r="U24781" s="27"/>
    </row>
    <row r="24782">
      <c r="S24782" s="27"/>
      <c r="T24782" s="27"/>
      <c r="U24782" s="27"/>
    </row>
    <row r="24784">
      <c r="S24784" s="27"/>
      <c r="T24784" s="27"/>
      <c r="U24784" s="27"/>
    </row>
    <row r="24785">
      <c r="S24785" s="27"/>
      <c r="T24785" s="27"/>
      <c r="U24785" s="27"/>
    </row>
    <row r="24790">
      <c r="S24790" s="34"/>
    </row>
    <row r="24793">
      <c r="S24793" s="27"/>
      <c r="T24793" s="27"/>
      <c r="U24793" s="27"/>
    </row>
    <row r="24796">
      <c r="S24796" s="27"/>
      <c r="T24796" s="27"/>
      <c r="U24796" s="27"/>
    </row>
    <row r="24797">
      <c r="S24797" s="27"/>
      <c r="T24797" s="27"/>
      <c r="U24797" s="27"/>
    </row>
    <row r="24799">
      <c r="S24799" s="27"/>
      <c r="T24799" s="27"/>
      <c r="U24799" s="34"/>
    </row>
    <row r="24800">
      <c r="S24800" s="27"/>
      <c r="T24800" s="27"/>
      <c r="U24800" s="34"/>
    </row>
    <row r="24802">
      <c r="S24802" s="27"/>
      <c r="T24802" s="27"/>
      <c r="U24802" s="27"/>
    </row>
    <row r="24803">
      <c r="S24803" s="27"/>
      <c r="T24803" s="27"/>
      <c r="U24803" s="27"/>
    </row>
    <row r="24805">
      <c r="S24805" s="27"/>
      <c r="T24805" s="27"/>
      <c r="U24805" s="33"/>
    </row>
    <row r="24806">
      <c r="S24806" s="27"/>
      <c r="T24806" s="27"/>
      <c r="U24806" s="33"/>
    </row>
    <row r="24808">
      <c r="S24808" s="27"/>
      <c r="T24808" s="27"/>
      <c r="U24808" s="27"/>
    </row>
    <row r="24809">
      <c r="S24809" s="27"/>
      <c r="T24809" s="27"/>
      <c r="U24809" s="27"/>
    </row>
    <row r="24811">
      <c r="S24811" s="27"/>
      <c r="T24811" s="27"/>
      <c r="U24811" s="27"/>
    </row>
    <row r="24812">
      <c r="S24812" s="27"/>
      <c r="T24812" s="27"/>
      <c r="U24812" s="27"/>
    </row>
    <row r="24814">
      <c r="S24814" s="27"/>
      <c r="T24814" s="27"/>
      <c r="U24814" s="33"/>
    </row>
    <row r="24815">
      <c r="S24815" s="27"/>
      <c r="T24815" s="27"/>
      <c r="U24815" s="33"/>
    </row>
    <row r="24817">
      <c r="S24817" s="27"/>
      <c r="T24817" s="27"/>
      <c r="U24817" s="33"/>
    </row>
    <row r="24818">
      <c r="S24818" s="27"/>
      <c r="T24818" s="27"/>
      <c r="U24818" s="33"/>
    </row>
    <row r="24820">
      <c r="S24820" s="27"/>
      <c r="T24820" s="27"/>
      <c r="U24820" s="27"/>
    </row>
    <row r="24821">
      <c r="S24821" s="27"/>
      <c r="T24821" s="27"/>
      <c r="U24821" s="27"/>
    </row>
    <row r="24823">
      <c r="S24823" s="27"/>
      <c r="T24823" s="27"/>
      <c r="U24823" s="33"/>
    </row>
    <row r="24824">
      <c r="S24824" s="27"/>
      <c r="T24824" s="27"/>
      <c r="U24824" s="33"/>
    </row>
    <row r="24826">
      <c r="S24826" s="27"/>
      <c r="T24826" s="27"/>
      <c r="U24826" s="27"/>
    </row>
    <row r="24827">
      <c r="S24827" s="27"/>
      <c r="T24827" s="27"/>
      <c r="U24827" s="27"/>
    </row>
    <row r="24829">
      <c r="S24829" s="27"/>
      <c r="T24829" s="27"/>
      <c r="U24829" s="27"/>
    </row>
    <row r="24830">
      <c r="S24830" s="27"/>
      <c r="T24830" s="27"/>
      <c r="U24830" s="27"/>
    </row>
    <row r="24832">
      <c r="S24832" s="27"/>
      <c r="T24832" s="27"/>
      <c r="U24832" s="27"/>
    </row>
    <row r="24833">
      <c r="S24833" s="27"/>
      <c r="T24833" s="27"/>
      <c r="U24833" s="27"/>
    </row>
    <row r="24835">
      <c r="S24835" s="27"/>
      <c r="T24835" s="27"/>
      <c r="U24835" s="27"/>
    </row>
    <row r="24836">
      <c r="S24836" s="27"/>
      <c r="T24836" s="27"/>
      <c r="U24836" s="27"/>
    </row>
    <row r="24838">
      <c r="S24838" s="27"/>
      <c r="T24838" s="27"/>
      <c r="U24838" s="27"/>
    </row>
    <row r="24839">
      <c r="S24839" s="27"/>
      <c r="T24839" s="27"/>
      <c r="U24839" s="27"/>
    </row>
    <row r="24841">
      <c r="S24841" s="27"/>
      <c r="T24841" s="27"/>
      <c r="U24841" s="27"/>
    </row>
    <row r="24842">
      <c r="S24842" s="27"/>
      <c r="T24842" s="27"/>
      <c r="U24842" s="27"/>
    </row>
    <row r="24844">
      <c r="S24844" s="27"/>
      <c r="T24844" s="27"/>
      <c r="U24844" s="33"/>
    </row>
    <row r="24845">
      <c r="S24845" s="27"/>
      <c r="T24845" s="27"/>
      <c r="U24845" s="33"/>
    </row>
    <row r="24847">
      <c r="S24847" s="27"/>
      <c r="T24847" s="27"/>
      <c r="U24847" s="27"/>
    </row>
    <row r="24848">
      <c r="S24848" s="27"/>
      <c r="T24848" s="27"/>
      <c r="U24848" s="27"/>
    </row>
    <row r="24850">
      <c r="S24850" s="27"/>
      <c r="T24850" s="27"/>
      <c r="U24850" s="27"/>
    </row>
    <row r="24851">
      <c r="S24851" s="27"/>
      <c r="T24851" s="27"/>
      <c r="U24851" s="27"/>
    </row>
    <row r="24853">
      <c r="S24853" s="27"/>
      <c r="T24853" s="27"/>
      <c r="U24853" s="27"/>
    </row>
    <row r="24854">
      <c r="S24854" s="27"/>
      <c r="T24854" s="27"/>
      <c r="U24854" s="27"/>
    </row>
    <row r="24856">
      <c r="S24856" s="27"/>
      <c r="T24856" s="27"/>
      <c r="U24856" s="33"/>
    </row>
    <row r="24857">
      <c r="S24857" s="27"/>
      <c r="T24857" s="27"/>
      <c r="U24857" s="33"/>
    </row>
    <row r="24859">
      <c r="S24859" s="27"/>
      <c r="T24859" s="27"/>
      <c r="U24859" s="27"/>
    </row>
    <row r="24860">
      <c r="S24860" s="27"/>
      <c r="T24860" s="27"/>
      <c r="U24860" s="27"/>
    </row>
    <row r="24862">
      <c r="S24862" s="27"/>
      <c r="T24862" s="27"/>
      <c r="U24862" s="27"/>
    </row>
    <row r="24863">
      <c r="S24863" s="27"/>
      <c r="T24863" s="27"/>
      <c r="U24863" s="27"/>
    </row>
    <row r="24865">
      <c r="S24865" s="27"/>
      <c r="T24865" s="27"/>
      <c r="U24865" s="27"/>
    </row>
    <row r="24866">
      <c r="S24866" s="27"/>
      <c r="T24866" s="27"/>
      <c r="U24866" s="27"/>
    </row>
    <row r="24868">
      <c r="T24868" s="27"/>
    </row>
    <row r="24869">
      <c r="S24869" s="27"/>
      <c r="T24869" s="27"/>
      <c r="U24869" s="27"/>
    </row>
    <row r="24871">
      <c r="S24871" s="27"/>
      <c r="T24871" s="27"/>
      <c r="U24871" s="27"/>
    </row>
    <row r="24872">
      <c r="S24872" s="27"/>
      <c r="T24872" s="27"/>
      <c r="U24872" s="27"/>
    </row>
    <row r="24874">
      <c r="S24874" s="27"/>
      <c r="T24874" s="27"/>
      <c r="U24874" s="27"/>
    </row>
    <row r="24877">
      <c r="S24877" s="33"/>
      <c r="T24877" s="33"/>
    </row>
    <row r="24878">
      <c r="S24878" s="27"/>
      <c r="T24878" s="27"/>
    </row>
    <row r="24880">
      <c r="S24880" s="27"/>
      <c r="T24880" s="27"/>
      <c r="U24880" s="27"/>
    </row>
    <row r="24881">
      <c r="S24881" s="27"/>
      <c r="T24881" s="27"/>
      <c r="U24881" s="27"/>
    </row>
    <row r="24886">
      <c r="S24886" s="27"/>
      <c r="T24886" s="27"/>
      <c r="U24886" s="27"/>
    </row>
    <row r="24887">
      <c r="S24887" s="27"/>
      <c r="T24887" s="27"/>
      <c r="U24887" s="27"/>
    </row>
    <row r="24889">
      <c r="S24889" s="27"/>
      <c r="T24889" s="27"/>
      <c r="U24889" s="27"/>
    </row>
    <row r="24890">
      <c r="S24890" s="27"/>
      <c r="T24890" s="27"/>
      <c r="U24890" s="27"/>
    </row>
    <row r="24892">
      <c r="S24892" s="27"/>
      <c r="T24892" s="27"/>
      <c r="U24892" s="27"/>
    </row>
    <row r="24893">
      <c r="S24893" s="27"/>
      <c r="T24893" s="27"/>
      <c r="U24893" s="27"/>
    </row>
    <row r="24901">
      <c r="S24901" s="27"/>
      <c r="T24901" s="27"/>
      <c r="U24901" s="27"/>
    </row>
    <row r="24903">
      <c r="T24903" s="27"/>
    </row>
    <row r="24905">
      <c r="S24905" s="26"/>
      <c r="T24905" s="26"/>
      <c r="U24905" s="26"/>
    </row>
    <row r="24908">
      <c r="S24908" s="27"/>
      <c r="T24908" s="27"/>
      <c r="U24908" s="27"/>
    </row>
    <row r="24911">
      <c r="S24911" s="27"/>
      <c r="T24911" s="27"/>
      <c r="U24911" s="27"/>
    </row>
    <row r="24912">
      <c r="S24912" s="27"/>
      <c r="T24912" s="27"/>
      <c r="U24912" s="27"/>
    </row>
    <row r="24915">
      <c r="S24915" s="27"/>
      <c r="T24915" s="27"/>
      <c r="U24915" s="27"/>
    </row>
    <row r="24917">
      <c r="S24917" s="27"/>
      <c r="T24917" s="27"/>
      <c r="U24917" s="33"/>
    </row>
    <row r="24918">
      <c r="U24918" s="27"/>
    </row>
    <row r="24920">
      <c r="S24920" s="27"/>
      <c r="T24920" s="27"/>
      <c r="U24920" s="27"/>
    </row>
    <row r="24921">
      <c r="S24921" s="27"/>
      <c r="T24921" s="26"/>
      <c r="U24921" s="26"/>
    </row>
    <row r="24923">
      <c r="S24923" s="27"/>
      <c r="T24923" s="27"/>
    </row>
    <row r="24924">
      <c r="S24924" s="27"/>
      <c r="T24924" s="27"/>
      <c r="U24924" s="27"/>
    </row>
    <row r="24929">
      <c r="S24929" s="27"/>
      <c r="T24929" s="27"/>
      <c r="U24929" s="27"/>
    </row>
    <row r="24930">
      <c r="S24930" s="27"/>
      <c r="T24930" s="27"/>
      <c r="U24930" s="27"/>
    </row>
    <row r="24932">
      <c r="S24932" s="27"/>
      <c r="T24932" s="27"/>
      <c r="U24932" s="27"/>
    </row>
    <row r="24933">
      <c r="S24933" s="27"/>
      <c r="T24933" s="27"/>
      <c r="U24933" s="27"/>
    </row>
    <row r="24935">
      <c r="S24935" s="27"/>
      <c r="T24935" s="27"/>
      <c r="U24935" s="27"/>
    </row>
    <row r="24936">
      <c r="S24936" s="27"/>
      <c r="T24936" s="27"/>
      <c r="U24936" s="27"/>
    </row>
    <row r="24938">
      <c r="S24938" s="33"/>
      <c r="T24938" s="27"/>
      <c r="U24938" s="33"/>
    </row>
    <row r="24944">
      <c r="S24944" s="27"/>
      <c r="T24944" s="27"/>
      <c r="U24944" s="27"/>
    </row>
    <row r="24947">
      <c r="S24947" s="27"/>
      <c r="T24947" s="27"/>
      <c r="U24947" s="27"/>
    </row>
    <row r="24948">
      <c r="S24948" s="33"/>
      <c r="T24948" s="33"/>
      <c r="U24948" s="33"/>
    </row>
    <row r="24950">
      <c r="T24950" s="27"/>
      <c r="U24950" s="27"/>
    </row>
    <row r="24951">
      <c r="S24951" s="26"/>
      <c r="T24951" s="26"/>
      <c r="U24951" s="26"/>
    </row>
    <row r="24953">
      <c r="S24953" s="27"/>
      <c r="T24953" s="27"/>
      <c r="U24953" s="27"/>
    </row>
    <row r="24954">
      <c r="S24954" s="27"/>
      <c r="T24954" s="27"/>
      <c r="U24954" s="27"/>
    </row>
    <row r="24956">
      <c r="S24956" s="27"/>
      <c r="T24956" s="27"/>
      <c r="U24956" s="27"/>
    </row>
    <row r="24957">
      <c r="S24957" s="27"/>
      <c r="T24957" s="27"/>
      <c r="U24957" s="27"/>
    </row>
    <row r="24959">
      <c r="S24959" s="27"/>
      <c r="T24959" s="27"/>
      <c r="U24959" s="27"/>
    </row>
    <row r="24960">
      <c r="S24960" s="27"/>
      <c r="T24960" s="27"/>
      <c r="U24960" s="27"/>
    </row>
    <row r="24962">
      <c r="S24962" s="27"/>
      <c r="T24962" s="27"/>
      <c r="U24962" s="27"/>
    </row>
    <row r="24963">
      <c r="S24963" s="27"/>
      <c r="T24963" s="27"/>
      <c r="U24963" s="27"/>
    </row>
    <row r="24968">
      <c r="S24968" s="27"/>
      <c r="T24968" s="27"/>
      <c r="U24968" s="27"/>
    </row>
    <row r="24969">
      <c r="S24969" s="27"/>
      <c r="T24969" s="27"/>
      <c r="U24969" s="27"/>
    </row>
    <row r="24971">
      <c r="S24971" s="27"/>
      <c r="T24971" s="27"/>
      <c r="U24971" s="27"/>
    </row>
    <row r="24972">
      <c r="S24972" s="27"/>
      <c r="T24972" s="27"/>
      <c r="U24972" s="27"/>
    </row>
    <row r="24974">
      <c r="S24974" s="27"/>
    </row>
    <row r="24977">
      <c r="S24977" s="27"/>
      <c r="T24977" s="27"/>
    </row>
    <row r="24978">
      <c r="S24978" s="27"/>
      <c r="T24978" s="27"/>
      <c r="U24978" s="27"/>
    </row>
    <row r="24983">
      <c r="S24983" s="27"/>
      <c r="T24983" s="27"/>
      <c r="U24983" s="27"/>
    </row>
    <row r="24984">
      <c r="S24984" s="27"/>
      <c r="T24984" s="27"/>
      <c r="U24984" s="27"/>
    </row>
    <row r="24986">
      <c r="S24986" s="27"/>
      <c r="T24986" s="27"/>
      <c r="U24986" s="27"/>
    </row>
    <row r="24989">
      <c r="S24989" s="27"/>
      <c r="T24989" s="27"/>
      <c r="U24989" s="27"/>
    </row>
    <row r="24990">
      <c r="S24990" s="27"/>
      <c r="T24990" s="27"/>
      <c r="U24990" s="27"/>
    </row>
    <row r="24995">
      <c r="S24995" s="27"/>
      <c r="T24995" s="27"/>
      <c r="U24995" s="27"/>
    </row>
    <row r="24998">
      <c r="S24998" s="27"/>
      <c r="T24998" s="27"/>
      <c r="U24998" s="27"/>
    </row>
    <row r="24999">
      <c r="S24999" s="27"/>
      <c r="T24999" s="27"/>
      <c r="U24999" s="27"/>
    </row>
    <row r="25001">
      <c r="S25001" s="27"/>
      <c r="T25001" s="27"/>
      <c r="U25001" s="27"/>
    </row>
    <row r="25002">
      <c r="S25002" s="27"/>
      <c r="T25002" s="27"/>
      <c r="U25002" s="27"/>
    </row>
    <row r="25004">
      <c r="S25004" s="27"/>
      <c r="T25004" s="27"/>
      <c r="U25004" s="27"/>
    </row>
    <row r="25005">
      <c r="S25005" s="27"/>
      <c r="T25005" s="27"/>
      <c r="U25005" s="27"/>
    </row>
    <row r="25007">
      <c r="S25007" s="26"/>
    </row>
    <row r="25008">
      <c r="T25008" s="26"/>
      <c r="U25008" s="26"/>
    </row>
    <row r="25010">
      <c r="S25010" s="27"/>
      <c r="T25010" s="27"/>
      <c r="U25010" s="27"/>
    </row>
    <row r="25011">
      <c r="S25011" s="27"/>
      <c r="T25011" s="27"/>
      <c r="U25011" s="27"/>
    </row>
    <row r="25013">
      <c r="S25013" s="27"/>
      <c r="T25013" s="27"/>
      <c r="U25013" s="27"/>
    </row>
    <row r="25014">
      <c r="S25014" s="27"/>
      <c r="T25014" s="27"/>
      <c r="U25014" s="27"/>
    </row>
    <row r="25016">
      <c r="S25016" s="27"/>
      <c r="T25016" s="27"/>
      <c r="U25016" s="27"/>
    </row>
    <row r="25017">
      <c r="S25017" s="27"/>
      <c r="T25017" s="27"/>
      <c r="U25017" s="27"/>
    </row>
    <row r="25019">
      <c r="S25019" s="27"/>
      <c r="T25019" s="27"/>
      <c r="U25019" s="27"/>
    </row>
    <row r="25020">
      <c r="S25020" s="27"/>
      <c r="T25020" s="27"/>
      <c r="U25020" s="27"/>
    </row>
    <row r="25022">
      <c r="S25022" s="27"/>
      <c r="T25022" s="27"/>
      <c r="U25022" s="27"/>
    </row>
    <row r="25023">
      <c r="S25023" s="27"/>
      <c r="T25023" s="27"/>
      <c r="U25023" s="27"/>
    </row>
    <row r="25025">
      <c r="S25025" s="27"/>
      <c r="T25025" s="27"/>
      <c r="U25025" s="27"/>
    </row>
    <row r="25026">
      <c r="S25026" s="27"/>
      <c r="T25026" s="27"/>
      <c r="U25026" s="27"/>
    </row>
    <row r="25028">
      <c r="S25028" s="27"/>
      <c r="T25028" s="27"/>
      <c r="U25028" s="27"/>
    </row>
    <row r="25029">
      <c r="S25029" s="27"/>
      <c r="T25029" s="27"/>
      <c r="U25029" s="27"/>
    </row>
    <row r="25031">
      <c r="S25031" s="27"/>
      <c r="T25031" s="27"/>
      <c r="U25031" s="27"/>
    </row>
    <row r="25032">
      <c r="S25032" s="27"/>
      <c r="T25032" s="27"/>
      <c r="U25032" s="27"/>
    </row>
    <row r="25034">
      <c r="S25034" s="27"/>
      <c r="T25034" s="27"/>
      <c r="U25034" s="27"/>
    </row>
    <row r="25035">
      <c r="S25035" s="27"/>
      <c r="T25035" s="27"/>
      <c r="U25035" s="27"/>
    </row>
    <row r="25037">
      <c r="S25037" s="27"/>
      <c r="T25037" s="27"/>
      <c r="U25037" s="27"/>
    </row>
    <row r="25038">
      <c r="S25038" s="27"/>
      <c r="T25038" s="27"/>
      <c r="U25038" s="27"/>
    </row>
    <row r="25040">
      <c r="S25040" s="27"/>
      <c r="T25040" s="27"/>
      <c r="U25040" s="27"/>
    </row>
    <row r="25041">
      <c r="S25041" s="27"/>
      <c r="T25041" s="27"/>
      <c r="U25041" s="27"/>
    </row>
    <row r="25043">
      <c r="S25043" s="27"/>
      <c r="T25043" s="27"/>
      <c r="U25043" s="27"/>
    </row>
    <row r="25044">
      <c r="S25044" s="27"/>
      <c r="T25044" s="27"/>
      <c r="U25044" s="27"/>
    </row>
    <row r="25046">
      <c r="S25046" s="27"/>
      <c r="T25046" s="27"/>
      <c r="U25046" s="27"/>
    </row>
    <row r="25047">
      <c r="S25047" s="27"/>
      <c r="T25047" s="27"/>
      <c r="U25047" s="27"/>
    </row>
    <row r="25049">
      <c r="S25049" s="27"/>
      <c r="T25049" s="27"/>
      <c r="U25049" s="27"/>
    </row>
    <row r="25050">
      <c r="S25050" s="27"/>
      <c r="T25050" s="27"/>
      <c r="U25050" s="27"/>
    </row>
    <row r="25052">
      <c r="S25052" s="27"/>
      <c r="T25052" s="27"/>
      <c r="U25052" s="27"/>
    </row>
    <row r="25053">
      <c r="S25053" s="27"/>
      <c r="T25053" s="27"/>
      <c r="U25053" s="27"/>
    </row>
    <row r="25055">
      <c r="S25055" s="27"/>
      <c r="T25055" s="27"/>
      <c r="U25055" s="27"/>
    </row>
    <row r="25056">
      <c r="S25056" s="27"/>
      <c r="T25056" s="27"/>
      <c r="U25056" s="27"/>
    </row>
    <row r="25058">
      <c r="S25058" s="27"/>
      <c r="T25058" s="27"/>
      <c r="U25058" s="27"/>
    </row>
    <row r="25059">
      <c r="S25059" s="27"/>
      <c r="T25059" s="27"/>
      <c r="U25059" s="27"/>
    </row>
    <row r="25061">
      <c r="S25061" s="27"/>
      <c r="T25061" s="27"/>
      <c r="U25061" s="27"/>
    </row>
    <row r="25062">
      <c r="S25062" s="27"/>
      <c r="T25062" s="27"/>
      <c r="U25062" s="27"/>
    </row>
    <row r="25064">
      <c r="S25064" s="27"/>
      <c r="T25064" s="27"/>
      <c r="U25064" s="27"/>
    </row>
    <row r="25065">
      <c r="S25065" s="27"/>
      <c r="T25065" s="27"/>
      <c r="U25065" s="27"/>
    </row>
    <row r="25067">
      <c r="S25067" s="27"/>
      <c r="T25067" s="27"/>
      <c r="U25067" s="27"/>
    </row>
    <row r="25068">
      <c r="S25068" s="27"/>
      <c r="T25068" s="27"/>
      <c r="U25068" s="27"/>
    </row>
    <row r="25070">
      <c r="S25070" s="27"/>
      <c r="T25070" s="27"/>
      <c r="U25070" s="27"/>
    </row>
    <row r="25071">
      <c r="S25071" s="27"/>
      <c r="T25071" s="27"/>
      <c r="U25071" s="27"/>
    </row>
    <row r="25073">
      <c r="S25073" s="27"/>
      <c r="T25073" s="27"/>
      <c r="U25073" s="27"/>
    </row>
    <row r="25074">
      <c r="S25074" s="27"/>
      <c r="T25074" s="27"/>
      <c r="U25074" s="27"/>
    </row>
    <row r="25076">
      <c r="S25076" s="27"/>
      <c r="T25076" s="27"/>
      <c r="U25076" s="27"/>
    </row>
    <row r="25077">
      <c r="S25077" s="27"/>
      <c r="T25077" s="27"/>
      <c r="U25077" s="27"/>
    </row>
    <row r="25079">
      <c r="S25079" s="27"/>
      <c r="T25079" s="27"/>
      <c r="U25079" s="27"/>
    </row>
    <row r="25080">
      <c r="S25080" s="27"/>
      <c r="T25080" s="27"/>
      <c r="U25080" s="27"/>
    </row>
    <row r="25082">
      <c r="S25082" s="27"/>
      <c r="T25082" s="27"/>
      <c r="U25082" s="27"/>
    </row>
    <row r="25083">
      <c r="S25083" s="27"/>
      <c r="T25083" s="27"/>
      <c r="U25083" s="27"/>
    </row>
    <row r="25085">
      <c r="S25085" s="27"/>
      <c r="T25085" s="27"/>
      <c r="U25085" s="27"/>
    </row>
    <row r="25086">
      <c r="S25086" s="27"/>
      <c r="T25086" s="27"/>
      <c r="U25086" s="27"/>
    </row>
    <row r="25088">
      <c r="S25088" s="27"/>
      <c r="T25088" s="27"/>
      <c r="U25088" s="27"/>
    </row>
    <row r="25089">
      <c r="S25089" s="27"/>
      <c r="T25089" s="27"/>
      <c r="U25089" s="27"/>
    </row>
    <row r="25091">
      <c r="S25091" s="27"/>
      <c r="T25091" s="27"/>
      <c r="U25091" s="27"/>
    </row>
    <row r="25092">
      <c r="S25092" s="27"/>
      <c r="T25092" s="27"/>
      <c r="U25092" s="27"/>
    </row>
    <row r="25094">
      <c r="S25094" s="27"/>
      <c r="T25094" s="27"/>
      <c r="U25094" s="27"/>
    </row>
    <row r="25095">
      <c r="S25095" s="27"/>
      <c r="T25095" s="27"/>
      <c r="U25095" s="27"/>
    </row>
    <row r="25097">
      <c r="S25097" s="27"/>
      <c r="T25097" s="27"/>
      <c r="U25097" s="27"/>
    </row>
    <row r="25098">
      <c r="S25098" s="27"/>
      <c r="T25098" s="27"/>
      <c r="U25098" s="27"/>
    </row>
    <row r="25100">
      <c r="S25100" s="27"/>
      <c r="T25100" s="27"/>
      <c r="U25100" s="27"/>
    </row>
    <row r="25101">
      <c r="S25101" s="27"/>
      <c r="T25101" s="27"/>
      <c r="U25101" s="27"/>
    </row>
    <row r="25103">
      <c r="S25103" s="27"/>
      <c r="T25103" s="27"/>
      <c r="U25103" s="27"/>
    </row>
    <row r="25104">
      <c r="S25104" s="27"/>
      <c r="T25104" s="27"/>
      <c r="U25104" s="27"/>
    </row>
    <row r="25106">
      <c r="S25106" s="27"/>
      <c r="T25106" s="27"/>
      <c r="U25106" s="27"/>
    </row>
    <row r="25108">
      <c r="S25108" s="27"/>
      <c r="T25108" s="27"/>
    </row>
    <row r="25109">
      <c r="S25109" s="27"/>
      <c r="T25109" s="27"/>
      <c r="U25109" s="27"/>
    </row>
    <row r="25111">
      <c r="S25111" s="27"/>
      <c r="T25111" s="27"/>
      <c r="U25111" s="27"/>
    </row>
    <row r="25112">
      <c r="S25112" s="27"/>
      <c r="T25112" s="27"/>
      <c r="U25112" s="27"/>
    </row>
    <row r="25114">
      <c r="S25114" s="27"/>
      <c r="T25114" s="27"/>
      <c r="U25114" s="27"/>
    </row>
    <row r="25115">
      <c r="S25115" s="27"/>
      <c r="T25115" s="27"/>
      <c r="U25115" s="27"/>
    </row>
    <row r="25117">
      <c r="S25117" s="27"/>
      <c r="T25117" s="27"/>
      <c r="U25117" s="27"/>
    </row>
    <row r="25118">
      <c r="S25118" s="27"/>
      <c r="T25118" s="27"/>
      <c r="U25118" s="27"/>
    </row>
    <row r="25120">
      <c r="S25120" s="27"/>
      <c r="T25120" s="27"/>
      <c r="U25120" s="27"/>
    </row>
    <row r="25121">
      <c r="S25121" s="27"/>
      <c r="T25121" s="27"/>
      <c r="U25121" s="27"/>
    </row>
    <row r="25123">
      <c r="S25123" s="27"/>
      <c r="T25123" s="27"/>
      <c r="U25123" s="27"/>
    </row>
    <row r="25124">
      <c r="S25124" s="27"/>
      <c r="T25124" s="27"/>
      <c r="U25124" s="27"/>
    </row>
    <row r="25126">
      <c r="S25126" s="27"/>
      <c r="T25126" s="27"/>
      <c r="U25126" s="27"/>
    </row>
    <row r="25127">
      <c r="S25127" s="27"/>
      <c r="T25127" s="27"/>
      <c r="U25127" s="27"/>
    </row>
    <row r="25129">
      <c r="T25129" s="27"/>
      <c r="U25129" s="27"/>
    </row>
    <row r="25131">
      <c r="S25131" s="27"/>
      <c r="T25131" s="27"/>
      <c r="U25131" s="27"/>
    </row>
    <row r="25133">
      <c r="T25133" s="27"/>
      <c r="U25133" s="27"/>
    </row>
    <row r="25135">
      <c r="S25135" s="27"/>
      <c r="T25135" s="27"/>
      <c r="U25135" s="27"/>
    </row>
    <row r="25137">
      <c r="T25137" s="27"/>
      <c r="U25137" s="27"/>
    </row>
    <row r="25138">
      <c r="S25138" s="27"/>
      <c r="T25138" s="27"/>
      <c r="U25138" s="27"/>
    </row>
    <row r="25140">
      <c r="S25140" s="27"/>
      <c r="T25140" s="27"/>
      <c r="U25140" s="27"/>
    </row>
    <row r="25141">
      <c r="S25141" s="27"/>
      <c r="T25141" s="27"/>
      <c r="U25141" s="27"/>
    </row>
    <row r="25143">
      <c r="S25143" s="27"/>
      <c r="T25143" s="27"/>
      <c r="U25143" s="27"/>
    </row>
    <row r="25144">
      <c r="S25144" s="27"/>
      <c r="T25144" s="27"/>
      <c r="U25144" s="27"/>
    </row>
    <row r="25146">
      <c r="S25146" s="27"/>
      <c r="T25146" s="27"/>
      <c r="U25146" s="27"/>
    </row>
    <row r="25147">
      <c r="S25147" s="27"/>
      <c r="T25147" s="27"/>
      <c r="U25147" s="27"/>
    </row>
    <row r="25149">
      <c r="S25149" s="27"/>
      <c r="T25149" s="27"/>
      <c r="U25149" s="27"/>
    </row>
    <row r="25150">
      <c r="S25150" s="27"/>
      <c r="T25150" s="27"/>
      <c r="U25150" s="27"/>
    </row>
    <row r="25152">
      <c r="S25152" s="27"/>
      <c r="T25152" s="27"/>
      <c r="U25152" s="27"/>
    </row>
    <row r="25153">
      <c r="S25153" s="27"/>
      <c r="T25153" s="27"/>
      <c r="U25153" s="27"/>
    </row>
    <row r="25161">
      <c r="S25161" s="27"/>
      <c r="T25161" s="27"/>
      <c r="U25161" s="27"/>
    </row>
    <row r="25164">
      <c r="S25164" s="27"/>
      <c r="T25164" s="27"/>
      <c r="U25164" s="27"/>
    </row>
    <row r="25165">
      <c r="S25165" s="27"/>
      <c r="T25165" s="27"/>
      <c r="U25165" s="27"/>
    </row>
    <row r="25167">
      <c r="S25167" s="27"/>
      <c r="T25167" s="27"/>
      <c r="U25167" s="27"/>
    </row>
    <row r="25168">
      <c r="S25168" s="27"/>
      <c r="T25168" s="27"/>
      <c r="U25168" s="27"/>
    </row>
    <row r="25170">
      <c r="S25170" s="27"/>
      <c r="T25170" s="27"/>
    </row>
    <row r="25171">
      <c r="S25171" s="27"/>
      <c r="T25171" s="27"/>
    </row>
    <row r="25173">
      <c r="S25173" s="26"/>
      <c r="T25173" s="26"/>
      <c r="U25173" s="26"/>
    </row>
    <row r="25176">
      <c r="S25176" s="27"/>
      <c r="T25176" s="27"/>
      <c r="U25176" s="27"/>
    </row>
    <row r="25177">
      <c r="S25177" s="27"/>
      <c r="T25177" s="27"/>
      <c r="U25177" s="27"/>
    </row>
    <row r="25179">
      <c r="T25179" s="27"/>
    </row>
    <row r="25180">
      <c r="S25180" s="27"/>
      <c r="T25180" s="27"/>
      <c r="U25180" s="27"/>
    </row>
    <row r="25182">
      <c r="S25182" s="27"/>
      <c r="T25182" s="27"/>
      <c r="U25182" s="27"/>
    </row>
    <row r="25183">
      <c r="S25183" s="27"/>
      <c r="T25183" s="27"/>
      <c r="U25183" s="27"/>
    </row>
    <row r="25191">
      <c r="S25191" s="27"/>
      <c r="T25191" s="27"/>
      <c r="U25191" s="27"/>
    </row>
    <row r="25192">
      <c r="S25192" s="27"/>
      <c r="T25192" s="27"/>
      <c r="U25192" s="27"/>
    </row>
    <row r="25194">
      <c r="S25194" s="27"/>
      <c r="T25194" s="27"/>
      <c r="U25194" s="27"/>
    </row>
    <row r="25195">
      <c r="S25195" s="27"/>
      <c r="T25195" s="27"/>
      <c r="U25195" s="27"/>
    </row>
    <row r="25197">
      <c r="S25197" s="26"/>
      <c r="T25197" s="26"/>
      <c r="U25197" s="26"/>
    </row>
    <row r="25203">
      <c r="S25203" s="27"/>
      <c r="T25203" s="27"/>
      <c r="U25203" s="27"/>
    </row>
    <row r="25206">
      <c r="S25206" s="27"/>
      <c r="T25206" s="27"/>
      <c r="U25206" s="27"/>
    </row>
    <row r="25207">
      <c r="S25207" s="27"/>
      <c r="T25207" s="27"/>
      <c r="U25207" s="27"/>
    </row>
    <row r="25209">
      <c r="S25209" s="27"/>
      <c r="T25209" s="27"/>
      <c r="U25209" s="27"/>
    </row>
    <row r="25210">
      <c r="S25210" s="27"/>
      <c r="T25210" s="27"/>
      <c r="U25210" s="27"/>
    </row>
    <row r="25212">
      <c r="S25212" s="27"/>
      <c r="T25212" s="27"/>
      <c r="U25212" s="27"/>
    </row>
    <row r="25213">
      <c r="S25213" s="27"/>
      <c r="T25213" s="27"/>
      <c r="U25213" s="27"/>
    </row>
    <row r="25215">
      <c r="S25215" s="27"/>
      <c r="T25215" s="27"/>
      <c r="U25215" s="27"/>
    </row>
    <row r="25216">
      <c r="S25216" s="27"/>
      <c r="T25216" s="27"/>
      <c r="U25216" s="27"/>
    </row>
    <row r="25218">
      <c r="S25218" s="27"/>
      <c r="T25218" s="27"/>
      <c r="U25218" s="27"/>
    </row>
    <row r="25219">
      <c r="S25219" s="27"/>
      <c r="T25219" s="27"/>
      <c r="U25219" s="27"/>
    </row>
    <row r="25221">
      <c r="S25221" s="27"/>
      <c r="T25221" s="27"/>
      <c r="U25221" s="27"/>
    </row>
    <row r="25222">
      <c r="S25222" s="27"/>
      <c r="T25222" s="27"/>
      <c r="U25222" s="27"/>
    </row>
    <row r="25224">
      <c r="S25224" s="27"/>
      <c r="T25224" s="27"/>
      <c r="U25224" s="27"/>
    </row>
    <row r="25225">
      <c r="S25225" s="27"/>
      <c r="T25225" s="27"/>
      <c r="U25225" s="27"/>
    </row>
    <row r="25227">
      <c r="S25227" s="27"/>
      <c r="T25227" s="27"/>
      <c r="U25227" s="27"/>
    </row>
    <row r="25228">
      <c r="S25228" s="27"/>
      <c r="T25228" s="27"/>
      <c r="U25228" s="27"/>
    </row>
    <row r="25230">
      <c r="S25230" s="27"/>
      <c r="T25230" s="27"/>
      <c r="U25230" s="27"/>
    </row>
    <row r="25231">
      <c r="S25231" s="27"/>
      <c r="T25231" s="27"/>
      <c r="U25231" s="27"/>
    </row>
    <row r="25233">
      <c r="S25233" s="27"/>
      <c r="T25233" s="27"/>
      <c r="U25233" s="27"/>
    </row>
    <row r="25234">
      <c r="S25234" s="27"/>
      <c r="T25234" s="27"/>
      <c r="U25234" s="27"/>
    </row>
    <row r="25236">
      <c r="S25236" s="27"/>
      <c r="T25236" s="27"/>
      <c r="U25236" s="27"/>
    </row>
    <row r="25237">
      <c r="S25237" s="27"/>
      <c r="T25237" s="27"/>
      <c r="U25237" s="27"/>
    </row>
    <row r="25239">
      <c r="S25239" s="27"/>
      <c r="T25239" s="27"/>
      <c r="U25239" s="27"/>
    </row>
    <row r="25240">
      <c r="S25240" s="27"/>
      <c r="T25240" s="27"/>
      <c r="U25240" s="27"/>
    </row>
    <row r="25242">
      <c r="S25242" s="27"/>
      <c r="T25242" s="27"/>
      <c r="U25242" s="27"/>
    </row>
    <row r="25243">
      <c r="S25243" s="27"/>
      <c r="T25243" s="27"/>
      <c r="U25243" s="27"/>
    </row>
    <row r="25245">
      <c r="S25245" s="27"/>
      <c r="T25245" s="27"/>
      <c r="U25245" s="27"/>
    </row>
    <row r="25246">
      <c r="S25246" s="27"/>
      <c r="T25246" s="27"/>
      <c r="U25246" s="27"/>
    </row>
    <row r="25248">
      <c r="S25248" s="27"/>
      <c r="T25248" s="27"/>
      <c r="U25248" s="27"/>
    </row>
    <row r="25249">
      <c r="S25249" s="27"/>
      <c r="T25249" s="27"/>
      <c r="U25249" s="27"/>
    </row>
    <row r="25251">
      <c r="S25251" s="27"/>
      <c r="T25251" s="27"/>
      <c r="U25251" s="27"/>
    </row>
    <row r="25252">
      <c r="S25252" s="27"/>
      <c r="T25252" s="27"/>
      <c r="U25252" s="27"/>
    </row>
    <row r="25254">
      <c r="S25254" s="27"/>
      <c r="T25254" s="27"/>
      <c r="U25254" s="27"/>
    </row>
    <row r="25255">
      <c r="S25255" s="27"/>
      <c r="T25255" s="27"/>
      <c r="U25255" s="27"/>
    </row>
    <row r="25257">
      <c r="S25257" s="27"/>
      <c r="T25257" s="27"/>
      <c r="U25257" s="27"/>
    </row>
    <row r="25258">
      <c r="S25258" s="27"/>
      <c r="T25258" s="27"/>
      <c r="U25258" s="27"/>
    </row>
    <row r="25260">
      <c r="S25260" s="27"/>
      <c r="T25260" s="27"/>
      <c r="U25260" s="27"/>
    </row>
    <row r="25261">
      <c r="S25261" s="27"/>
      <c r="T25261" s="27"/>
      <c r="U25261" s="27"/>
    </row>
    <row r="25263">
      <c r="S25263" s="27"/>
      <c r="T25263" s="27"/>
      <c r="U25263" s="27"/>
    </row>
    <row r="25264">
      <c r="S25264" s="27"/>
      <c r="T25264" s="27"/>
      <c r="U25264" s="27"/>
    </row>
    <row r="25266">
      <c r="S25266" s="27"/>
      <c r="T25266" s="27"/>
      <c r="U25266" s="27"/>
    </row>
    <row r="25267">
      <c r="S25267" s="27"/>
      <c r="T25267" s="27"/>
      <c r="U25267" s="27"/>
    </row>
    <row r="25269">
      <c r="S25269" s="27"/>
      <c r="T25269" s="27"/>
      <c r="U25269" s="27"/>
    </row>
    <row r="25270">
      <c r="S25270" s="27"/>
      <c r="T25270" s="27"/>
      <c r="U25270" s="27"/>
    </row>
    <row r="25272">
      <c r="S25272" s="27"/>
      <c r="T25272" s="27"/>
      <c r="U25272" s="27"/>
    </row>
    <row r="25273">
      <c r="S25273" s="27"/>
      <c r="T25273" s="27"/>
      <c r="U25273" s="27"/>
    </row>
    <row r="25275">
      <c r="S25275" s="27"/>
      <c r="T25275" s="27"/>
      <c r="U25275" s="27"/>
    </row>
    <row r="25276">
      <c r="S25276" s="27"/>
      <c r="T25276" s="27"/>
      <c r="U25276" s="27"/>
    </row>
    <row r="25278">
      <c r="U25278" s="27"/>
    </row>
    <row r="25279">
      <c r="S25279" s="27"/>
      <c r="T25279" s="27"/>
      <c r="U25279" s="27"/>
    </row>
    <row r="25281">
      <c r="S25281" s="27"/>
      <c r="T25281" s="27"/>
      <c r="U25281" s="27"/>
    </row>
    <row r="25284">
      <c r="S25284" s="33"/>
      <c r="T25284" s="27"/>
    </row>
    <row r="25285">
      <c r="S25285" s="27"/>
      <c r="T25285" s="27"/>
    </row>
    <row r="25287">
      <c r="S25287" s="27"/>
      <c r="T25287" s="27"/>
      <c r="U25287" s="27"/>
    </row>
    <row r="25288">
      <c r="S25288" s="27"/>
      <c r="T25288" s="27"/>
      <c r="U25288" s="27"/>
    </row>
    <row r="25290">
      <c r="S25290" s="26"/>
      <c r="T25290" s="26"/>
      <c r="U25290" s="26"/>
    </row>
    <row r="25291">
      <c r="S25291" s="26"/>
      <c r="T25291" s="26"/>
      <c r="U25291" s="26"/>
    </row>
    <row r="25293">
      <c r="S25293" s="27"/>
      <c r="U25293" s="27"/>
    </row>
    <row r="25294">
      <c r="S25294" s="27"/>
      <c r="T25294" s="27"/>
      <c r="U25294" s="27"/>
    </row>
    <row r="25296">
      <c r="S25296" s="27"/>
      <c r="T25296" s="27"/>
      <c r="U25296" s="27"/>
    </row>
    <row r="25297">
      <c r="S25297" s="27"/>
      <c r="T25297" s="27"/>
      <c r="U25297" s="27"/>
    </row>
    <row r="25299">
      <c r="S25299" s="27"/>
      <c r="T25299" s="27"/>
      <c r="U25299" s="27"/>
    </row>
    <row r="25300">
      <c r="S25300" s="27"/>
      <c r="T25300" s="27"/>
      <c r="U25300" s="27"/>
    </row>
    <row r="25302">
      <c r="S25302" s="26"/>
      <c r="T25302" s="26"/>
    </row>
    <row r="25305">
      <c r="T25305" s="26"/>
      <c r="U25305" s="26"/>
    </row>
    <row r="25308">
      <c r="T25308" s="27"/>
    </row>
    <row r="25310">
      <c r="S25310" s="27"/>
      <c r="T25310" s="27"/>
      <c r="U25310" s="27"/>
    </row>
    <row r="25312">
      <c r="S25312" s="26"/>
      <c r="T25312" s="26"/>
      <c r="U25312" s="26"/>
    </row>
    <row r="25315">
      <c r="U25315" s="27"/>
    </row>
    <row r="25319">
      <c r="S25319" s="27"/>
      <c r="T25319" s="27"/>
      <c r="U25319" s="27"/>
    </row>
    <row r="25320">
      <c r="S25320" s="27"/>
      <c r="T25320" s="27"/>
      <c r="U25320" s="27"/>
    </row>
    <row r="25322">
      <c r="S25322" s="33"/>
      <c r="T25322" s="27"/>
      <c r="U25322" s="27"/>
    </row>
    <row r="25323">
      <c r="S25323" s="27"/>
      <c r="T25323" s="27"/>
      <c r="U25323" s="27"/>
    </row>
    <row r="25325">
      <c r="S25325" s="27"/>
      <c r="T25325" s="27"/>
      <c r="U25325" s="26"/>
    </row>
    <row r="25326">
      <c r="S25326" s="27"/>
      <c r="T25326" s="26"/>
      <c r="U25326" s="26"/>
    </row>
    <row r="25329">
      <c r="S25329" s="27"/>
      <c r="T25329" s="27"/>
      <c r="U25329" s="27"/>
    </row>
    <row r="25334">
      <c r="S25334" s="27"/>
      <c r="T25334" s="27"/>
      <c r="U25334" s="27"/>
    </row>
    <row r="25335">
      <c r="S25335" s="27"/>
      <c r="T25335" s="27"/>
      <c r="U25335" s="27"/>
    </row>
    <row r="25337">
      <c r="S25337" s="27"/>
      <c r="T25337" s="27"/>
      <c r="U25337" s="27"/>
    </row>
    <row r="25338">
      <c r="S25338" s="27"/>
      <c r="T25338" s="27"/>
    </row>
    <row r="25340">
      <c r="S25340" s="27"/>
      <c r="T25340" s="27"/>
      <c r="U25340" s="27"/>
    </row>
    <row r="25341">
      <c r="S25341" s="27"/>
      <c r="T25341" s="27"/>
      <c r="U25341" s="27"/>
    </row>
    <row r="25343">
      <c r="S25343" s="33"/>
      <c r="T25343" s="33"/>
      <c r="U25343" s="33"/>
    </row>
    <row r="25346">
      <c r="S25346" s="27"/>
    </row>
    <row r="25347">
      <c r="S25347" s="27"/>
    </row>
    <row r="25349">
      <c r="S25349" s="27"/>
      <c r="T25349" s="27"/>
      <c r="U25349" s="27"/>
    </row>
    <row r="25352">
      <c r="S25352" s="27"/>
      <c r="T25352" s="27"/>
      <c r="U25352" s="27"/>
    </row>
    <row r="25353">
      <c r="S25353" s="33"/>
      <c r="T25353" s="33"/>
      <c r="U25353" s="33"/>
    </row>
    <row r="25358">
      <c r="S25358" s="27"/>
      <c r="T25358" s="27"/>
      <c r="U25358" s="27"/>
    </row>
    <row r="25359">
      <c r="S25359" s="27"/>
      <c r="T25359" s="27"/>
      <c r="U25359" s="27"/>
    </row>
    <row r="25361">
      <c r="S25361" s="27"/>
      <c r="T25361" s="27"/>
      <c r="U25361" s="27"/>
    </row>
    <row r="25362">
      <c r="S25362" s="27"/>
      <c r="T25362" s="27"/>
      <c r="U25362" s="27"/>
    </row>
    <row r="25364">
      <c r="S25364" s="27"/>
      <c r="T25364" s="27"/>
      <c r="U25364" s="27"/>
    </row>
    <row r="25365">
      <c r="S25365" s="27"/>
      <c r="T25365" s="27"/>
      <c r="U25365" s="27"/>
    </row>
    <row r="25373">
      <c r="S25373" s="27"/>
      <c r="T25373" s="33"/>
      <c r="U25373" s="33"/>
    </row>
    <row r="25374">
      <c r="S25374" s="27"/>
      <c r="T25374" s="27"/>
      <c r="U25374" s="27"/>
    </row>
    <row r="25376">
      <c r="S25376" s="27"/>
      <c r="T25376" s="27"/>
      <c r="U25376" s="27"/>
    </row>
    <row r="25377">
      <c r="S25377" s="27"/>
      <c r="T25377" s="27"/>
      <c r="U25377" s="27"/>
    </row>
    <row r="25379">
      <c r="S25379" s="27"/>
      <c r="U25379" s="27"/>
    </row>
    <row r="25382">
      <c r="S25382" s="27"/>
    </row>
    <row r="25383">
      <c r="S25383" s="27"/>
      <c r="T25383" s="27"/>
      <c r="U25383" s="27"/>
    </row>
    <row r="25388">
      <c r="S25388" s="27"/>
      <c r="T25388" s="27"/>
      <c r="U25388" s="27"/>
    </row>
    <row r="25389">
      <c r="S25389" s="27"/>
      <c r="T25389" s="27"/>
      <c r="U25389" s="27"/>
    </row>
    <row r="25391">
      <c r="S25391" s="27"/>
      <c r="T25391" s="27"/>
      <c r="U25391" s="27"/>
    </row>
    <row r="25392">
      <c r="S25392" s="26"/>
      <c r="T25392" s="26"/>
      <c r="U25392" s="26"/>
    </row>
    <row r="25394">
      <c r="S25394" s="27"/>
      <c r="T25394" s="27"/>
      <c r="U25394" s="27"/>
    </row>
    <row r="25395">
      <c r="S25395" s="27"/>
      <c r="T25395" s="27"/>
      <c r="U25395" s="27"/>
    </row>
    <row r="25397">
      <c r="S25397" s="26"/>
      <c r="T25397" s="26"/>
      <c r="U25397" s="26"/>
    </row>
    <row r="25400">
      <c r="S25400" s="27"/>
      <c r="T25400" s="27"/>
      <c r="U25400" s="27"/>
    </row>
    <row r="25403">
      <c r="S25403" s="27"/>
      <c r="T25403" s="27"/>
      <c r="U25403" s="27"/>
    </row>
    <row r="25404">
      <c r="S25404" s="27"/>
      <c r="T25404" s="27"/>
      <c r="U25404" s="27"/>
    </row>
    <row r="25406">
      <c r="S25406" s="27"/>
      <c r="T25406" s="27"/>
      <c r="U25406" s="27"/>
    </row>
    <row r="25407">
      <c r="S25407" s="27"/>
      <c r="T25407" s="27"/>
      <c r="U25407" s="27"/>
    </row>
    <row r="25409">
      <c r="S25409" s="26"/>
    </row>
    <row r="25412">
      <c r="S25412" s="27"/>
      <c r="T25412" s="27"/>
      <c r="U25412" s="27"/>
    </row>
    <row r="25413">
      <c r="S25413" s="27"/>
      <c r="T25413" s="27"/>
      <c r="U25413" s="27"/>
    </row>
    <row r="25415">
      <c r="S25415" s="27"/>
      <c r="T25415" s="27"/>
      <c r="U25415" s="27"/>
    </row>
    <row r="25416">
      <c r="S25416" s="27"/>
      <c r="T25416" s="27"/>
      <c r="U25416" s="27"/>
    </row>
    <row r="25418">
      <c r="S25418" s="27"/>
      <c r="T25418" s="27"/>
      <c r="U25418" s="27"/>
    </row>
    <row r="25419">
      <c r="S25419" s="27"/>
      <c r="T25419" s="27"/>
      <c r="U25419" s="27"/>
    </row>
    <row r="25421">
      <c r="S25421" s="27"/>
      <c r="T25421" s="27"/>
      <c r="U25421" s="27"/>
    </row>
    <row r="25422">
      <c r="S25422" s="27"/>
      <c r="T25422" s="27"/>
      <c r="U25422" s="27"/>
    </row>
    <row r="25424">
      <c r="S25424" s="27"/>
      <c r="T25424" s="27"/>
      <c r="U25424" s="27"/>
    </row>
    <row r="25425">
      <c r="S25425" s="27"/>
      <c r="T25425" s="27"/>
      <c r="U25425" s="27"/>
    </row>
    <row r="25427">
      <c r="S25427" s="27"/>
      <c r="T25427" s="27"/>
      <c r="U25427" s="27"/>
    </row>
    <row r="25428">
      <c r="S25428" s="27"/>
      <c r="T25428" s="27"/>
      <c r="U25428" s="27"/>
    </row>
    <row r="25430">
      <c r="S25430" s="27"/>
      <c r="T25430" s="27"/>
      <c r="U25430" s="27"/>
    </row>
    <row r="25431">
      <c r="S25431" s="27"/>
      <c r="T25431" s="27"/>
      <c r="U25431" s="27"/>
    </row>
    <row r="25433">
      <c r="S25433" s="27"/>
      <c r="T25433" s="27"/>
      <c r="U25433" s="27"/>
    </row>
    <row r="25434">
      <c r="S25434" s="27"/>
      <c r="T25434" s="27"/>
      <c r="U25434" s="27"/>
    </row>
    <row r="25436">
      <c r="S25436" s="27"/>
      <c r="T25436" s="27"/>
      <c r="U25436" s="27"/>
    </row>
    <row r="25437">
      <c r="S25437" s="27"/>
      <c r="T25437" s="27"/>
      <c r="U25437" s="27"/>
    </row>
    <row r="25439">
      <c r="S25439" s="27"/>
      <c r="T25439" s="27"/>
      <c r="U25439" s="27"/>
    </row>
    <row r="25440">
      <c r="S25440" s="27"/>
      <c r="T25440" s="27"/>
      <c r="U25440" s="27"/>
    </row>
    <row r="25442">
      <c r="S25442" s="27"/>
      <c r="T25442" s="27"/>
      <c r="U25442" s="27"/>
    </row>
    <row r="25443">
      <c r="S25443" s="27"/>
      <c r="T25443" s="27"/>
      <c r="U25443" s="27"/>
    </row>
    <row r="25445">
      <c r="S25445" s="27"/>
      <c r="T25445" s="27"/>
      <c r="U25445" s="27"/>
    </row>
    <row r="25446">
      <c r="S25446" s="27"/>
      <c r="T25446" s="27"/>
      <c r="U25446" s="27"/>
    </row>
    <row r="25448">
      <c r="S25448" s="27"/>
      <c r="T25448" s="27"/>
      <c r="U25448" s="27"/>
    </row>
    <row r="25449">
      <c r="S25449" s="27"/>
      <c r="T25449" s="27"/>
      <c r="U25449" s="27"/>
    </row>
    <row r="25451">
      <c r="S25451" s="27"/>
      <c r="T25451" s="27"/>
      <c r="U25451" s="27"/>
    </row>
    <row r="25452">
      <c r="S25452" s="27"/>
      <c r="T25452" s="27"/>
      <c r="U25452" s="27"/>
    </row>
    <row r="25454">
      <c r="S25454" s="27"/>
      <c r="T25454" s="27"/>
      <c r="U25454" s="27"/>
    </row>
    <row r="25455">
      <c r="S25455" s="27"/>
      <c r="T25455" s="27"/>
      <c r="U25455" s="27"/>
    </row>
    <row r="25457">
      <c r="S25457" s="27"/>
      <c r="T25457" s="27"/>
      <c r="U25457" s="27"/>
    </row>
    <row r="25458">
      <c r="S25458" s="27"/>
      <c r="T25458" s="27"/>
      <c r="U25458" s="27"/>
    </row>
    <row r="25460">
      <c r="S25460" s="27"/>
      <c r="T25460" s="27"/>
      <c r="U25460" s="27"/>
    </row>
    <row r="25461">
      <c r="S25461" s="27"/>
      <c r="T25461" s="27"/>
      <c r="U25461" s="27"/>
    </row>
    <row r="25463">
      <c r="S25463" s="27"/>
      <c r="T25463" s="27"/>
      <c r="U25463" s="27"/>
    </row>
    <row r="25464">
      <c r="S25464" s="27"/>
      <c r="T25464" s="27"/>
      <c r="U25464" s="27"/>
    </row>
    <row r="25466">
      <c r="S25466" s="27"/>
      <c r="T25466" s="27"/>
      <c r="U25466" s="27"/>
    </row>
    <row r="25467">
      <c r="S25467" s="27"/>
      <c r="T25467" s="27"/>
      <c r="U25467" s="27"/>
    </row>
    <row r="25469">
      <c r="S25469" s="27"/>
      <c r="T25469" s="27"/>
      <c r="U25469" s="27"/>
    </row>
    <row r="25470">
      <c r="S25470" s="27"/>
      <c r="T25470" s="27"/>
      <c r="U25470" s="27"/>
    </row>
    <row r="25472">
      <c r="S25472" s="27"/>
      <c r="T25472" s="27"/>
      <c r="U25472" s="27"/>
    </row>
    <row r="25473">
      <c r="S25473" s="27"/>
      <c r="T25473" s="27"/>
      <c r="U25473" s="27"/>
    </row>
    <row r="25475">
      <c r="S25475" s="27"/>
      <c r="T25475" s="27"/>
      <c r="U25475" s="27"/>
    </row>
    <row r="25476">
      <c r="S25476" s="27"/>
      <c r="T25476" s="27"/>
      <c r="U25476" s="27"/>
    </row>
    <row r="25478">
      <c r="S25478" s="27"/>
      <c r="T25478" s="27"/>
      <c r="U25478" s="27"/>
    </row>
    <row r="25479">
      <c r="S25479" s="27"/>
      <c r="T25479" s="27"/>
      <c r="U25479" s="27"/>
    </row>
    <row r="25481">
      <c r="S25481" s="27"/>
      <c r="T25481" s="27"/>
      <c r="U25481" s="27"/>
    </row>
    <row r="25482">
      <c r="S25482" s="27"/>
      <c r="T25482" s="27"/>
      <c r="U25482" s="27"/>
    </row>
    <row r="25484">
      <c r="S25484" s="27"/>
      <c r="T25484" s="27"/>
      <c r="U25484" s="27"/>
    </row>
    <row r="25485">
      <c r="S25485" s="27"/>
      <c r="T25485" s="27"/>
      <c r="U25485" s="27"/>
    </row>
    <row r="25487">
      <c r="S25487" s="27"/>
      <c r="T25487" s="27"/>
      <c r="U25487" s="27"/>
    </row>
    <row r="25488">
      <c r="S25488" s="27"/>
      <c r="T25488" s="27"/>
      <c r="U25488" s="27"/>
    </row>
    <row r="25490">
      <c r="S25490" s="27"/>
      <c r="T25490" s="27"/>
      <c r="U25490" s="27"/>
    </row>
    <row r="25491">
      <c r="S25491" s="27"/>
      <c r="T25491" s="27"/>
      <c r="U25491" s="27"/>
    </row>
    <row r="25493">
      <c r="S25493" s="27"/>
      <c r="T25493" s="27"/>
      <c r="U25493" s="33"/>
    </row>
    <row r="25494">
      <c r="S25494" s="27"/>
      <c r="T25494" s="27"/>
      <c r="U25494" s="33"/>
    </row>
    <row r="25496">
      <c r="S25496" s="27"/>
      <c r="T25496" s="27"/>
      <c r="U25496" s="27"/>
    </row>
    <row r="25497">
      <c r="S25497" s="27"/>
      <c r="T25497" s="27"/>
      <c r="U25497" s="27"/>
    </row>
    <row r="25499">
      <c r="S25499" s="27"/>
      <c r="T25499" s="27"/>
      <c r="U25499" s="27"/>
    </row>
    <row r="25500">
      <c r="S25500" s="27"/>
      <c r="T25500" s="27"/>
      <c r="U25500" s="27"/>
    </row>
    <row r="25502">
      <c r="S25502" s="27"/>
      <c r="T25502" s="27"/>
      <c r="U25502" s="27"/>
    </row>
    <row r="25503">
      <c r="S25503" s="27"/>
      <c r="T25503" s="27"/>
      <c r="U25503" s="27"/>
    </row>
    <row r="25505">
      <c r="S25505" s="27"/>
      <c r="T25505" s="27"/>
      <c r="U25505" s="27"/>
    </row>
    <row r="25507">
      <c r="S25507" s="27"/>
      <c r="T25507" s="27"/>
      <c r="U25507" s="27"/>
    </row>
    <row r="25508">
      <c r="S25508" s="27"/>
      <c r="T25508" s="27"/>
      <c r="U25508" s="27"/>
    </row>
    <row r="25510">
      <c r="S25510" s="27"/>
      <c r="T25510" s="27"/>
      <c r="U25510" s="27"/>
    </row>
    <row r="25511">
      <c r="S25511" s="27"/>
      <c r="T25511" s="27"/>
      <c r="U25511" s="27"/>
    </row>
    <row r="25513">
      <c r="S25513" s="27"/>
      <c r="T25513" s="27"/>
      <c r="U25513" s="27"/>
    </row>
    <row r="25514">
      <c r="S25514" s="27"/>
      <c r="T25514" s="27"/>
      <c r="U25514" s="27"/>
    </row>
    <row r="25516">
      <c r="S25516" s="27"/>
      <c r="T25516" s="27"/>
      <c r="U25516" s="27"/>
    </row>
    <row r="25517">
      <c r="S25517" s="27"/>
      <c r="T25517" s="27"/>
      <c r="U25517" s="27"/>
    </row>
    <row r="25519">
      <c r="S25519" s="27"/>
      <c r="T25519" s="27"/>
      <c r="U25519" s="27"/>
    </row>
    <row r="25520">
      <c r="S25520" s="27"/>
      <c r="T25520" s="27"/>
      <c r="U25520" s="27"/>
    </row>
    <row r="25522">
      <c r="S25522" s="27"/>
      <c r="T25522" s="27"/>
      <c r="U25522" s="27"/>
    </row>
    <row r="25523">
      <c r="S25523" s="27"/>
      <c r="T25523" s="27"/>
      <c r="U25523" s="27"/>
    </row>
    <row r="25525">
      <c r="S25525" s="27"/>
      <c r="T25525" s="27"/>
      <c r="U25525" s="27"/>
    </row>
    <row r="25526">
      <c r="S25526" s="27"/>
      <c r="T25526" s="27"/>
      <c r="U25526" s="27"/>
    </row>
    <row r="25528">
      <c r="S25528" s="27"/>
      <c r="T25528" s="27"/>
      <c r="U25528" s="27"/>
    </row>
    <row r="25530">
      <c r="S25530" s="27"/>
      <c r="T25530" s="27"/>
      <c r="U25530" s="27"/>
    </row>
    <row r="25532">
      <c r="S25532" s="35"/>
      <c r="T25532" s="27"/>
      <c r="U25532" s="27"/>
    </row>
    <row r="25534">
      <c r="S25534" s="27"/>
      <c r="T25534" s="27"/>
      <c r="U25534" s="27"/>
    </row>
    <row r="25536">
      <c r="S25536" s="27"/>
      <c r="T25536" s="27"/>
      <c r="U25536" s="27"/>
    </row>
    <row r="25537">
      <c r="S25537" s="27"/>
      <c r="T25537" s="27"/>
      <c r="U25537" s="27"/>
    </row>
    <row r="25539">
      <c r="S25539" s="27"/>
      <c r="T25539" s="27"/>
      <c r="U25539" s="27"/>
    </row>
    <row r="25540">
      <c r="S25540" s="27"/>
      <c r="T25540" s="27"/>
      <c r="U25540" s="27"/>
    </row>
    <row r="25542">
      <c r="S25542" s="27"/>
      <c r="T25542" s="27"/>
      <c r="U25542" s="27"/>
    </row>
    <row r="25543">
      <c r="S25543" s="27"/>
      <c r="T25543" s="27"/>
      <c r="U25543" s="27"/>
    </row>
    <row r="25545">
      <c r="S25545" s="27"/>
      <c r="T25545" s="27"/>
      <c r="U25545" s="27"/>
    </row>
    <row r="25546">
      <c r="S25546" s="27"/>
      <c r="T25546" s="27"/>
      <c r="U25546" s="27"/>
    </row>
    <row r="25549">
      <c r="S25549" s="35"/>
      <c r="T25549" s="35"/>
      <c r="U25549" s="35"/>
    </row>
    <row r="25551">
      <c r="S25551" s="27"/>
      <c r="T25551" s="27"/>
    </row>
    <row r="25557">
      <c r="S25557" s="26"/>
      <c r="T25557" s="27"/>
      <c r="U25557" s="26"/>
    </row>
    <row r="25560">
      <c r="S25560" s="33"/>
      <c r="T25560" s="33"/>
      <c r="U25560" s="33"/>
    </row>
    <row r="25561">
      <c r="S25561" s="26"/>
      <c r="T25561" s="26"/>
      <c r="U25561" s="26"/>
    </row>
    <row r="25563">
      <c r="S25563" s="27"/>
      <c r="T25563" s="27"/>
      <c r="U25563" s="27"/>
    </row>
    <row r="25564">
      <c r="S25564" s="27"/>
      <c r="T25564" s="27"/>
      <c r="U25564" s="27"/>
    </row>
    <row r="25566">
      <c r="S25566" s="27"/>
      <c r="T25566" s="27"/>
      <c r="U25566" s="27"/>
    </row>
    <row r="25567">
      <c r="S25567" s="27"/>
      <c r="T25567" s="27"/>
      <c r="U25567" s="27"/>
    </row>
    <row r="25569">
      <c r="S25569" s="27"/>
      <c r="T25569" s="27"/>
      <c r="U25569" s="27"/>
    </row>
    <row r="25570">
      <c r="S25570" s="27"/>
      <c r="T25570" s="27"/>
      <c r="U25570" s="27"/>
    </row>
    <row r="25572">
      <c r="S25572" s="26"/>
      <c r="T25572" s="26"/>
      <c r="U25572" s="26"/>
    </row>
    <row r="25575">
      <c r="S25575" s="27"/>
      <c r="T25575" s="27"/>
      <c r="U25575" s="27"/>
    </row>
    <row r="25576">
      <c r="S25576" s="27"/>
      <c r="T25576" s="27"/>
      <c r="U25576" s="27"/>
    </row>
    <row r="25578">
      <c r="S25578" s="27"/>
      <c r="T25578" s="27"/>
      <c r="U25578" s="27"/>
    </row>
    <row r="25579">
      <c r="S25579" s="27"/>
      <c r="T25579" s="27"/>
      <c r="U25579" s="27"/>
    </row>
    <row r="25581">
      <c r="S25581" s="27"/>
      <c r="T25581" s="27"/>
      <c r="U25581" s="27"/>
    </row>
    <row r="25582">
      <c r="S25582" s="27"/>
      <c r="T25582" s="27"/>
      <c r="U25582" s="27"/>
    </row>
    <row r="25587">
      <c r="S25587" s="26"/>
      <c r="T25587" s="26"/>
      <c r="U25587" s="26"/>
    </row>
    <row r="25590">
      <c r="S25590" s="27"/>
      <c r="T25590" s="27"/>
      <c r="U25590" s="27"/>
    </row>
    <row r="25591">
      <c r="S25591" s="27"/>
      <c r="T25591" s="27"/>
      <c r="U25591" s="27"/>
    </row>
    <row r="25593">
      <c r="S25593" s="27"/>
      <c r="T25593" s="27"/>
      <c r="U25593" s="27"/>
    </row>
    <row r="25594">
      <c r="S25594" s="27"/>
      <c r="T25594" s="27"/>
      <c r="U25594" s="27"/>
    </row>
    <row r="25602">
      <c r="S25602" s="27"/>
      <c r="T25602" s="27"/>
      <c r="U25602" s="27"/>
    </row>
    <row r="25605">
      <c r="S25605" s="27"/>
      <c r="T25605" s="27"/>
      <c r="U25605" s="27"/>
    </row>
    <row r="25606">
      <c r="S25606" s="27"/>
      <c r="T25606" s="27"/>
      <c r="U25606" s="27"/>
    </row>
    <row r="25608">
      <c r="S25608" s="27"/>
      <c r="T25608" s="27"/>
      <c r="U25608" s="27"/>
    </row>
    <row r="25609">
      <c r="S25609" s="27"/>
      <c r="T25609" s="27"/>
      <c r="U25609" s="27"/>
    </row>
    <row r="25611">
      <c r="S25611" s="27"/>
      <c r="T25611" s="27"/>
      <c r="U25611" s="27"/>
    </row>
    <row r="25612">
      <c r="S25612" s="27"/>
      <c r="T25612" s="27"/>
      <c r="U25612" s="27"/>
    </row>
    <row r="25614">
      <c r="S25614" s="27"/>
      <c r="T25614" s="27"/>
      <c r="U25614" s="27"/>
    </row>
    <row r="25615">
      <c r="S25615" s="27"/>
      <c r="T25615" s="27"/>
      <c r="U25615" s="27"/>
    </row>
    <row r="25617">
      <c r="S25617" s="27"/>
      <c r="T25617" s="27"/>
      <c r="U25617" s="27"/>
    </row>
    <row r="25618">
      <c r="S25618" s="27"/>
      <c r="T25618" s="27"/>
      <c r="U25618" s="27"/>
    </row>
    <row r="25620">
      <c r="S25620" s="27"/>
      <c r="T25620" s="27"/>
      <c r="U25620" s="27"/>
    </row>
    <row r="25621">
      <c r="S25621" s="27"/>
      <c r="T25621" s="27"/>
      <c r="U25621" s="27"/>
    </row>
    <row r="25623">
      <c r="S25623" s="27"/>
      <c r="T25623" s="27"/>
      <c r="U25623" s="27"/>
    </row>
    <row r="25624">
      <c r="S25624" s="27"/>
      <c r="T25624" s="27"/>
      <c r="U25624" s="27"/>
    </row>
    <row r="25626">
      <c r="S25626" s="27"/>
      <c r="T25626" s="27"/>
      <c r="U25626" s="27"/>
    </row>
    <row r="25627">
      <c r="S25627" s="27"/>
      <c r="T25627" s="27"/>
      <c r="U25627" s="27"/>
    </row>
    <row r="25629">
      <c r="S25629" s="27"/>
      <c r="T25629" s="27"/>
      <c r="U25629" s="27"/>
    </row>
    <row r="25630">
      <c r="S25630" s="27"/>
      <c r="T25630" s="27"/>
      <c r="U25630" s="27"/>
    </row>
    <row r="25632">
      <c r="S25632" s="27"/>
      <c r="T25632" s="27"/>
      <c r="U25632" s="27"/>
    </row>
    <row r="25633">
      <c r="S25633" s="27"/>
      <c r="T25633" s="27"/>
      <c r="U25633" s="27"/>
    </row>
    <row r="25635">
      <c r="S25635" s="27"/>
      <c r="T25635" s="27"/>
      <c r="U25635" s="27"/>
    </row>
    <row r="25636">
      <c r="S25636" s="27"/>
      <c r="T25636" s="27"/>
      <c r="U25636" s="27"/>
    </row>
    <row r="25638">
      <c r="S25638" s="27"/>
      <c r="T25638" s="27"/>
      <c r="U25638" s="27"/>
    </row>
    <row r="25639">
      <c r="S25639" s="27"/>
      <c r="T25639" s="27"/>
      <c r="U25639" s="27"/>
    </row>
    <row r="25641">
      <c r="S25641" s="27"/>
      <c r="T25641" s="27"/>
      <c r="U25641" s="27"/>
    </row>
    <row r="25642">
      <c r="S25642" s="27"/>
      <c r="T25642" s="27"/>
      <c r="U25642" s="27"/>
    </row>
    <row r="25644">
      <c r="S25644" s="27"/>
      <c r="T25644" s="27"/>
      <c r="U25644" s="27"/>
    </row>
    <row r="25645">
      <c r="S25645" s="27"/>
      <c r="T25645" s="27"/>
      <c r="U25645" s="27"/>
    </row>
    <row r="25647">
      <c r="S25647" s="27"/>
      <c r="T25647" s="27"/>
      <c r="U25647" s="27"/>
    </row>
    <row r="25648">
      <c r="S25648" s="27"/>
      <c r="T25648" s="27"/>
      <c r="U25648" s="27"/>
    </row>
    <row r="25650">
      <c r="S25650" s="27"/>
      <c r="T25650" s="27"/>
      <c r="U25650" s="27"/>
    </row>
    <row r="25651">
      <c r="S25651" s="27"/>
      <c r="T25651" s="27"/>
      <c r="U25651" s="27"/>
    </row>
    <row r="25653">
      <c r="S25653" s="27"/>
      <c r="T25653" s="27"/>
      <c r="U25653" s="27"/>
    </row>
    <row r="25654">
      <c r="S25654" s="27"/>
      <c r="T25654" s="27"/>
      <c r="U25654" s="27"/>
    </row>
    <row r="25656">
      <c r="S25656" s="27"/>
      <c r="T25656" s="27"/>
      <c r="U25656" s="27"/>
    </row>
    <row r="25657">
      <c r="S25657" s="27"/>
      <c r="T25657" s="27"/>
      <c r="U25657" s="27"/>
    </row>
    <row r="25659">
      <c r="S25659" s="27"/>
      <c r="T25659" s="27"/>
      <c r="U25659" s="27"/>
    </row>
    <row r="25660">
      <c r="S25660" s="27"/>
      <c r="T25660" s="27"/>
      <c r="U25660" s="27"/>
    </row>
    <row r="25662">
      <c r="S25662" s="27"/>
      <c r="T25662" s="27"/>
      <c r="U25662" s="27"/>
    </row>
    <row r="25663">
      <c r="S25663" s="27"/>
      <c r="T25663" s="27"/>
      <c r="U25663" s="27"/>
    </row>
    <row r="25665">
      <c r="S25665" s="27"/>
      <c r="T25665" s="27"/>
      <c r="U25665" s="27"/>
    </row>
    <row r="25666">
      <c r="S25666" s="27"/>
      <c r="T25666" s="27"/>
      <c r="U25666" s="27"/>
    </row>
    <row r="25668">
      <c r="S25668" s="27"/>
      <c r="T25668" s="27"/>
      <c r="U25668" s="27"/>
    </row>
    <row r="25669">
      <c r="S25669" s="27"/>
      <c r="T25669" s="27"/>
      <c r="U25669" s="27"/>
    </row>
    <row r="25671">
      <c r="S25671" s="27"/>
      <c r="T25671" s="27"/>
      <c r="U25671" s="27"/>
    </row>
    <row r="25672">
      <c r="S25672" s="27"/>
      <c r="T25672" s="27"/>
      <c r="U25672" s="27"/>
    </row>
    <row r="25674">
      <c r="S25674" s="27"/>
      <c r="T25674" s="27"/>
      <c r="U25674" s="27"/>
    </row>
    <row r="25675">
      <c r="S25675" s="27"/>
      <c r="T25675" s="27"/>
      <c r="U25675" s="27"/>
    </row>
    <row r="25680">
      <c r="S25680" s="27"/>
      <c r="T25680" s="27"/>
      <c r="U25680" s="27"/>
    </row>
    <row r="25681">
      <c r="S25681" s="27"/>
      <c r="T25681" s="27"/>
      <c r="U25681" s="27"/>
    </row>
    <row r="25683">
      <c r="S25683" s="27"/>
      <c r="T25683" s="27"/>
      <c r="U25683" s="27"/>
    </row>
    <row r="25686">
      <c r="S25686" s="27"/>
      <c r="T25686" s="33"/>
    </row>
    <row r="25687">
      <c r="S25687" s="27"/>
      <c r="T25687" s="27"/>
    </row>
    <row r="25689">
      <c r="S25689" s="27"/>
      <c r="T25689" s="27"/>
      <c r="U25689" s="27"/>
    </row>
    <row r="25695">
      <c r="S25695" s="27"/>
      <c r="U25695" s="27"/>
    </row>
    <row r="25696">
      <c r="S25696" s="27"/>
      <c r="T25696" s="27"/>
      <c r="U25696" s="27"/>
    </row>
    <row r="25698">
      <c r="S25698" s="27"/>
      <c r="T25698" s="27"/>
      <c r="U25698" s="27"/>
    </row>
    <row r="25699">
      <c r="S25699" s="27"/>
      <c r="T25699" s="27"/>
      <c r="U25699" s="27"/>
    </row>
    <row r="25701">
      <c r="S25701" s="27"/>
      <c r="T25701" s="27"/>
      <c r="U25701" s="27"/>
    </row>
    <row r="25702">
      <c r="S25702" s="27"/>
      <c r="T25702" s="27"/>
      <c r="U25702" s="27"/>
    </row>
    <row r="25704">
      <c r="T25704" s="26"/>
      <c r="U25704" s="26"/>
    </row>
    <row r="25707">
      <c r="S25707" s="26"/>
      <c r="T25707" s="26"/>
      <c r="U25707" s="26"/>
    </row>
    <row r="25712">
      <c r="S25712" s="27"/>
      <c r="T25712" s="27"/>
      <c r="U25712" s="27"/>
    </row>
    <row r="25714">
      <c r="S25714" s="26"/>
      <c r="T25714" s="26"/>
      <c r="U25714" s="26"/>
    </row>
    <row r="25717">
      <c r="S25717" s="27"/>
      <c r="T25717" s="27"/>
      <c r="U25717" s="27"/>
    </row>
    <row r="25720">
      <c r="S25720" s="27"/>
      <c r="T25720" s="27"/>
      <c r="U25720" s="27"/>
    </row>
    <row r="25721">
      <c r="S25721" s="27"/>
      <c r="T25721" s="27"/>
      <c r="U25721" s="27"/>
    </row>
    <row r="25723">
      <c r="S25723" s="27"/>
      <c r="T25723" s="27"/>
      <c r="U25723" s="27"/>
    </row>
    <row r="25724">
      <c r="S25724" s="27"/>
      <c r="T25724" s="27"/>
      <c r="U25724" s="27"/>
    </row>
    <row r="25726">
      <c r="S25726" s="33"/>
      <c r="T25726" s="27"/>
      <c r="U25726" s="27"/>
    </row>
    <row r="25727">
      <c r="S25727" s="27"/>
      <c r="T25727" s="27"/>
      <c r="U25727" s="27"/>
    </row>
    <row r="25729">
      <c r="S25729" s="27"/>
      <c r="T25729" s="27"/>
      <c r="U25729" s="27"/>
    </row>
    <row r="25732">
      <c r="S25732" s="27"/>
      <c r="T25732" s="27"/>
      <c r="U25732" s="27"/>
    </row>
    <row r="25733">
      <c r="S25733" s="27"/>
      <c r="T25733" s="27"/>
      <c r="U25733" s="27"/>
    </row>
    <row r="25738">
      <c r="S25738" s="27"/>
      <c r="T25738" s="27"/>
      <c r="U25738" s="27"/>
    </row>
    <row r="25739">
      <c r="S25739" s="27"/>
      <c r="T25739" s="27"/>
      <c r="U25739" s="27"/>
    </row>
    <row r="25741">
      <c r="S25741" s="33"/>
      <c r="T25741" s="27"/>
    </row>
    <row r="25742">
      <c r="T25742" s="27"/>
    </row>
    <row r="25744">
      <c r="S25744" s="27"/>
      <c r="T25744" s="27"/>
      <c r="U25744" s="27"/>
    </row>
    <row r="25745">
      <c r="S25745" s="27"/>
      <c r="T25745" s="27"/>
      <c r="U25745" s="27"/>
    </row>
    <row r="25750">
      <c r="S25750" s="27"/>
      <c r="T25750" s="27"/>
      <c r="U25750" s="27"/>
    </row>
    <row r="25753">
      <c r="S25753" s="27"/>
      <c r="T25753" s="27"/>
      <c r="U25753" s="33"/>
    </row>
    <row r="25754">
      <c r="S25754" s="27"/>
      <c r="T25754" s="27"/>
      <c r="U25754" s="27"/>
    </row>
    <row r="25756">
      <c r="T25756" s="26"/>
      <c r="U25756" s="26"/>
    </row>
    <row r="25757">
      <c r="S25757" s="26"/>
      <c r="T25757" s="26"/>
      <c r="U25757" s="26"/>
    </row>
    <row r="25759">
      <c r="T25759" s="27"/>
      <c r="U25759" s="27"/>
    </row>
    <row r="25760">
      <c r="S25760" s="27"/>
      <c r="T25760" s="27"/>
      <c r="U25760" s="27"/>
    </row>
    <row r="25762">
      <c r="S25762" s="27"/>
      <c r="T25762" s="27"/>
    </row>
    <row r="25763">
      <c r="S25763" s="27"/>
      <c r="T25763" s="27"/>
      <c r="U25763" s="27"/>
    </row>
    <row r="25765">
      <c r="S25765" s="27"/>
      <c r="T25765" s="27"/>
      <c r="U25765" s="27"/>
    </row>
    <row r="25766">
      <c r="S25766" s="27"/>
      <c r="T25766" s="27"/>
      <c r="U25766" s="27"/>
    </row>
    <row r="25768">
      <c r="S25768" s="27"/>
      <c r="T25768" s="27"/>
      <c r="U25768" s="27"/>
    </row>
    <row r="25769">
      <c r="S25769" s="27"/>
      <c r="T25769" s="27"/>
      <c r="U25769" s="27"/>
    </row>
    <row r="25774">
      <c r="S25774" s="27"/>
      <c r="T25774" s="27"/>
      <c r="U25774" s="33"/>
    </row>
    <row r="25775">
      <c r="S25775" s="27"/>
      <c r="T25775" s="27"/>
      <c r="U25775" s="27"/>
    </row>
    <row r="25777">
      <c r="S25777" s="27"/>
      <c r="T25777" s="27"/>
      <c r="U25777" s="27"/>
    </row>
    <row r="25778">
      <c r="S25778" s="27"/>
      <c r="T25778" s="27"/>
      <c r="U25778" s="27"/>
    </row>
    <row r="25780">
      <c r="S25780" s="27"/>
      <c r="U25780" s="27"/>
    </row>
    <row r="25781">
      <c r="U25781" s="26"/>
    </row>
    <row r="25783">
      <c r="S25783" s="27"/>
      <c r="T25783" s="27"/>
      <c r="U25783" s="27"/>
    </row>
    <row r="25784">
      <c r="S25784" s="27"/>
      <c r="T25784" s="27"/>
      <c r="U25784" s="27"/>
    </row>
    <row r="25786">
      <c r="S25786" s="27"/>
      <c r="T25786" s="27"/>
      <c r="U25786" s="27"/>
    </row>
    <row r="25787">
      <c r="S25787" s="27"/>
      <c r="T25787" s="27"/>
      <c r="U25787" s="27"/>
    </row>
    <row r="25789">
      <c r="S25789" s="27"/>
      <c r="T25789" s="27"/>
      <c r="U25789" s="27"/>
    </row>
    <row r="25790">
      <c r="S25790" s="27"/>
      <c r="T25790" s="27"/>
      <c r="U25790" s="27"/>
    </row>
    <row r="25792">
      <c r="S25792" s="27"/>
      <c r="T25792" s="27"/>
      <c r="U25792" s="27"/>
    </row>
    <row r="25793">
      <c r="S25793" s="26"/>
      <c r="T25793" s="26"/>
      <c r="U25793" s="26"/>
    </row>
    <row r="25795">
      <c r="S25795" s="27"/>
      <c r="T25795" s="27"/>
      <c r="U25795" s="27"/>
    </row>
    <row r="25798">
      <c r="S25798" s="26"/>
      <c r="T25798" s="26"/>
      <c r="U25798" s="26"/>
    </row>
    <row r="25801">
      <c r="S25801" s="27"/>
      <c r="T25801" s="27"/>
      <c r="U25801" s="27"/>
    </row>
    <row r="25804">
      <c r="S25804" s="27"/>
      <c r="T25804" s="27"/>
      <c r="U25804" s="27"/>
    </row>
    <row r="25805">
      <c r="S25805" s="27"/>
      <c r="T25805" s="27"/>
      <c r="U25805" s="27"/>
    </row>
    <row r="25807">
      <c r="S25807" s="27"/>
      <c r="T25807" s="27"/>
      <c r="U25807" s="27"/>
    </row>
    <row r="25808">
      <c r="S25808" s="27"/>
      <c r="T25808" s="27"/>
      <c r="U25808" s="27"/>
    </row>
    <row r="25810">
      <c r="S25810" s="27"/>
      <c r="T25810" s="27"/>
      <c r="U25810" s="27"/>
    </row>
    <row r="25811">
      <c r="S25811" s="27"/>
      <c r="T25811" s="27"/>
      <c r="U25811" s="27"/>
    </row>
    <row r="25813">
      <c r="S25813" s="26"/>
      <c r="T25813" s="26"/>
      <c r="U25813" s="26"/>
    </row>
    <row r="25814">
      <c r="T25814" s="26"/>
      <c r="U25814" s="26"/>
    </row>
    <row r="25816">
      <c r="S25816" s="27"/>
      <c r="T25816" s="27"/>
      <c r="U25816" s="27"/>
    </row>
    <row r="25817">
      <c r="S25817" s="27"/>
      <c r="T25817" s="27"/>
      <c r="U25817" s="27"/>
    </row>
    <row r="25819">
      <c r="S25819" s="27"/>
      <c r="T25819" s="27"/>
      <c r="U25819" s="27"/>
    </row>
    <row r="25820">
      <c r="S25820" s="27"/>
      <c r="T25820" s="27"/>
      <c r="U25820" s="27"/>
    </row>
    <row r="25822">
      <c r="S25822" s="27"/>
      <c r="T25822" s="27"/>
      <c r="U25822" s="27"/>
    </row>
    <row r="25823">
      <c r="S25823" s="27"/>
      <c r="T25823" s="27"/>
      <c r="U25823" s="27"/>
    </row>
    <row r="25825">
      <c r="S25825" s="27"/>
      <c r="T25825" s="27"/>
      <c r="U25825" s="27"/>
    </row>
    <row r="25826">
      <c r="S25826" s="27"/>
      <c r="T25826" s="27"/>
      <c r="U25826" s="27"/>
    </row>
    <row r="25828">
      <c r="S25828" s="27"/>
      <c r="T25828" s="27"/>
      <c r="U25828" s="27"/>
    </row>
    <row r="25829">
      <c r="S25829" s="27"/>
      <c r="T25829" s="27"/>
      <c r="U25829" s="27"/>
    </row>
    <row r="25831">
      <c r="S25831" s="27"/>
      <c r="T25831" s="27"/>
      <c r="U25831" s="27"/>
    </row>
    <row r="25832">
      <c r="S25832" s="27"/>
      <c r="T25832" s="27"/>
      <c r="U25832" s="27"/>
    </row>
    <row r="25834">
      <c r="S25834" s="27"/>
      <c r="T25834" s="27"/>
      <c r="U25834" s="33"/>
    </row>
    <row r="25835">
      <c r="S25835" s="27"/>
      <c r="T25835" s="27"/>
      <c r="U25835" s="33"/>
    </row>
    <row r="25837">
      <c r="S25837" s="27"/>
      <c r="T25837" s="27"/>
      <c r="U25837" s="27"/>
    </row>
    <row r="25838">
      <c r="S25838" s="27"/>
      <c r="T25838" s="27"/>
      <c r="U25838" s="27"/>
    </row>
    <row r="25840">
      <c r="S25840" s="27"/>
      <c r="T25840" s="27"/>
      <c r="U25840" s="27"/>
    </row>
    <row r="25841">
      <c r="S25841" s="27"/>
      <c r="T25841" s="27"/>
      <c r="U25841" s="27"/>
    </row>
    <row r="25843">
      <c r="S25843" s="27"/>
      <c r="T25843" s="27"/>
      <c r="U25843" s="27"/>
    </row>
    <row r="25844">
      <c r="S25844" s="27"/>
      <c r="T25844" s="27"/>
      <c r="U25844" s="27"/>
    </row>
    <row r="25846">
      <c r="S25846" s="27"/>
      <c r="T25846" s="27"/>
      <c r="U25846" s="27"/>
    </row>
    <row r="25847">
      <c r="S25847" s="27"/>
      <c r="T25847" s="27"/>
      <c r="U25847" s="27"/>
    </row>
    <row r="25849">
      <c r="S25849" s="27"/>
      <c r="T25849" s="27"/>
      <c r="U25849" s="27"/>
    </row>
    <row r="25850">
      <c r="S25850" s="27"/>
      <c r="T25850" s="27"/>
      <c r="U25850" s="27"/>
    </row>
    <row r="25852">
      <c r="S25852" s="27"/>
      <c r="T25852" s="27"/>
      <c r="U25852" s="27"/>
    </row>
    <row r="25853">
      <c r="S25853" s="27"/>
      <c r="T25853" s="27"/>
      <c r="U25853" s="27"/>
    </row>
    <row r="25855">
      <c r="S25855" s="27"/>
      <c r="T25855" s="27"/>
      <c r="U25855" s="27"/>
    </row>
    <row r="25856">
      <c r="S25856" s="27"/>
      <c r="T25856" s="27"/>
      <c r="U25856" s="27"/>
    </row>
    <row r="25858">
      <c r="S25858" s="27"/>
      <c r="T25858" s="27"/>
      <c r="U25858" s="27"/>
    </row>
    <row r="25859">
      <c r="S25859" s="27"/>
      <c r="T25859" s="27"/>
      <c r="U25859" s="27"/>
    </row>
    <row r="25861">
      <c r="S25861" s="27"/>
      <c r="T25861" s="27"/>
      <c r="U25861" s="27"/>
    </row>
    <row r="25862">
      <c r="S25862" s="27"/>
      <c r="T25862" s="27"/>
      <c r="U25862" s="27"/>
    </row>
    <row r="25864">
      <c r="S25864" s="27"/>
      <c r="T25864" s="27"/>
      <c r="U25864" s="27"/>
    </row>
    <row r="25865">
      <c r="S25865" s="27"/>
      <c r="T25865" s="27"/>
      <c r="U25865" s="27"/>
    </row>
    <row r="25867">
      <c r="S25867" s="27"/>
      <c r="T25867" s="27"/>
      <c r="U25867" s="27"/>
    </row>
    <row r="25868">
      <c r="S25868" s="27"/>
      <c r="T25868" s="27"/>
      <c r="U25868" s="27"/>
    </row>
    <row r="25870">
      <c r="S25870" s="27"/>
      <c r="T25870" s="27"/>
      <c r="U25870" s="27"/>
    </row>
    <row r="25871">
      <c r="S25871" s="27"/>
      <c r="T25871" s="27"/>
      <c r="U25871" s="27"/>
    </row>
    <row r="25873">
      <c r="S25873" s="27"/>
      <c r="T25873" s="27"/>
      <c r="U25873" s="27"/>
    </row>
    <row r="25874">
      <c r="S25874" s="27"/>
      <c r="T25874" s="27"/>
      <c r="U25874" s="27"/>
    </row>
    <row r="25876">
      <c r="S25876" s="27"/>
      <c r="T25876" s="27"/>
      <c r="U25876" s="27"/>
    </row>
    <row r="25877">
      <c r="S25877" s="27"/>
      <c r="T25877" s="27"/>
      <c r="U25877" s="27"/>
    </row>
    <row r="25879">
      <c r="S25879" s="27"/>
      <c r="T25879" s="27"/>
      <c r="U25879" s="27"/>
    </row>
    <row r="25880">
      <c r="S25880" s="27"/>
      <c r="T25880" s="27"/>
      <c r="U25880" s="27"/>
    </row>
    <row r="25882">
      <c r="S25882" s="27"/>
      <c r="T25882" s="27"/>
      <c r="U25882" s="27"/>
    </row>
    <row r="25883">
      <c r="S25883" s="27"/>
      <c r="T25883" s="27"/>
      <c r="U25883" s="27"/>
    </row>
    <row r="25885">
      <c r="S25885" s="27"/>
      <c r="T25885" s="27"/>
      <c r="U25885" s="27"/>
    </row>
    <row r="25886">
      <c r="S25886" s="27"/>
      <c r="T25886" s="27"/>
      <c r="U25886" s="27"/>
    </row>
    <row r="25888">
      <c r="S25888" s="27"/>
      <c r="T25888" s="27"/>
      <c r="U25888" s="27"/>
    </row>
    <row r="25889">
      <c r="S25889" s="27"/>
      <c r="T25889" s="27"/>
      <c r="U25889" s="27"/>
    </row>
    <row r="25891">
      <c r="S25891" s="27"/>
      <c r="T25891" s="27"/>
      <c r="U25891" s="27"/>
    </row>
    <row r="25892">
      <c r="S25892" s="27"/>
      <c r="T25892" s="27"/>
      <c r="U25892" s="27"/>
    </row>
    <row r="25894">
      <c r="S25894" s="27"/>
      <c r="T25894" s="27"/>
      <c r="U25894" s="27"/>
    </row>
    <row r="25895">
      <c r="S25895" s="27"/>
      <c r="T25895" s="27"/>
      <c r="U25895" s="27"/>
    </row>
    <row r="25897">
      <c r="S25897" s="27"/>
      <c r="T25897" s="27"/>
      <c r="U25897" s="27"/>
    </row>
    <row r="25898">
      <c r="S25898" s="27"/>
      <c r="T25898" s="27"/>
      <c r="U25898" s="27"/>
    </row>
    <row r="25900">
      <c r="S25900" s="27"/>
      <c r="T25900" s="27"/>
      <c r="U25900" s="27"/>
    </row>
    <row r="25901">
      <c r="S25901" s="27"/>
      <c r="T25901" s="27"/>
      <c r="U25901" s="27"/>
    </row>
    <row r="25903">
      <c r="S25903" s="27"/>
      <c r="T25903" s="27"/>
      <c r="U25903" s="27"/>
    </row>
    <row r="25904">
      <c r="S25904" s="27"/>
      <c r="T25904" s="27"/>
      <c r="U25904" s="27"/>
    </row>
    <row r="25906">
      <c r="S25906" s="27"/>
      <c r="T25906" s="27"/>
      <c r="U25906" s="27"/>
    </row>
    <row r="25907">
      <c r="S25907" s="27"/>
      <c r="T25907" s="27"/>
      <c r="U25907" s="27"/>
    </row>
    <row r="25909">
      <c r="S25909" s="27"/>
      <c r="T25909" s="27"/>
      <c r="U25909" s="27"/>
    </row>
    <row r="25910">
      <c r="S25910" s="27"/>
      <c r="T25910" s="27"/>
      <c r="U25910" s="27"/>
    </row>
    <row r="25912">
      <c r="S25912" s="27"/>
      <c r="T25912" s="27"/>
      <c r="U25912" s="27"/>
    </row>
    <row r="25914">
      <c r="S25914" s="27"/>
    </row>
    <row r="25915">
      <c r="S25915" s="27"/>
      <c r="T25915" s="27"/>
      <c r="U25915" s="27"/>
    </row>
    <row r="25917">
      <c r="S25917" s="27"/>
      <c r="T25917" s="27"/>
      <c r="U25917" s="27"/>
    </row>
    <row r="25918">
      <c r="S25918" s="27"/>
      <c r="T25918" s="27"/>
      <c r="U25918" s="27"/>
    </row>
    <row r="25920">
      <c r="S25920" s="27"/>
      <c r="T25920" s="27"/>
    </row>
    <row r="25921">
      <c r="S25921" s="27"/>
      <c r="T25921" s="27"/>
      <c r="U25921" s="27"/>
    </row>
    <row r="25923">
      <c r="S25923" s="27"/>
      <c r="T25923" s="27"/>
      <c r="U25923" s="27"/>
    </row>
    <row r="25924">
      <c r="S25924" s="27"/>
      <c r="T25924" s="27"/>
      <c r="U25924" s="27"/>
    </row>
    <row r="25926">
      <c r="S25926" s="27"/>
      <c r="T25926" s="27"/>
      <c r="U25926" s="27"/>
    </row>
    <row r="25927">
      <c r="S25927" s="27"/>
      <c r="T25927" s="27"/>
      <c r="U25927" s="27"/>
    </row>
    <row r="25929">
      <c r="S25929" s="27"/>
      <c r="T25929" s="27"/>
      <c r="U25929" s="27"/>
    </row>
    <row r="25930">
      <c r="S25930" s="27"/>
      <c r="T25930" s="27"/>
      <c r="U25930" s="27"/>
    </row>
    <row r="25932">
      <c r="S25932" s="27"/>
      <c r="T25932" s="27"/>
      <c r="U25932" s="27"/>
    </row>
    <row r="25933">
      <c r="S25933" s="27"/>
      <c r="T25933" s="27"/>
      <c r="U25933" s="27"/>
    </row>
    <row r="25935">
      <c r="S25935" s="27"/>
      <c r="T25935" s="27"/>
      <c r="U25935" s="27"/>
    </row>
    <row r="25937">
      <c r="S25937" s="27"/>
      <c r="T25937" s="27"/>
      <c r="U25937" s="27"/>
    </row>
    <row r="25939">
      <c r="S25939" s="27"/>
      <c r="T25939" s="27"/>
      <c r="U25939" s="27"/>
    </row>
    <row r="25941">
      <c r="S25941" s="27"/>
      <c r="T25941" s="27"/>
      <c r="U25941" s="27"/>
    </row>
    <row r="25943">
      <c r="S25943" s="27"/>
      <c r="T25943" s="27"/>
      <c r="U25943" s="27"/>
    </row>
    <row r="25944">
      <c r="S25944" s="27"/>
      <c r="T25944" s="27"/>
      <c r="U25944" s="27"/>
    </row>
    <row r="25946">
      <c r="S25946" s="27"/>
      <c r="T25946" s="27"/>
      <c r="U25946" s="27"/>
    </row>
    <row r="25947">
      <c r="S25947" s="27"/>
      <c r="T25947" s="27"/>
      <c r="U25947" s="27"/>
    </row>
    <row r="25949">
      <c r="S25949" s="27"/>
      <c r="T25949" s="27"/>
      <c r="U25949" s="27"/>
    </row>
    <row r="25950">
      <c r="S25950" s="27"/>
      <c r="T25950" s="27"/>
      <c r="U25950" s="27"/>
    </row>
    <row r="25952">
      <c r="S25952" s="27"/>
      <c r="T25952" s="27"/>
      <c r="U25952" s="27"/>
    </row>
    <row r="25953">
      <c r="S25953" s="27"/>
      <c r="T25953" s="27"/>
      <c r="U25953" s="27"/>
    </row>
    <row r="25955">
      <c r="S25955" s="27"/>
      <c r="T25955" s="27"/>
      <c r="U25955" s="27"/>
    </row>
    <row r="25956">
      <c r="S25956" s="27"/>
      <c r="T25956" s="27"/>
      <c r="U25956" s="27"/>
    </row>
    <row r="25958">
      <c r="S25958" s="27"/>
      <c r="T25958" s="27"/>
      <c r="U25958" s="27"/>
    </row>
    <row r="25959">
      <c r="S25959" s="27"/>
      <c r="T25959" s="27"/>
      <c r="U25959" s="27"/>
    </row>
    <row r="25961">
      <c r="S25961" s="27"/>
      <c r="T25961" s="27"/>
      <c r="U25961" s="27"/>
    </row>
    <row r="25962">
      <c r="S25962" s="27"/>
      <c r="T25962" s="27"/>
      <c r="U25962" s="27"/>
    </row>
    <row r="25964">
      <c r="T25964" s="27"/>
      <c r="U25964" s="27"/>
    </row>
    <row r="25967">
      <c r="S25967" s="27"/>
      <c r="T25967" s="27"/>
      <c r="U25967" s="27"/>
    </row>
    <row r="25970">
      <c r="S25970" s="27"/>
      <c r="T25970" s="27"/>
      <c r="U25970" s="27"/>
    </row>
    <row r="25971">
      <c r="S25971" s="27"/>
      <c r="T25971" s="27"/>
      <c r="U25971" s="27"/>
    </row>
    <row r="25973">
      <c r="S25973" s="27"/>
      <c r="T25973" s="27"/>
      <c r="U25973" s="27"/>
    </row>
    <row r="25974">
      <c r="S25974" s="27"/>
      <c r="T25974" s="27"/>
      <c r="U25974" s="27"/>
    </row>
    <row r="25976">
      <c r="S25976" s="27"/>
      <c r="T25976" s="27"/>
      <c r="U25976" s="27"/>
    </row>
    <row r="25977">
      <c r="S25977" s="27"/>
      <c r="T25977" s="27"/>
      <c r="U25977" s="27"/>
    </row>
    <row r="25979">
      <c r="S25979" s="26"/>
      <c r="T25979" s="26"/>
      <c r="U25979" s="26"/>
    </row>
    <row r="25982">
      <c r="S25982" s="27"/>
      <c r="T25982" s="27"/>
      <c r="U25982" s="27"/>
    </row>
    <row r="25983">
      <c r="S25983" s="27"/>
      <c r="T25983" s="27"/>
      <c r="U25983" s="27"/>
    </row>
    <row r="25985">
      <c r="S25985" s="27"/>
      <c r="T25985" s="27"/>
      <c r="U25985" s="27"/>
    </row>
    <row r="25986">
      <c r="S25986" s="27"/>
      <c r="T25986" s="27"/>
      <c r="U25986" s="27"/>
    </row>
    <row r="25988">
      <c r="S25988" s="26"/>
      <c r="T25988" s="27"/>
      <c r="U25988" s="26"/>
    </row>
    <row r="25989">
      <c r="T25989" s="27"/>
    </row>
    <row r="25991">
      <c r="S25991" s="27"/>
      <c r="T25991" s="27"/>
      <c r="U25991" s="27"/>
    </row>
    <row r="25994">
      <c r="U25994" s="26"/>
    </row>
    <row r="25997">
      <c r="S25997" s="27"/>
      <c r="T25997" s="27"/>
      <c r="U25997" s="27"/>
    </row>
    <row r="25998">
      <c r="S25998" s="27"/>
      <c r="T25998" s="27"/>
      <c r="U25998" s="27"/>
    </row>
    <row r="26000">
      <c r="S26000" s="27"/>
      <c r="T26000" s="27"/>
      <c r="U26000" s="27"/>
    </row>
    <row r="26001">
      <c r="S26001" s="27"/>
      <c r="T26001" s="27"/>
      <c r="U26001" s="27"/>
    </row>
    <row r="26003">
      <c r="S26003" s="26"/>
      <c r="T26003" s="26"/>
      <c r="U26003" s="26"/>
    </row>
    <row r="26009">
      <c r="S26009" s="27"/>
      <c r="T26009" s="27"/>
      <c r="U26009" s="27"/>
    </row>
    <row r="26012">
      <c r="S26012" s="27"/>
      <c r="T26012" s="27"/>
      <c r="U26012" s="27"/>
    </row>
    <row r="26013">
      <c r="S26013" s="27"/>
      <c r="T26013" s="27"/>
      <c r="U26013" s="27"/>
    </row>
    <row r="26015">
      <c r="S26015" s="27"/>
      <c r="T26015" s="27"/>
      <c r="U26015" s="27"/>
    </row>
    <row r="26016">
      <c r="S26016" s="27"/>
      <c r="T26016" s="27"/>
      <c r="U26016" s="27"/>
    </row>
    <row r="26018">
      <c r="S26018" s="27"/>
      <c r="T26018" s="27"/>
      <c r="U26018" s="27"/>
    </row>
    <row r="26019">
      <c r="S26019" s="27"/>
      <c r="T26019" s="27"/>
      <c r="U26019" s="27"/>
    </row>
    <row r="26021">
      <c r="S26021" s="27"/>
      <c r="T26021" s="27"/>
      <c r="U26021" s="27"/>
    </row>
    <row r="26022">
      <c r="S26022" s="27"/>
      <c r="T26022" s="27"/>
      <c r="U26022" s="27"/>
    </row>
    <row r="26024">
      <c r="S26024" s="27"/>
      <c r="T26024" s="27"/>
      <c r="U26024" s="27"/>
    </row>
    <row r="26025">
      <c r="S26025" s="27"/>
      <c r="T26025" s="27"/>
      <c r="U26025" s="27"/>
    </row>
    <row r="26027">
      <c r="S26027" s="27"/>
      <c r="T26027" s="27"/>
      <c r="U26027" s="27"/>
    </row>
    <row r="26028">
      <c r="S26028" s="27"/>
      <c r="T26028" s="27"/>
      <c r="U26028" s="27"/>
    </row>
    <row r="26030">
      <c r="S26030" s="27"/>
      <c r="T26030" s="27"/>
      <c r="U26030" s="27"/>
    </row>
    <row r="26031">
      <c r="S26031" s="27"/>
      <c r="T26031" s="27"/>
      <c r="U26031" s="27"/>
    </row>
    <row r="26033">
      <c r="S26033" s="27"/>
      <c r="T26033" s="27"/>
      <c r="U26033" s="27"/>
    </row>
    <row r="26034">
      <c r="S26034" s="27"/>
      <c r="T26034" s="27"/>
      <c r="U26034" s="27"/>
    </row>
    <row r="26036">
      <c r="S26036" s="27"/>
      <c r="T26036" s="27"/>
      <c r="U26036" s="27"/>
    </row>
    <row r="26037">
      <c r="S26037" s="27"/>
      <c r="T26037" s="27"/>
      <c r="U26037" s="27"/>
    </row>
    <row r="26039">
      <c r="S26039" s="27"/>
      <c r="T26039" s="27"/>
      <c r="U26039" s="27"/>
    </row>
    <row r="26040">
      <c r="S26040" s="27"/>
      <c r="T26040" s="27"/>
      <c r="U26040" s="27"/>
    </row>
    <row r="26042">
      <c r="S26042" s="27"/>
      <c r="T26042" s="27"/>
      <c r="U26042" s="27"/>
    </row>
    <row r="26043">
      <c r="S26043" s="27"/>
      <c r="T26043" s="27"/>
      <c r="U26043" s="27"/>
    </row>
    <row r="26045">
      <c r="S26045" s="27"/>
      <c r="T26045" s="27"/>
      <c r="U26045" s="27"/>
    </row>
    <row r="26046">
      <c r="S26046" s="27"/>
      <c r="T26046" s="27"/>
      <c r="U26046" s="27"/>
    </row>
    <row r="26048">
      <c r="S26048" s="27"/>
      <c r="T26048" s="27"/>
      <c r="U26048" s="27"/>
    </row>
    <row r="26049">
      <c r="S26049" s="27"/>
      <c r="T26049" s="27"/>
      <c r="U26049" s="27"/>
    </row>
    <row r="26051">
      <c r="S26051" s="27"/>
      <c r="T26051" s="27"/>
      <c r="U26051" s="27"/>
    </row>
    <row r="26052">
      <c r="S26052" s="27"/>
      <c r="T26052" s="27"/>
      <c r="U26052" s="27"/>
    </row>
    <row r="26054">
      <c r="S26054" s="27"/>
      <c r="T26054" s="27"/>
      <c r="U26054" s="27"/>
    </row>
    <row r="26055">
      <c r="S26055" s="27"/>
      <c r="T26055" s="27"/>
      <c r="U26055" s="27"/>
    </row>
    <row r="26057">
      <c r="S26057" s="27"/>
      <c r="T26057" s="27"/>
      <c r="U26057" s="27"/>
    </row>
    <row r="26058">
      <c r="S26058" s="27"/>
      <c r="T26058" s="27"/>
      <c r="U26058" s="27"/>
    </row>
    <row r="26060">
      <c r="S26060" s="27"/>
      <c r="T26060" s="27"/>
      <c r="U26060" s="27"/>
    </row>
    <row r="26061">
      <c r="S26061" s="27"/>
      <c r="T26061" s="27"/>
      <c r="U26061" s="27"/>
    </row>
    <row r="26063">
      <c r="S26063" s="27"/>
      <c r="T26063" s="27"/>
      <c r="U26063" s="27"/>
    </row>
    <row r="26064">
      <c r="S26064" s="27"/>
      <c r="T26064" s="27"/>
      <c r="U26064" s="27"/>
    </row>
    <row r="26066">
      <c r="S26066" s="27"/>
      <c r="T26066" s="27"/>
      <c r="U26066" s="27"/>
    </row>
    <row r="26067">
      <c r="S26067" s="27"/>
      <c r="T26067" s="27"/>
      <c r="U26067" s="27"/>
    </row>
    <row r="26069">
      <c r="S26069" s="27"/>
      <c r="T26069" s="27"/>
      <c r="U26069" s="27"/>
    </row>
    <row r="26070">
      <c r="S26070" s="27"/>
      <c r="T26070" s="27"/>
      <c r="U26070" s="27"/>
    </row>
    <row r="26072">
      <c r="S26072" s="27"/>
      <c r="T26072" s="27"/>
      <c r="U26072" s="27"/>
    </row>
    <row r="26073">
      <c r="S26073" s="27"/>
      <c r="T26073" s="27"/>
      <c r="U26073" s="27"/>
    </row>
    <row r="26075">
      <c r="S26075" s="27"/>
      <c r="T26075" s="27"/>
      <c r="U26075" s="27"/>
    </row>
    <row r="26076">
      <c r="S26076" s="27"/>
      <c r="T26076" s="27"/>
      <c r="U26076" s="27"/>
    </row>
    <row r="26078">
      <c r="S26078" s="27"/>
      <c r="T26078" s="27"/>
      <c r="U26078" s="27"/>
    </row>
    <row r="26079">
      <c r="S26079" s="27"/>
      <c r="T26079" s="27"/>
      <c r="U26079" s="27"/>
    </row>
    <row r="26081">
      <c r="S26081" s="27"/>
      <c r="T26081" s="27"/>
    </row>
    <row r="26082">
      <c r="S26082" s="27"/>
      <c r="T26082" s="27"/>
    </row>
    <row r="26084">
      <c r="S26084" s="27"/>
      <c r="U26084" s="27"/>
    </row>
    <row r="26085">
      <c r="S26085" s="27"/>
      <c r="T26085" s="27"/>
      <c r="U26085" s="27"/>
    </row>
    <row r="26087">
      <c r="S26087" s="27"/>
      <c r="T26087" s="27"/>
      <c r="U26087" s="27"/>
    </row>
    <row r="26090">
      <c r="S26090" s="33"/>
      <c r="T26090" s="33"/>
    </row>
    <row r="26091">
      <c r="S26091" s="27"/>
      <c r="T26091" s="27"/>
      <c r="U26091" s="26"/>
    </row>
    <row r="26093">
      <c r="S26093" s="27"/>
      <c r="T26093" s="27"/>
      <c r="U26093" s="27"/>
    </row>
    <row r="26094">
      <c r="S26094" s="27"/>
      <c r="T26094" s="27"/>
      <c r="U26094" s="27"/>
    </row>
    <row r="26096">
      <c r="S26096" s="27"/>
      <c r="T26096" s="27"/>
      <c r="U26096" s="27"/>
    </row>
    <row r="26097">
      <c r="S26097" s="26"/>
      <c r="T26097" s="26"/>
      <c r="U26097" s="26"/>
    </row>
    <row r="26099">
      <c r="S26099" s="27"/>
    </row>
    <row r="26100">
      <c r="S26100" s="27"/>
      <c r="T26100" s="27"/>
      <c r="U26100" s="27"/>
    </row>
    <row r="26102">
      <c r="S26102" s="27"/>
      <c r="T26102" s="27"/>
      <c r="U26102" s="27"/>
    </row>
    <row r="26103">
      <c r="S26103" s="27"/>
      <c r="T26103" s="27"/>
      <c r="U26103" s="27"/>
    </row>
    <row r="26105">
      <c r="S26105" s="27"/>
      <c r="T26105" s="27"/>
      <c r="U26105" s="27"/>
    </row>
    <row r="26106">
      <c r="S26106" s="27"/>
      <c r="T26106" s="27"/>
      <c r="U26106" s="27"/>
    </row>
    <row r="26108">
      <c r="S26108" s="26"/>
    </row>
    <row r="26111">
      <c r="S26111" s="26"/>
      <c r="T26111" s="26"/>
      <c r="U26111" s="26"/>
    </row>
    <row r="26114">
      <c r="T26114" s="27"/>
    </row>
    <row r="26116">
      <c r="S26116" s="37"/>
    </row>
    <row r="26118">
      <c r="S26118" s="27"/>
      <c r="T26118" s="27"/>
      <c r="U26118" s="27"/>
    </row>
    <row r="26121">
      <c r="S26121" s="27"/>
      <c r="T26121" s="27"/>
      <c r="U26121" s="27"/>
    </row>
    <row r="26124">
      <c r="S26124" s="27"/>
      <c r="T26124" s="27"/>
      <c r="U26124" s="27"/>
    </row>
    <row r="26125">
      <c r="S26125" s="27"/>
      <c r="T26125" s="27"/>
      <c r="U26125" s="27"/>
    </row>
    <row r="26127">
      <c r="S26127" s="27"/>
      <c r="T26127" s="27"/>
      <c r="U26127" s="27"/>
    </row>
    <row r="26128">
      <c r="S26128" s="27"/>
      <c r="T26128" s="27"/>
      <c r="U26128" s="27"/>
    </row>
    <row r="26130">
      <c r="S26130" s="27"/>
      <c r="T26130" s="27"/>
      <c r="U26130" s="27"/>
    </row>
    <row r="26133">
      <c r="S26133" s="27"/>
      <c r="T26133" s="27"/>
      <c r="U26133" s="27"/>
    </row>
    <row r="26134">
      <c r="S26134" s="27"/>
      <c r="T26134" s="27"/>
      <c r="U26134" s="27"/>
    </row>
    <row r="26136">
      <c r="S26136" s="27"/>
      <c r="T26136" s="27"/>
      <c r="U26136" s="27"/>
    </row>
    <row r="26137">
      <c r="S26137" s="27"/>
      <c r="T26137" s="27"/>
      <c r="U26137" s="27"/>
    </row>
    <row r="26142">
      <c r="S26142" s="27"/>
      <c r="T26142" s="27"/>
      <c r="U26142" s="27"/>
    </row>
    <row r="26143">
      <c r="S26143" s="27"/>
      <c r="T26143" s="27"/>
      <c r="U26143" s="27"/>
    </row>
    <row r="26145">
      <c r="S26145" s="33"/>
      <c r="T26145" s="27"/>
      <c r="U26145" s="27"/>
    </row>
    <row r="26146">
      <c r="T26146" s="27"/>
      <c r="U26146" s="27"/>
    </row>
    <row r="26148">
      <c r="S26148" s="27"/>
      <c r="T26148" s="27"/>
      <c r="U26148" s="27"/>
    </row>
    <row r="26149">
      <c r="S26149" s="27"/>
      <c r="T26149" s="27"/>
      <c r="U26149" s="27"/>
    </row>
    <row r="26151">
      <c r="S26151" s="33"/>
      <c r="T26151" s="33"/>
      <c r="U26151" s="33"/>
    </row>
    <row r="26154">
      <c r="S26154" s="27"/>
      <c r="T26154" s="27"/>
      <c r="U26154" s="27"/>
    </row>
    <row r="26155">
      <c r="S26155" s="27"/>
      <c r="T26155" s="27"/>
      <c r="U26155" s="27"/>
    </row>
    <row r="26157">
      <c r="S26157" s="27"/>
      <c r="T26157" s="27"/>
      <c r="U26157" s="27"/>
    </row>
    <row r="26160">
      <c r="S26160" s="27"/>
      <c r="T26160" s="27"/>
      <c r="U26160" s="33"/>
    </row>
    <row r="26161">
      <c r="S26161" s="33"/>
      <c r="T26161" s="33"/>
      <c r="U26161" s="27"/>
    </row>
    <row r="26163">
      <c r="T26163" s="26"/>
      <c r="U26163" s="26"/>
    </row>
    <row r="26164">
      <c r="S26164" s="26"/>
    </row>
    <row r="26166">
      <c r="S26166" s="27"/>
      <c r="T26166" s="27"/>
      <c r="U26166" s="27"/>
    </row>
    <row r="26167">
      <c r="S26167" s="27"/>
      <c r="T26167" s="27"/>
      <c r="U26167" s="27"/>
    </row>
    <row r="26169">
      <c r="S26169" s="27"/>
      <c r="T26169" s="27"/>
      <c r="U26169" s="27"/>
    </row>
    <row r="26170">
      <c r="S26170" s="27"/>
      <c r="T26170" s="27"/>
      <c r="U26170" s="27"/>
    </row>
    <row r="26173">
      <c r="S26173" s="27"/>
      <c r="T26173" s="27"/>
      <c r="U26173" s="27"/>
    </row>
    <row r="26178">
      <c r="S26178" s="26"/>
    </row>
    <row r="26181">
      <c r="S26181" s="27"/>
      <c r="T26181" s="33"/>
      <c r="U26181" s="33"/>
    </row>
    <row r="26182">
      <c r="S26182" s="27"/>
      <c r="T26182" s="27"/>
      <c r="U26182" s="27"/>
    </row>
    <row r="26184">
      <c r="S26184" s="27"/>
      <c r="T26184" s="27"/>
      <c r="U26184" s="27"/>
    </row>
    <row r="26185">
      <c r="S26185" s="27"/>
      <c r="T26185" s="27"/>
      <c r="U26185" s="27"/>
    </row>
    <row r="26187">
      <c r="S26187" s="27"/>
      <c r="T26187" s="27"/>
      <c r="U26187" s="27"/>
    </row>
    <row r="26188">
      <c r="S26188" s="26"/>
      <c r="U26188" s="26"/>
    </row>
    <row r="26190">
      <c r="S26190" s="27"/>
      <c r="U26190" s="27"/>
    </row>
    <row r="26191">
      <c r="T26191" s="27"/>
      <c r="U26191" s="27"/>
    </row>
    <row r="26193">
      <c r="S26193" s="27"/>
    </row>
    <row r="26194">
      <c r="S26194" s="27"/>
    </row>
    <row r="26196">
      <c r="S26196" s="27"/>
      <c r="T26196" s="27"/>
      <c r="U26196" s="27"/>
    </row>
    <row r="26197">
      <c r="S26197" s="27"/>
      <c r="T26197" s="27"/>
      <c r="U26197" s="27"/>
    </row>
    <row r="26199">
      <c r="S26199" s="26"/>
      <c r="T26199" s="27"/>
      <c r="U26199" s="27"/>
    </row>
    <row r="26200">
      <c r="T26200" s="26"/>
      <c r="U26200" s="26"/>
    </row>
    <row r="26202">
      <c r="S26202" s="27"/>
      <c r="T26202" s="27"/>
      <c r="U26202" s="27"/>
    </row>
    <row r="26203">
      <c r="S26203" s="27"/>
      <c r="T26203" s="27"/>
      <c r="U26203" s="27"/>
    </row>
    <row r="26208">
      <c r="S26208" s="27"/>
      <c r="T26208" s="27"/>
      <c r="U26208" s="27"/>
    </row>
    <row r="26211">
      <c r="S26211" s="27"/>
      <c r="T26211" s="27"/>
      <c r="U26211" s="27"/>
    </row>
    <row r="26212">
      <c r="S26212" s="27"/>
      <c r="T26212" s="27"/>
      <c r="U26212" s="27"/>
    </row>
    <row r="26214">
      <c r="S26214" s="27"/>
      <c r="T26214" s="27"/>
      <c r="U26214" s="27"/>
    </row>
    <row r="26215">
      <c r="S26215" s="27"/>
      <c r="T26215" s="27"/>
      <c r="U26215" s="27"/>
    </row>
    <row r="26217">
      <c r="S26217" s="27"/>
      <c r="T26217" s="27"/>
      <c r="U26217" s="27"/>
    </row>
    <row r="26218">
      <c r="S26218" s="27"/>
      <c r="T26218" s="27"/>
      <c r="U26218" s="27"/>
    </row>
    <row r="26220">
      <c r="S26220" s="27"/>
      <c r="T26220" s="27"/>
    </row>
    <row r="26221">
      <c r="S26221" s="26"/>
      <c r="U26221" s="26"/>
    </row>
    <row r="26224">
      <c r="S26224" s="27"/>
      <c r="T26224" s="27"/>
      <c r="U26224" s="27"/>
    </row>
    <row r="26225">
      <c r="S26225" s="27"/>
      <c r="T26225" s="27"/>
      <c r="U26225" s="27"/>
    </row>
    <row r="26227">
      <c r="S26227" s="27"/>
      <c r="T26227" s="27"/>
      <c r="U26227" s="27"/>
    </row>
    <row r="26228">
      <c r="S26228" s="27"/>
      <c r="T26228" s="27"/>
      <c r="U26228" s="27"/>
    </row>
    <row r="26230">
      <c r="S26230" s="27"/>
      <c r="T26230" s="27"/>
      <c r="U26230" s="27"/>
    </row>
    <row r="26231">
      <c r="S26231" s="27"/>
      <c r="T26231" s="27"/>
      <c r="U26231" s="27"/>
    </row>
    <row r="26233">
      <c r="S26233" s="27"/>
      <c r="T26233" s="27"/>
      <c r="U26233" s="27"/>
    </row>
    <row r="26234">
      <c r="S26234" s="27"/>
      <c r="T26234" s="27"/>
      <c r="U26234" s="27"/>
    </row>
    <row r="26236">
      <c r="S26236" s="27"/>
      <c r="T26236" s="27"/>
      <c r="U26236" s="27"/>
    </row>
    <row r="26237">
      <c r="S26237" s="27"/>
      <c r="T26237" s="27"/>
      <c r="U26237" s="27"/>
    </row>
    <row r="26239">
      <c r="S26239" s="27"/>
      <c r="T26239" s="27"/>
      <c r="U26239" s="27"/>
    </row>
    <row r="26240">
      <c r="S26240" s="27"/>
      <c r="T26240" s="27"/>
      <c r="U26240" s="27"/>
    </row>
    <row r="26242">
      <c r="S26242" s="27"/>
      <c r="T26242" s="27"/>
      <c r="U26242" s="27"/>
    </row>
    <row r="26243">
      <c r="S26243" s="27"/>
      <c r="T26243" s="27"/>
      <c r="U26243" s="27"/>
    </row>
    <row r="26245">
      <c r="S26245" s="27"/>
      <c r="T26245" s="27"/>
      <c r="U26245" s="27"/>
    </row>
    <row r="26246">
      <c r="S26246" s="27"/>
      <c r="T26246" s="27"/>
      <c r="U26246" s="27"/>
    </row>
    <row r="26248">
      <c r="S26248" s="27"/>
      <c r="T26248" s="27"/>
      <c r="U26248" s="27"/>
    </row>
    <row r="26249">
      <c r="S26249" s="27"/>
      <c r="T26249" s="27"/>
      <c r="U26249" s="27"/>
    </row>
    <row r="26251">
      <c r="S26251" s="27"/>
      <c r="T26251" s="27"/>
      <c r="U26251" s="27"/>
    </row>
    <row r="26252">
      <c r="S26252" s="27"/>
      <c r="T26252" s="27"/>
      <c r="U26252" s="27"/>
    </row>
    <row r="26254">
      <c r="S26254" s="27"/>
      <c r="T26254" s="27"/>
      <c r="U26254" s="27"/>
    </row>
    <row r="26255">
      <c r="S26255" s="27"/>
      <c r="T26255" s="27"/>
      <c r="U26255" s="27"/>
    </row>
    <row r="26257">
      <c r="S26257" s="27"/>
      <c r="T26257" s="27"/>
      <c r="U26257" s="27"/>
    </row>
    <row r="26258">
      <c r="S26258" s="27"/>
      <c r="T26258" s="27"/>
      <c r="U26258" s="27"/>
    </row>
    <row r="26260">
      <c r="S26260" s="27"/>
      <c r="T26260" s="27"/>
      <c r="U26260" s="27"/>
    </row>
    <row r="26261">
      <c r="S26261" s="27"/>
      <c r="T26261" s="27"/>
      <c r="U26261" s="27"/>
    </row>
    <row r="26263">
      <c r="S26263" s="27"/>
      <c r="T26263" s="27"/>
      <c r="U26263" s="27"/>
    </row>
    <row r="26264">
      <c r="S26264" s="27"/>
      <c r="T26264" s="27"/>
      <c r="U26264" s="27"/>
    </row>
    <row r="26266">
      <c r="S26266" s="27"/>
      <c r="T26266" s="27"/>
      <c r="U26266" s="27"/>
    </row>
    <row r="26267">
      <c r="S26267" s="27"/>
      <c r="T26267" s="27"/>
      <c r="U26267" s="27"/>
    </row>
    <row r="26269">
      <c r="S26269" s="27"/>
      <c r="T26269" s="27"/>
      <c r="U26269" s="27"/>
    </row>
    <row r="26270">
      <c r="S26270" s="27"/>
      <c r="T26270" s="27"/>
      <c r="U26270" s="27"/>
    </row>
    <row r="26272">
      <c r="S26272" s="27"/>
      <c r="T26272" s="27"/>
      <c r="U26272" s="27"/>
    </row>
    <row r="26273">
      <c r="S26273" s="27"/>
      <c r="T26273" s="27"/>
      <c r="U26273" s="27"/>
    </row>
    <row r="26275">
      <c r="S26275" s="27"/>
      <c r="T26275" s="27"/>
      <c r="U26275" s="27"/>
    </row>
    <row r="26276">
      <c r="S26276" s="27"/>
      <c r="T26276" s="27"/>
      <c r="U26276" s="27"/>
    </row>
    <row r="26278">
      <c r="S26278" s="27"/>
      <c r="T26278" s="27"/>
      <c r="U26278" s="27"/>
    </row>
    <row r="26279">
      <c r="S26279" s="27"/>
      <c r="T26279" s="27"/>
      <c r="U26279" s="27"/>
    </row>
    <row r="26281">
      <c r="S26281" s="27"/>
      <c r="T26281" s="27"/>
      <c r="U26281" s="27"/>
    </row>
    <row r="26282">
      <c r="S26282" s="27"/>
      <c r="T26282" s="27"/>
      <c r="U26282" s="27"/>
    </row>
    <row r="26284">
      <c r="S26284" s="27"/>
      <c r="T26284" s="27"/>
      <c r="U26284" s="27"/>
    </row>
    <row r="26285">
      <c r="S26285" s="27"/>
      <c r="T26285" s="27"/>
      <c r="U26285" s="27"/>
    </row>
    <row r="26287">
      <c r="S26287" s="27"/>
      <c r="T26287" s="27"/>
      <c r="U26287" s="27"/>
    </row>
    <row r="26288">
      <c r="S26288" s="27"/>
      <c r="T26288" s="27"/>
      <c r="U26288" s="27"/>
    </row>
    <row r="26290">
      <c r="S26290" s="27"/>
      <c r="T26290" s="27"/>
      <c r="U26290" s="27"/>
    </row>
    <row r="26291">
      <c r="S26291" s="27"/>
      <c r="T26291" s="27"/>
      <c r="U26291" s="27"/>
    </row>
    <row r="26293">
      <c r="S26293" s="27"/>
      <c r="T26293" s="27"/>
      <c r="U26293" s="27"/>
    </row>
    <row r="26294">
      <c r="S26294" s="27"/>
      <c r="T26294" s="27"/>
      <c r="U26294" s="27"/>
    </row>
    <row r="26296">
      <c r="S26296" s="27"/>
      <c r="T26296" s="27"/>
      <c r="U26296" s="27"/>
    </row>
    <row r="26297">
      <c r="S26297" s="27"/>
      <c r="T26297" s="27"/>
      <c r="U26297" s="27"/>
    </row>
    <row r="26299">
      <c r="S26299" s="27"/>
      <c r="T26299" s="27"/>
      <c r="U26299" s="27"/>
    </row>
    <row r="26300">
      <c r="S26300" s="27"/>
      <c r="T26300" s="27"/>
      <c r="U26300" s="27"/>
    </row>
    <row r="26302">
      <c r="S26302" s="27"/>
      <c r="T26302" s="27"/>
      <c r="U26302" s="27"/>
    </row>
    <row r="26303">
      <c r="S26303" s="27"/>
      <c r="T26303" s="27"/>
      <c r="U26303" s="27"/>
    </row>
    <row r="26305">
      <c r="S26305" s="27"/>
      <c r="T26305" s="27"/>
      <c r="U26305" s="27"/>
    </row>
    <row r="26306">
      <c r="S26306" s="27"/>
      <c r="T26306" s="27"/>
      <c r="U26306" s="27"/>
    </row>
    <row r="26308">
      <c r="S26308" s="27"/>
      <c r="T26308" s="27"/>
      <c r="U26308" s="27"/>
    </row>
    <row r="26309">
      <c r="S26309" s="27"/>
      <c r="T26309" s="27"/>
      <c r="U26309" s="27"/>
    </row>
    <row r="26311">
      <c r="S26311" s="27"/>
      <c r="T26311" s="27"/>
      <c r="U26311" s="27"/>
    </row>
    <row r="26312">
      <c r="S26312" s="27"/>
      <c r="T26312" s="27"/>
      <c r="U26312" s="27"/>
    </row>
    <row r="26314">
      <c r="S26314" s="27"/>
      <c r="T26314" s="27"/>
      <c r="U26314" s="27"/>
    </row>
    <row r="26315">
      <c r="S26315" s="27"/>
      <c r="T26315" s="27"/>
      <c r="U26315" s="27"/>
    </row>
    <row r="26317">
      <c r="S26317" s="27"/>
      <c r="T26317" s="27"/>
      <c r="U26317" s="27"/>
    </row>
    <row r="26319">
      <c r="S26319" s="27"/>
      <c r="T26319" s="27"/>
    </row>
    <row r="26320">
      <c r="S26320" s="27"/>
      <c r="T26320" s="27"/>
      <c r="U26320" s="27"/>
    </row>
    <row r="26322">
      <c r="S26322" s="27"/>
      <c r="T26322" s="27"/>
      <c r="U26322" s="27"/>
    </row>
    <row r="26323">
      <c r="S26323" s="27"/>
      <c r="T26323" s="27"/>
      <c r="U26323" s="27"/>
    </row>
    <row r="26325">
      <c r="S26325" s="27"/>
      <c r="T26325" s="27"/>
      <c r="U26325" s="27"/>
    </row>
    <row r="26326">
      <c r="S26326" s="27"/>
      <c r="T26326" s="27"/>
      <c r="U26326" s="27"/>
    </row>
    <row r="26328">
      <c r="S26328" s="27"/>
      <c r="T26328" s="27"/>
      <c r="U26328" s="27"/>
    </row>
    <row r="26329">
      <c r="S26329" s="27"/>
      <c r="T26329" s="27"/>
      <c r="U26329" s="27"/>
    </row>
    <row r="26331">
      <c r="S26331" s="27"/>
      <c r="T26331" s="27"/>
      <c r="U26331" s="27"/>
    </row>
    <row r="26332">
      <c r="S26332" s="27"/>
      <c r="T26332" s="27"/>
      <c r="U26332" s="27"/>
    </row>
    <row r="26334">
      <c r="S26334" s="27"/>
      <c r="T26334" s="27"/>
      <c r="U26334" s="27"/>
    </row>
    <row r="26335">
      <c r="S26335" s="27"/>
      <c r="T26335" s="27"/>
      <c r="U26335" s="27"/>
    </row>
    <row r="26337">
      <c r="S26337" s="27"/>
      <c r="T26337" s="27"/>
      <c r="U26337" s="27"/>
    </row>
    <row r="26338">
      <c r="S26338" s="27"/>
      <c r="T26338" s="27"/>
      <c r="U26338" s="27"/>
    </row>
    <row r="26340">
      <c r="S26340" s="27"/>
      <c r="T26340" s="27"/>
      <c r="U26340" s="27"/>
    </row>
    <row r="26342">
      <c r="S26342" s="27"/>
      <c r="T26342" s="27"/>
      <c r="U26342" s="27"/>
    </row>
    <row r="26344">
      <c r="S26344" s="27"/>
      <c r="T26344" s="27"/>
      <c r="U26344" s="27"/>
    </row>
    <row r="26346">
      <c r="S26346" s="27"/>
      <c r="T26346" s="27"/>
      <c r="U26346" s="27"/>
    </row>
    <row r="26348">
      <c r="S26348" s="27"/>
      <c r="T26348" s="27"/>
      <c r="U26348" s="27"/>
    </row>
    <row r="26349">
      <c r="S26349" s="27"/>
      <c r="T26349" s="27"/>
      <c r="U26349" s="27"/>
    </row>
    <row r="26351">
      <c r="S26351" s="27"/>
      <c r="T26351" s="27"/>
      <c r="U26351" s="27"/>
    </row>
    <row r="26352">
      <c r="S26352" s="27"/>
      <c r="T26352" s="27"/>
      <c r="U26352" s="27"/>
    </row>
    <row r="26354">
      <c r="S26354" s="27"/>
      <c r="T26354" s="27"/>
      <c r="U26354" s="27"/>
    </row>
    <row r="26355">
      <c r="S26355" s="27"/>
      <c r="T26355" s="27"/>
      <c r="U26355" s="27"/>
    </row>
    <row r="26357">
      <c r="S26357" s="27"/>
      <c r="T26357" s="27"/>
      <c r="U26357" s="27"/>
    </row>
    <row r="26358">
      <c r="S26358" s="27"/>
      <c r="T26358" s="27"/>
      <c r="U26358" s="27"/>
    </row>
    <row r="26360">
      <c r="S26360" s="27"/>
      <c r="T26360" s="27"/>
      <c r="U26360" s="27"/>
    </row>
    <row r="26361">
      <c r="S26361" s="27"/>
      <c r="T26361" s="27"/>
      <c r="U26361" s="27"/>
    </row>
    <row r="26364">
      <c r="S26364" s="27"/>
      <c r="T26364" s="27"/>
      <c r="U26364" s="27"/>
    </row>
    <row r="26365">
      <c r="S26365" s="27"/>
    </row>
    <row r="26366">
      <c r="T26366" s="27"/>
      <c r="U26366" s="27"/>
    </row>
    <row r="26367">
      <c r="T26367" s="27"/>
      <c r="U26367" s="27"/>
    </row>
    <row r="26368">
      <c r="S26368" s="27"/>
      <c r="T26368" s="27"/>
      <c r="U26368" s="27"/>
    </row>
    <row r="26369">
      <c r="S26369" s="27"/>
      <c r="T26369" s="27"/>
      <c r="U26369" s="27"/>
    </row>
    <row r="26370">
      <c r="S26370" s="27"/>
      <c r="T26370" s="27"/>
      <c r="U26370" s="27"/>
    </row>
    <row r="26371">
      <c r="S26371" s="27"/>
      <c r="T26371" s="27"/>
      <c r="U26371" s="27"/>
    </row>
    <row r="26372">
      <c r="S26372" s="27"/>
      <c r="T26372" s="27"/>
      <c r="U26372" s="27"/>
    </row>
    <row r="26373">
      <c r="S26373" s="27"/>
      <c r="T26373" s="27"/>
      <c r="U26373" s="27"/>
    </row>
    <row r="26374">
      <c r="S26374" s="27"/>
      <c r="T26374" s="27"/>
      <c r="U26374" s="27"/>
    </row>
    <row r="26375">
      <c r="S26375" s="27"/>
      <c r="T26375" s="27"/>
      <c r="U26375" s="27"/>
    </row>
    <row r="26376">
      <c r="S26376" s="33"/>
      <c r="T26376" s="33"/>
      <c r="U26376" s="27"/>
    </row>
    <row r="26378">
      <c r="S26378" s="27"/>
      <c r="T26378" s="27"/>
      <c r="U26378" s="27"/>
    </row>
    <row r="26379">
      <c r="S26379" s="27"/>
      <c r="T26379" s="27"/>
      <c r="U26379" s="27"/>
    </row>
    <row r="26380">
      <c r="S26380" s="27"/>
      <c r="T26380" s="27"/>
      <c r="U26380" s="27"/>
    </row>
    <row r="26381">
      <c r="S26381" s="27"/>
      <c r="T26381" s="27"/>
      <c r="U26381" s="27"/>
    </row>
    <row r="26382">
      <c r="S26382" s="33"/>
      <c r="T26382" s="27"/>
      <c r="U26382" s="33"/>
    </row>
    <row r="26383">
      <c r="S26383" s="27"/>
      <c r="T26383" s="27"/>
      <c r="U26383" s="27"/>
    </row>
    <row r="26386">
      <c r="S26386" s="27"/>
      <c r="T26386" s="27"/>
      <c r="U26386" s="27"/>
    </row>
    <row r="26387">
      <c r="S26387" s="27"/>
      <c r="T26387" s="27"/>
      <c r="U26387" s="27"/>
    </row>
    <row r="26388">
      <c r="S26388" s="27"/>
      <c r="T26388" s="27"/>
      <c r="U26388" s="27"/>
    </row>
    <row r="26389">
      <c r="S26389" s="27"/>
      <c r="T26389" s="27"/>
      <c r="U26389" s="27"/>
    </row>
    <row r="26390">
      <c r="S26390" s="27"/>
      <c r="T26390" s="27"/>
      <c r="U26390" s="27"/>
    </row>
    <row r="26391">
      <c r="S26391" s="27"/>
      <c r="T26391" s="27"/>
      <c r="U26391" s="27"/>
    </row>
    <row r="26394">
      <c r="S26394" s="27"/>
      <c r="T26394" s="27"/>
      <c r="U26394" s="27"/>
    </row>
    <row r="26396">
      <c r="S26396" s="27"/>
      <c r="T26396" s="27"/>
      <c r="U26396" s="27"/>
    </row>
    <row r="26397">
      <c r="T26397" s="26"/>
      <c r="U26397" s="26"/>
    </row>
    <row r="26398">
      <c r="S26398" s="27"/>
      <c r="T26398" s="27"/>
      <c r="U26398" s="27"/>
    </row>
    <row r="26399">
      <c r="S26399" s="27"/>
      <c r="T26399" s="27"/>
      <c r="U26399" s="27"/>
    </row>
    <row r="26400">
      <c r="S26400" s="27"/>
      <c r="T26400" s="27"/>
      <c r="U26400" s="27"/>
    </row>
    <row r="26401">
      <c r="S26401" s="27"/>
      <c r="T26401" s="27"/>
      <c r="U26401" s="27"/>
    </row>
    <row r="26402">
      <c r="S26402" s="27"/>
      <c r="T26402" s="27"/>
      <c r="U26402" s="27"/>
    </row>
    <row r="26403">
      <c r="S26403" s="27"/>
      <c r="T26403" s="27"/>
      <c r="U26403" s="27"/>
    </row>
    <row r="26404">
      <c r="S26404" s="27"/>
      <c r="T26404" s="27"/>
      <c r="U26404" s="27"/>
    </row>
    <row r="26405">
      <c r="S26405" s="27"/>
      <c r="T26405" s="27"/>
      <c r="U26405" s="27"/>
    </row>
    <row r="26406">
      <c r="S26406" s="27"/>
      <c r="T26406" s="27"/>
      <c r="U26406" s="27"/>
    </row>
    <row r="26407">
      <c r="S26407" s="27"/>
      <c r="T26407" s="27"/>
      <c r="U26407" s="27"/>
    </row>
    <row r="26408">
      <c r="S26408" s="27"/>
      <c r="T26408" s="27"/>
      <c r="U26408" s="27"/>
    </row>
    <row r="26409">
      <c r="S26409" s="27"/>
      <c r="T26409" s="27"/>
      <c r="U26409" s="27"/>
    </row>
    <row r="26410">
      <c r="S26410" s="27"/>
      <c r="T26410" s="27"/>
      <c r="U26410" s="27"/>
    </row>
    <row r="26411">
      <c r="S26411" s="27"/>
      <c r="T26411" s="27"/>
      <c r="U26411" s="27"/>
    </row>
    <row r="26412">
      <c r="S26412" s="27"/>
      <c r="T26412" s="27"/>
      <c r="U26412" s="27"/>
    </row>
    <row r="26413">
      <c r="S26413" s="27"/>
      <c r="T26413" s="27"/>
      <c r="U26413" s="27"/>
    </row>
    <row r="26414">
      <c r="S26414" s="27"/>
      <c r="T26414" s="27"/>
      <c r="U26414" s="27"/>
    </row>
    <row r="26415">
      <c r="S26415" s="27"/>
      <c r="T26415" s="27"/>
      <c r="U26415" s="27"/>
    </row>
    <row r="26416">
      <c r="S26416" s="27"/>
      <c r="T26416" s="27"/>
      <c r="U26416" s="27"/>
    </row>
    <row r="26417">
      <c r="S26417" s="27"/>
      <c r="T26417" s="27"/>
      <c r="U26417" s="27"/>
    </row>
    <row r="26418">
      <c r="S26418" s="27"/>
      <c r="T26418" s="27"/>
      <c r="U26418" s="27"/>
    </row>
    <row r="26419">
      <c r="S26419" s="27"/>
      <c r="T26419" s="27"/>
      <c r="U26419" s="27"/>
    </row>
    <row r="26420">
      <c r="S26420" s="27"/>
      <c r="T26420" s="27"/>
      <c r="U26420" s="27"/>
    </row>
    <row r="26421">
      <c r="S26421" s="27"/>
      <c r="T26421" s="27"/>
      <c r="U26421" s="27"/>
    </row>
    <row r="26422">
      <c r="S26422" s="27"/>
      <c r="T26422" s="27"/>
      <c r="U26422" s="27"/>
    </row>
    <row r="26423">
      <c r="S26423" s="27"/>
      <c r="T26423" s="27"/>
      <c r="U26423" s="27"/>
    </row>
    <row r="26424">
      <c r="S26424" s="27"/>
      <c r="T26424" s="27"/>
      <c r="U26424" s="27"/>
    </row>
    <row r="26425">
      <c r="S26425" s="27"/>
      <c r="T26425" s="27"/>
      <c r="U26425" s="27"/>
    </row>
    <row r="26426">
      <c r="S26426" s="27"/>
      <c r="T26426" s="27"/>
      <c r="U26426" s="27"/>
    </row>
    <row r="26427">
      <c r="S26427" s="27"/>
      <c r="T26427" s="27"/>
      <c r="U26427" s="27"/>
    </row>
    <row r="26428">
      <c r="S26428" s="27"/>
      <c r="T26428" s="27"/>
      <c r="U26428" s="27"/>
    </row>
    <row r="26429">
      <c r="S26429" s="27"/>
      <c r="T26429" s="27"/>
      <c r="U26429" s="27"/>
    </row>
    <row r="26430">
      <c r="S26430" s="27"/>
      <c r="T26430" s="27"/>
      <c r="U26430" s="27"/>
    </row>
    <row r="26431">
      <c r="S26431" s="27"/>
      <c r="T26431" s="27"/>
      <c r="U26431" s="27"/>
    </row>
    <row r="26432">
      <c r="S26432" s="27"/>
      <c r="T26432" s="27"/>
      <c r="U26432" s="27"/>
    </row>
    <row r="26433">
      <c r="S26433" s="27"/>
      <c r="T26433" s="27"/>
      <c r="U26433" s="27"/>
    </row>
    <row r="26434">
      <c r="S26434" s="27"/>
      <c r="T26434" s="27"/>
      <c r="U26434" s="27"/>
    </row>
    <row r="26435">
      <c r="S26435" s="27"/>
      <c r="T26435" s="27"/>
      <c r="U26435" s="27"/>
    </row>
    <row r="26436">
      <c r="S26436" s="27"/>
      <c r="T26436" s="27"/>
      <c r="U26436" s="27"/>
    </row>
    <row r="26437">
      <c r="S26437" s="27"/>
      <c r="T26437" s="27"/>
      <c r="U26437" s="27"/>
    </row>
    <row r="26438">
      <c r="S26438" s="27"/>
      <c r="T26438" s="27"/>
      <c r="U26438" s="27"/>
    </row>
    <row r="26439">
      <c r="S26439" s="27"/>
      <c r="T26439" s="27"/>
      <c r="U26439" s="27"/>
    </row>
    <row r="26440">
      <c r="S26440" s="27"/>
      <c r="T26440" s="27"/>
      <c r="U26440" s="27"/>
    </row>
    <row r="26441">
      <c r="S26441" s="27"/>
      <c r="T26441" s="27"/>
      <c r="U26441" s="27"/>
    </row>
    <row r="26442">
      <c r="S26442" s="27"/>
      <c r="T26442" s="27"/>
      <c r="U26442" s="27"/>
    </row>
    <row r="26443">
      <c r="S26443" s="27"/>
      <c r="T26443" s="27"/>
      <c r="U26443" s="27"/>
    </row>
    <row r="26444">
      <c r="S26444" s="27"/>
      <c r="T26444" s="27"/>
      <c r="U26444" s="27"/>
    </row>
    <row r="26445">
      <c r="S26445" s="27"/>
      <c r="T26445" s="27"/>
      <c r="U26445" s="27"/>
    </row>
    <row r="26448">
      <c r="S26448" s="27"/>
      <c r="T26448" s="27"/>
      <c r="U26448" s="27"/>
    </row>
    <row r="26449">
      <c r="S26449" s="27"/>
      <c r="T26449" s="27"/>
      <c r="U26449" s="27"/>
    </row>
    <row r="26450">
      <c r="S26450" s="27"/>
      <c r="T26450" s="27"/>
      <c r="U26450" s="27"/>
    </row>
    <row r="26451">
      <c r="S26451" s="27"/>
      <c r="T26451" s="27"/>
      <c r="U26451" s="27"/>
    </row>
    <row r="26452">
      <c r="S26452" s="33"/>
      <c r="T26452" s="27"/>
      <c r="U26452" s="33"/>
    </row>
    <row r="26453">
      <c r="S26453" s="27"/>
      <c r="T26453" s="27"/>
      <c r="U26453" s="27"/>
    </row>
    <row r="26454">
      <c r="S26454" s="27"/>
      <c r="T26454" s="27"/>
      <c r="U26454" s="27"/>
    </row>
    <row r="26455">
      <c r="S26455" s="27"/>
      <c r="T26455" s="27"/>
      <c r="U26455" s="27"/>
    </row>
    <row r="26456">
      <c r="S26456" s="27"/>
      <c r="T26456" s="27"/>
      <c r="U26456" s="27"/>
    </row>
    <row r="26457">
      <c r="S26457" s="27"/>
      <c r="T26457" s="27"/>
      <c r="U26457" s="27"/>
    </row>
    <row r="26458">
      <c r="S26458" s="27"/>
      <c r="T26458" s="27"/>
      <c r="U26458" s="27"/>
    </row>
    <row r="26459">
      <c r="S26459" s="27"/>
      <c r="T26459" s="27"/>
      <c r="U26459" s="27"/>
    </row>
    <row r="26460">
      <c r="S26460" s="27"/>
      <c r="T26460" s="27"/>
      <c r="U26460" s="27"/>
    </row>
    <row r="26461">
      <c r="S26461" s="27"/>
      <c r="T26461" s="27"/>
      <c r="U26461" s="27"/>
    </row>
    <row r="26462">
      <c r="S26462" s="27"/>
      <c r="T26462" s="27"/>
      <c r="U26462" s="27"/>
    </row>
    <row r="26463">
      <c r="S26463" s="27"/>
      <c r="T26463" s="27"/>
      <c r="U26463" s="27"/>
    </row>
    <row r="26464">
      <c r="S26464" s="27"/>
      <c r="T26464" s="27"/>
    </row>
    <row r="26466">
      <c r="S26466" s="26"/>
      <c r="T26466" s="27"/>
      <c r="U26466" s="26"/>
    </row>
    <row r="26467">
      <c r="T26467" s="26"/>
    </row>
    <row r="26468">
      <c r="U26468" s="27"/>
    </row>
    <row r="26469">
      <c r="S26469" s="27"/>
      <c r="T26469" s="27"/>
      <c r="U26469" s="27"/>
    </row>
    <row r="26470">
      <c r="T26470" s="26"/>
      <c r="U26470" s="26"/>
    </row>
    <row r="26471">
      <c r="S26471" s="26"/>
    </row>
    <row r="26472">
      <c r="S26472" s="27"/>
      <c r="T26472" s="27"/>
      <c r="U26472" s="27"/>
    </row>
    <row r="26473">
      <c r="S26473" s="35"/>
      <c r="T26473" s="35"/>
    </row>
    <row r="26474">
      <c r="S26474" s="27"/>
      <c r="T26474" s="27"/>
      <c r="U26474" s="27"/>
    </row>
    <row r="26475">
      <c r="S26475" s="27"/>
      <c r="T26475" s="27"/>
      <c r="U26475" s="27"/>
    </row>
    <row r="26476">
      <c r="S26476" s="27"/>
      <c r="T26476" s="27"/>
      <c r="U26476" s="27"/>
    </row>
    <row r="26477">
      <c r="S26477" s="27"/>
      <c r="T26477" s="27"/>
      <c r="U26477" s="27"/>
    </row>
    <row r="26478">
      <c r="S26478" s="27"/>
      <c r="T26478" s="27"/>
      <c r="U26478" s="27"/>
    </row>
    <row r="26479">
      <c r="S26479" s="27"/>
      <c r="T26479" s="27"/>
      <c r="U26479" s="27"/>
    </row>
    <row r="26480">
      <c r="S26480" s="27"/>
      <c r="T26480" s="27"/>
      <c r="U26480" s="27"/>
    </row>
    <row r="26481">
      <c r="S26481" s="27"/>
      <c r="T26481" s="27"/>
      <c r="U26481" s="27"/>
    </row>
    <row r="26482">
      <c r="S26482" s="27"/>
      <c r="T26482" s="27"/>
      <c r="U26482" s="27"/>
    </row>
    <row r="26483">
      <c r="S26483" s="27"/>
      <c r="T26483" s="27"/>
      <c r="U26483" s="27"/>
    </row>
    <row r="26484">
      <c r="S26484" s="27"/>
      <c r="T26484" s="27"/>
      <c r="U26484" s="27"/>
    </row>
    <row r="26485">
      <c r="S26485" s="27"/>
      <c r="T26485" s="27"/>
      <c r="U26485" s="27"/>
    </row>
    <row r="26486">
      <c r="S26486" s="27"/>
      <c r="T26486" s="27"/>
      <c r="U26486" s="27"/>
    </row>
    <row r="26487">
      <c r="S26487" s="27"/>
      <c r="T26487" s="27"/>
      <c r="U26487" s="27"/>
    </row>
    <row r="26488">
      <c r="S26488" s="27"/>
      <c r="T26488" s="27"/>
      <c r="U26488" s="27"/>
    </row>
    <row r="26489">
      <c r="S26489" s="27"/>
      <c r="T26489" s="27"/>
      <c r="U26489" s="27"/>
    </row>
    <row r="26490">
      <c r="S26490" s="27"/>
      <c r="T26490" s="27"/>
      <c r="U26490" s="27"/>
    </row>
    <row r="26491">
      <c r="S26491" s="27"/>
      <c r="T26491" s="27"/>
      <c r="U26491" s="27"/>
    </row>
    <row r="26492">
      <c r="S26492" s="33"/>
      <c r="T26492" s="27"/>
      <c r="U26492" s="33"/>
    </row>
    <row r="26494">
      <c r="S26494" s="27"/>
      <c r="T26494" s="27"/>
      <c r="U26494" s="27"/>
    </row>
    <row r="26495">
      <c r="S26495" s="27"/>
      <c r="T26495" s="27"/>
      <c r="U26495" s="27"/>
    </row>
    <row r="26496">
      <c r="S26496" s="27"/>
      <c r="T26496" s="27"/>
      <c r="U26496" s="27"/>
    </row>
    <row r="26498">
      <c r="S26498" s="27"/>
      <c r="T26498" s="27"/>
      <c r="U26498" s="27"/>
    </row>
    <row r="26499">
      <c r="S26499" s="27"/>
      <c r="T26499" s="27"/>
      <c r="U26499" s="27"/>
    </row>
    <row r="26500">
      <c r="S26500" s="27"/>
      <c r="T26500" s="27"/>
      <c r="U26500" s="27"/>
    </row>
    <row r="26501">
      <c r="S26501" s="27"/>
    </row>
    <row r="26502">
      <c r="S26502" s="27"/>
      <c r="T26502" s="27"/>
      <c r="U26502" s="27"/>
    </row>
    <row r="26503">
      <c r="S26503" s="27"/>
      <c r="T26503" s="27"/>
      <c r="U26503" s="27"/>
    </row>
    <row r="26504">
      <c r="S26504" s="27"/>
      <c r="T26504" s="27"/>
      <c r="U26504" s="27"/>
    </row>
    <row r="26505">
      <c r="S26505" s="27"/>
      <c r="T26505" s="27"/>
      <c r="U26505" s="27"/>
    </row>
    <row r="26506">
      <c r="S26506" s="27"/>
      <c r="T26506" s="27"/>
      <c r="U26506" s="27"/>
    </row>
    <row r="26507">
      <c r="S26507" s="27"/>
      <c r="T26507" s="27"/>
      <c r="U26507" s="27"/>
    </row>
    <row r="26508">
      <c r="S26508" s="27"/>
      <c r="T26508" s="27"/>
      <c r="U26508" s="27"/>
    </row>
    <row r="26509">
      <c r="S26509" s="27"/>
      <c r="T26509" s="27"/>
      <c r="U26509" s="27"/>
    </row>
    <row r="26510">
      <c r="S26510" s="27"/>
      <c r="U26510" s="27"/>
    </row>
    <row r="26512">
      <c r="S26512" s="27"/>
      <c r="T26512" s="27"/>
      <c r="U26512" s="27"/>
    </row>
    <row r="26513">
      <c r="S26513" s="27"/>
      <c r="T26513" s="27"/>
      <c r="U26513" s="27"/>
    </row>
    <row r="26514">
      <c r="S26514" s="27"/>
      <c r="T26514" s="27"/>
      <c r="U26514" s="27"/>
    </row>
    <row r="26515">
      <c r="S26515" s="27"/>
      <c r="T26515" s="27"/>
      <c r="U26515" s="27"/>
    </row>
    <row r="26516">
      <c r="S26516" s="27"/>
      <c r="T26516" s="33"/>
      <c r="U26516" s="33"/>
    </row>
    <row r="26517">
      <c r="T26517" s="27"/>
      <c r="U26517" s="27"/>
    </row>
    <row r="26518">
      <c r="S26518" s="27"/>
      <c r="T26518" s="27"/>
      <c r="U26518" s="27"/>
    </row>
    <row r="26519">
      <c r="S26519" s="27"/>
      <c r="T26519" s="27"/>
      <c r="U26519" s="27"/>
    </row>
    <row r="26520">
      <c r="S26520" s="27"/>
      <c r="T26520" s="27"/>
      <c r="U26520" s="27"/>
    </row>
    <row r="26521">
      <c r="S26521" s="27"/>
      <c r="T26521" s="27"/>
      <c r="U26521" s="27"/>
    </row>
    <row r="26522">
      <c r="S26522" s="27"/>
      <c r="T26522" s="27"/>
      <c r="U26522" s="27"/>
    </row>
    <row r="26523">
      <c r="S26523" s="27"/>
      <c r="T26523" s="27"/>
      <c r="U26523" s="27"/>
    </row>
    <row r="26524">
      <c r="S26524" s="33"/>
      <c r="T26524" s="33"/>
      <c r="U26524" s="27"/>
    </row>
    <row r="26525">
      <c r="S26525" s="27"/>
      <c r="T26525" s="27"/>
      <c r="U26525" s="26"/>
    </row>
    <row r="26526">
      <c r="S26526" s="27"/>
      <c r="T26526" s="27"/>
      <c r="U26526" s="27"/>
    </row>
    <row r="26527">
      <c r="S26527" s="27"/>
      <c r="T26527" s="27"/>
      <c r="U26527" s="27"/>
    </row>
    <row r="26528">
      <c r="S26528" s="26"/>
      <c r="T26528" s="26"/>
      <c r="U26528" s="26"/>
    </row>
    <row r="26530">
      <c r="S26530" s="27"/>
      <c r="T26530" s="27"/>
      <c r="U26530" s="27"/>
    </row>
    <row r="26531">
      <c r="S26531" s="27"/>
      <c r="U26531" s="27"/>
    </row>
    <row r="26532">
      <c r="S26532" s="27"/>
      <c r="T26532" s="27"/>
      <c r="U26532" s="27"/>
    </row>
    <row r="26533">
      <c r="S26533" s="27"/>
      <c r="T26533" s="27"/>
      <c r="U26533" s="27"/>
    </row>
    <row r="26534">
      <c r="S26534" s="27"/>
      <c r="T26534" s="27"/>
      <c r="U26534" s="27"/>
    </row>
    <row r="26535">
      <c r="S26535" s="27"/>
      <c r="T26535" s="27"/>
      <c r="U26535" s="27"/>
    </row>
    <row r="26536">
      <c r="S26536" s="27"/>
      <c r="T26536" s="27"/>
      <c r="U26536" s="27"/>
    </row>
    <row r="26537">
      <c r="S26537" s="27"/>
      <c r="T26537" s="27"/>
      <c r="U26537" s="27"/>
    </row>
    <row r="26538">
      <c r="S26538" s="26"/>
      <c r="T26538" s="26"/>
      <c r="U26538" s="26"/>
    </row>
    <row r="26539">
      <c r="S26539" s="26"/>
      <c r="T26539" s="27"/>
      <c r="U26539" s="27"/>
    </row>
    <row r="26540">
      <c r="S26540" s="27"/>
      <c r="T26540" s="27"/>
      <c r="U26540" s="27"/>
    </row>
    <row r="26541">
      <c r="S26541" s="27"/>
      <c r="T26541" s="27"/>
      <c r="U26541" s="27"/>
    </row>
    <row r="26542">
      <c r="S26542" s="27"/>
      <c r="T26542" s="27"/>
      <c r="U26542" s="27"/>
    </row>
    <row r="26543">
      <c r="S26543" s="27"/>
      <c r="T26543" s="27"/>
      <c r="U26543" s="27"/>
    </row>
    <row r="26544">
      <c r="S26544" s="27"/>
      <c r="T26544" s="27"/>
      <c r="U26544" s="27"/>
    </row>
    <row r="26545">
      <c r="S26545" s="27"/>
      <c r="T26545" s="27"/>
      <c r="U26545" s="27"/>
    </row>
    <row r="26546">
      <c r="S26546" s="27"/>
      <c r="T26546" s="27"/>
      <c r="U26546" s="27"/>
    </row>
    <row r="26547">
      <c r="S26547" s="27"/>
      <c r="T26547" s="27"/>
      <c r="U26547" s="27"/>
    </row>
    <row r="26548">
      <c r="S26548" s="27"/>
      <c r="T26548" s="27"/>
      <c r="U26548" s="27"/>
    </row>
    <row r="26549">
      <c r="S26549" s="27"/>
      <c r="T26549" s="27"/>
      <c r="U26549" s="27"/>
    </row>
    <row r="26550">
      <c r="S26550" s="27"/>
      <c r="T26550" s="27"/>
      <c r="U26550" s="27"/>
    </row>
    <row r="26551">
      <c r="S26551" s="27"/>
      <c r="T26551" s="27"/>
      <c r="U26551" s="27"/>
    </row>
    <row r="26552">
      <c r="S26552" s="27"/>
      <c r="T26552" s="27"/>
      <c r="U26552" s="27"/>
    </row>
    <row r="26553">
      <c r="S26553" s="27"/>
      <c r="T26553" s="27"/>
      <c r="U26553" s="27"/>
    </row>
    <row r="26554">
      <c r="S26554" s="27"/>
      <c r="T26554" s="27"/>
      <c r="U26554" s="27"/>
    </row>
    <row r="26555">
      <c r="S26555" s="27"/>
      <c r="T26555" s="27"/>
      <c r="U26555" s="27"/>
    </row>
    <row r="26556">
      <c r="S26556" s="27"/>
      <c r="T26556" s="27"/>
      <c r="U26556" s="27"/>
    </row>
    <row r="26557">
      <c r="S26557" s="27"/>
      <c r="T26557" s="27"/>
      <c r="U26557" s="27"/>
    </row>
    <row r="26558">
      <c r="S26558" s="27"/>
      <c r="T26558" s="27"/>
      <c r="U26558" s="27"/>
    </row>
    <row r="26559">
      <c r="S26559" s="27"/>
      <c r="T26559" s="27"/>
      <c r="U26559" s="27"/>
    </row>
    <row r="26560">
      <c r="S26560" s="27"/>
      <c r="T26560" s="27"/>
      <c r="U26560" s="27"/>
    </row>
    <row r="26561">
      <c r="S26561" s="27"/>
      <c r="T26561" s="27"/>
      <c r="U26561" s="27"/>
    </row>
    <row r="26562">
      <c r="S26562" s="27"/>
      <c r="T26562" s="27"/>
      <c r="U26562" s="27"/>
    </row>
    <row r="26563">
      <c r="S26563" s="27"/>
      <c r="T26563" s="27"/>
      <c r="U26563" s="27"/>
    </row>
    <row r="26564">
      <c r="S26564" s="27"/>
      <c r="T26564" s="27"/>
      <c r="U26564" s="27"/>
    </row>
    <row r="26565">
      <c r="S26565" s="27"/>
      <c r="T26565" s="27"/>
      <c r="U26565" s="27"/>
    </row>
    <row r="26566">
      <c r="S26566" s="27"/>
      <c r="T26566" s="27"/>
      <c r="U26566" s="27"/>
    </row>
    <row r="26567">
      <c r="S26567" s="27"/>
      <c r="T26567" s="27"/>
      <c r="U26567" s="27"/>
    </row>
    <row r="26568">
      <c r="S26568" s="27"/>
      <c r="T26568" s="27"/>
      <c r="U26568" s="27"/>
    </row>
    <row r="26569">
      <c r="S26569" s="27"/>
      <c r="T26569" s="27"/>
      <c r="U26569" s="27"/>
    </row>
    <row r="26570">
      <c r="S26570" s="27"/>
      <c r="T26570" s="27"/>
      <c r="U26570" s="27"/>
    </row>
    <row r="26571">
      <c r="S26571" s="27"/>
      <c r="T26571" s="27"/>
      <c r="U26571" s="27"/>
    </row>
    <row r="26572">
      <c r="S26572" s="27"/>
      <c r="T26572" s="27"/>
      <c r="U26572" s="27"/>
    </row>
    <row r="26573">
      <c r="S26573" s="27"/>
      <c r="T26573" s="27"/>
      <c r="U26573" s="27"/>
    </row>
    <row r="26574">
      <c r="S26574" s="27"/>
      <c r="T26574" s="27"/>
      <c r="U26574" s="27"/>
    </row>
    <row r="26575">
      <c r="S26575" s="27"/>
      <c r="T26575" s="27"/>
      <c r="U26575" s="27"/>
    </row>
    <row r="26576">
      <c r="S26576" s="27"/>
      <c r="T26576" s="27"/>
      <c r="U26576" s="27"/>
    </row>
    <row r="26577">
      <c r="S26577" s="27"/>
      <c r="T26577" s="27"/>
      <c r="U26577" s="27"/>
    </row>
    <row r="26578">
      <c r="S26578" s="27"/>
      <c r="T26578" s="27"/>
      <c r="U26578" s="27"/>
    </row>
    <row r="26579">
      <c r="S26579" s="27"/>
      <c r="T26579" s="27"/>
      <c r="U26579" s="27"/>
    </row>
    <row r="26580">
      <c r="S26580" s="27"/>
      <c r="T26580" s="27"/>
      <c r="U26580" s="27"/>
    </row>
    <row r="26581">
      <c r="S26581" s="27"/>
      <c r="T26581" s="27"/>
      <c r="U26581" s="27"/>
    </row>
    <row r="26582">
      <c r="S26582" s="27"/>
      <c r="T26582" s="27"/>
      <c r="U26582" s="27"/>
    </row>
    <row r="26583">
      <c r="S26583" s="27"/>
      <c r="T26583" s="27"/>
      <c r="U26583" s="27"/>
    </row>
    <row r="26584">
      <c r="S26584" s="27"/>
      <c r="T26584" s="27"/>
      <c r="U26584" s="27"/>
    </row>
    <row r="26585">
      <c r="S26585" s="27"/>
      <c r="T26585" s="27"/>
      <c r="U26585" s="27"/>
    </row>
    <row r="26586">
      <c r="S26586" s="27"/>
      <c r="T26586" s="27"/>
      <c r="U26586" s="27"/>
    </row>
    <row r="26587">
      <c r="S26587" s="27"/>
      <c r="T26587" s="27"/>
      <c r="U26587" s="27"/>
    </row>
    <row r="26588">
      <c r="S26588" s="27"/>
      <c r="T26588" s="27"/>
      <c r="U26588" s="27"/>
    </row>
    <row r="26589">
      <c r="S26589" s="27"/>
      <c r="T26589" s="27"/>
      <c r="U26589" s="27"/>
    </row>
    <row r="26590">
      <c r="S26590" s="27"/>
      <c r="T26590" s="27"/>
      <c r="U26590" s="27"/>
    </row>
    <row r="26591">
      <c r="S26591" s="27"/>
      <c r="T26591" s="27"/>
      <c r="U26591" s="27"/>
    </row>
    <row r="26592">
      <c r="S26592" s="27"/>
      <c r="T26592" s="27"/>
      <c r="U26592" s="27"/>
    </row>
    <row r="26593">
      <c r="S26593" s="27"/>
      <c r="T26593" s="27"/>
      <c r="U26593" s="27"/>
    </row>
    <row r="26594">
      <c r="S26594" s="27"/>
      <c r="T26594" s="27"/>
      <c r="U26594" s="27"/>
    </row>
    <row r="26595">
      <c r="S26595" s="27"/>
      <c r="T26595" s="27"/>
      <c r="U26595" s="27"/>
    </row>
    <row r="26596">
      <c r="S26596" s="27"/>
      <c r="T26596" s="27"/>
      <c r="U26596" s="27"/>
    </row>
    <row r="26597">
      <c r="S26597" s="27"/>
      <c r="T26597" s="27"/>
      <c r="U26597" s="27"/>
    </row>
    <row r="26598">
      <c r="S26598" s="27"/>
      <c r="T26598" s="27"/>
      <c r="U26598" s="27"/>
    </row>
    <row r="26599">
      <c r="S26599" s="27"/>
      <c r="T26599" s="27"/>
      <c r="U26599" s="27"/>
    </row>
    <row r="26600">
      <c r="S26600" s="27"/>
      <c r="T26600" s="27"/>
      <c r="U26600" s="27"/>
    </row>
    <row r="26601">
      <c r="S26601" s="27"/>
      <c r="T26601" s="27"/>
      <c r="U26601" s="27"/>
    </row>
    <row r="26602">
      <c r="S26602" s="27"/>
      <c r="T26602" s="27"/>
      <c r="U26602" s="27"/>
    </row>
    <row r="26603">
      <c r="S26603" s="27"/>
      <c r="T26603" s="27"/>
      <c r="U26603" s="27"/>
    </row>
    <row r="26604">
      <c r="S26604" s="27"/>
      <c r="T26604" s="27"/>
      <c r="U26604" s="27"/>
    </row>
    <row r="26605">
      <c r="S26605" s="27"/>
      <c r="T26605" s="27"/>
      <c r="U26605" s="27"/>
    </row>
    <row r="26606">
      <c r="S26606" s="27"/>
      <c r="T26606" s="27"/>
      <c r="U26606" s="27"/>
    </row>
    <row r="26607">
      <c r="S26607" s="27"/>
      <c r="T26607" s="27"/>
      <c r="U26607" s="27"/>
    </row>
    <row r="26608">
      <c r="S26608" s="27"/>
      <c r="T26608" s="27"/>
      <c r="U26608" s="27"/>
    </row>
    <row r="26609">
      <c r="S26609" s="27"/>
      <c r="T26609" s="27"/>
      <c r="U26609" s="27"/>
    </row>
    <row r="26610">
      <c r="S26610" s="27"/>
      <c r="T26610" s="27"/>
      <c r="U26610" s="27"/>
    </row>
    <row r="26611">
      <c r="S26611" s="27"/>
      <c r="T26611" s="27"/>
      <c r="U26611" s="27"/>
    </row>
    <row r="26612">
      <c r="S26612" s="27"/>
      <c r="T26612" s="27"/>
      <c r="U26612" s="27"/>
    </row>
    <row r="26613">
      <c r="S26613" s="27"/>
      <c r="T26613" s="27"/>
      <c r="U26613" s="27"/>
    </row>
    <row r="26614">
      <c r="S26614" s="27"/>
      <c r="T26614" s="27"/>
      <c r="U26614" s="27"/>
    </row>
    <row r="26615">
      <c r="S26615" s="27"/>
      <c r="T26615" s="27"/>
      <c r="U26615" s="27"/>
    </row>
    <row r="26616">
      <c r="S26616" s="33"/>
      <c r="T26616" s="27"/>
      <c r="U26616" s="27"/>
    </row>
    <row r="26617">
      <c r="S26617" s="27"/>
      <c r="T26617" s="27"/>
      <c r="U26617" s="27"/>
    </row>
    <row r="26618">
      <c r="S26618" s="27"/>
      <c r="T26618" s="27"/>
      <c r="U26618" s="27"/>
    </row>
    <row r="26619">
      <c r="S26619" s="27"/>
      <c r="T26619" s="27"/>
      <c r="U26619" s="27"/>
    </row>
    <row r="26620">
      <c r="S26620" s="27"/>
      <c r="T26620" s="27"/>
      <c r="U26620" s="27"/>
    </row>
    <row r="26621">
      <c r="S26621" s="27"/>
      <c r="T26621" s="27"/>
      <c r="U26621" s="27"/>
    </row>
    <row r="26622">
      <c r="S26622" s="27"/>
      <c r="T26622" s="27"/>
      <c r="U26622" s="27"/>
    </row>
    <row r="26623">
      <c r="S26623" s="27"/>
      <c r="T26623" s="27"/>
      <c r="U26623" s="27"/>
    </row>
    <row r="26624">
      <c r="S26624" s="27"/>
      <c r="T26624" s="27"/>
      <c r="U26624" s="27"/>
    </row>
    <row r="26625">
      <c r="S26625" s="27"/>
      <c r="T26625" s="27"/>
      <c r="U26625" s="27"/>
    </row>
    <row r="26626">
      <c r="S26626" s="27"/>
      <c r="T26626" s="27"/>
      <c r="U26626" s="27"/>
    </row>
    <row r="26627">
      <c r="S26627" s="27"/>
      <c r="T26627" s="27"/>
      <c r="U26627" s="27"/>
    </row>
    <row r="26628">
      <c r="S26628" s="27"/>
      <c r="T26628" s="27"/>
      <c r="U26628" s="27"/>
    </row>
    <row r="26629">
      <c r="S26629" s="27"/>
      <c r="T26629" s="27"/>
      <c r="U26629" s="27"/>
    </row>
    <row r="26630">
      <c r="S26630" s="27"/>
      <c r="T26630" s="27"/>
      <c r="U26630" s="27"/>
    </row>
    <row r="26631">
      <c r="S26631" s="27"/>
      <c r="T26631" s="27"/>
      <c r="U26631" s="27"/>
    </row>
    <row r="26632">
      <c r="S26632" s="27"/>
      <c r="T26632" s="27"/>
      <c r="U26632" s="27"/>
    </row>
    <row r="26633">
      <c r="S26633" s="27"/>
      <c r="T26633" s="27"/>
      <c r="U26633" s="27"/>
    </row>
    <row r="26634">
      <c r="S26634" s="27"/>
      <c r="T26634" s="27"/>
      <c r="U26634" s="27"/>
    </row>
    <row r="26635">
      <c r="S26635" s="27"/>
      <c r="T26635" s="27"/>
      <c r="U26635" s="27"/>
    </row>
    <row r="26636">
      <c r="S26636" s="27"/>
      <c r="T26636" s="27"/>
      <c r="U26636" s="27"/>
    </row>
    <row r="26638">
      <c r="S26638" s="27"/>
      <c r="T26638" s="26"/>
      <c r="U26638" s="27"/>
    </row>
    <row r="26641">
      <c r="S26641" s="27"/>
      <c r="T26641" s="27"/>
      <c r="U26641" s="27"/>
    </row>
    <row r="26644">
      <c r="S26644" s="27"/>
      <c r="T26644" s="27"/>
      <c r="U26644" s="27"/>
    </row>
    <row r="26645">
      <c r="S26645" s="27"/>
      <c r="T26645" s="27"/>
      <c r="U26645" s="27"/>
    </row>
    <row r="26647">
      <c r="S26647" s="27"/>
      <c r="T26647" s="27"/>
      <c r="U26647" s="27"/>
    </row>
    <row r="26648">
      <c r="S26648" s="27"/>
      <c r="T26648" s="27"/>
      <c r="U26648" s="27"/>
    </row>
    <row r="26650">
      <c r="S26650" s="27"/>
      <c r="T26650" s="27"/>
      <c r="U26650" s="27"/>
    </row>
    <row r="26651">
      <c r="S26651" s="27"/>
      <c r="T26651" s="27"/>
      <c r="U26651" s="27"/>
    </row>
    <row r="26653">
      <c r="U26653" s="26"/>
    </row>
    <row r="26656">
      <c r="S26656" s="27"/>
      <c r="T26656" s="27"/>
      <c r="U26656" s="27"/>
    </row>
    <row r="26657">
      <c r="S26657" s="27"/>
      <c r="T26657" s="27"/>
      <c r="U26657" s="27"/>
    </row>
    <row r="26659">
      <c r="S26659" s="27"/>
      <c r="T26659" s="27"/>
      <c r="U26659" s="27"/>
    </row>
    <row r="26660">
      <c r="S26660" s="27"/>
      <c r="T26660" s="27"/>
      <c r="U26660" s="27"/>
    </row>
    <row r="26662">
      <c r="S26662" s="27"/>
      <c r="T26662" s="27"/>
    </row>
    <row r="26663">
      <c r="S26663" s="27"/>
      <c r="T26663" s="27"/>
      <c r="U26663" s="27"/>
    </row>
    <row r="26668">
      <c r="S26668" s="26"/>
      <c r="T26668" s="26"/>
      <c r="U26668" s="26"/>
    </row>
    <row r="26671">
      <c r="S26671" s="27"/>
      <c r="T26671" s="27"/>
      <c r="U26671" s="27"/>
    </row>
    <row r="26672">
      <c r="S26672" s="27"/>
      <c r="T26672" s="27"/>
      <c r="U26672" s="27"/>
    </row>
    <row r="26674">
      <c r="S26674" s="27"/>
      <c r="T26674" s="27"/>
      <c r="U26674" s="27"/>
    </row>
    <row r="26675">
      <c r="S26675" s="27"/>
      <c r="T26675" s="27"/>
      <c r="U26675" s="27"/>
    </row>
    <row r="26677">
      <c r="S26677" s="26"/>
      <c r="T26677" s="26"/>
      <c r="U26677" s="26"/>
    </row>
    <row r="26683">
      <c r="S26683" s="27"/>
      <c r="T26683" s="27"/>
      <c r="U26683" s="27"/>
    </row>
    <row r="26686">
      <c r="S26686" s="27"/>
      <c r="T26686" s="27"/>
      <c r="U26686" s="27"/>
    </row>
    <row r="26687">
      <c r="S26687" s="27"/>
      <c r="T26687" s="27"/>
      <c r="U26687" s="27"/>
    </row>
    <row r="26689">
      <c r="S26689" s="27"/>
      <c r="T26689" s="27"/>
      <c r="U26689" s="27"/>
    </row>
    <row r="26690">
      <c r="S26690" s="27"/>
      <c r="T26690" s="27"/>
      <c r="U26690" s="27"/>
    </row>
    <row r="26692">
      <c r="S26692" s="27"/>
      <c r="T26692" s="27"/>
      <c r="U26692" s="27"/>
    </row>
    <row r="26693">
      <c r="S26693" s="27"/>
      <c r="T26693" s="27"/>
      <c r="U26693" s="27"/>
    </row>
    <row r="26695">
      <c r="S26695" s="27"/>
      <c r="T26695" s="27"/>
      <c r="U26695" s="27"/>
    </row>
    <row r="26696">
      <c r="S26696" s="27"/>
      <c r="T26696" s="27"/>
      <c r="U26696" s="27"/>
    </row>
    <row r="26698">
      <c r="S26698" s="27"/>
      <c r="T26698" s="27"/>
      <c r="U26698" s="27"/>
    </row>
    <row r="26699">
      <c r="S26699" s="27"/>
      <c r="T26699" s="27"/>
      <c r="U26699" s="27"/>
    </row>
    <row r="26701">
      <c r="S26701" s="27"/>
      <c r="T26701" s="27"/>
      <c r="U26701" s="27"/>
    </row>
    <row r="26702">
      <c r="S26702" s="27"/>
      <c r="T26702" s="27"/>
      <c r="U26702" s="27"/>
    </row>
    <row r="26704">
      <c r="S26704" s="27"/>
      <c r="T26704" s="27"/>
      <c r="U26704" s="27"/>
    </row>
    <row r="26705">
      <c r="S26705" s="27"/>
      <c r="T26705" s="27"/>
      <c r="U26705" s="27"/>
    </row>
    <row r="26707">
      <c r="S26707" s="27"/>
      <c r="T26707" s="27"/>
      <c r="U26707" s="27"/>
    </row>
    <row r="26708">
      <c r="S26708" s="27"/>
      <c r="T26708" s="27"/>
      <c r="U26708" s="27"/>
    </row>
    <row r="26710">
      <c r="S26710" s="27"/>
      <c r="T26710" s="27"/>
      <c r="U26710" s="27"/>
    </row>
    <row r="26711">
      <c r="S26711" s="27"/>
      <c r="T26711" s="27"/>
      <c r="U26711" s="27"/>
    </row>
    <row r="26713">
      <c r="S26713" s="27"/>
      <c r="T26713" s="27"/>
      <c r="U26713" s="27"/>
    </row>
    <row r="26714">
      <c r="S26714" s="27"/>
      <c r="T26714" s="27"/>
      <c r="U26714" s="27"/>
    </row>
    <row r="26716">
      <c r="S26716" s="27"/>
      <c r="T26716" s="27"/>
      <c r="U26716" s="27"/>
    </row>
    <row r="26717">
      <c r="S26717" s="27"/>
      <c r="T26717" s="27"/>
      <c r="U26717" s="27"/>
    </row>
    <row r="26719">
      <c r="T26719" s="27"/>
      <c r="U26719" s="27"/>
    </row>
    <row r="26720">
      <c r="T26720" s="27"/>
      <c r="U26720" s="27"/>
    </row>
    <row r="26722">
      <c r="S26722" s="27"/>
      <c r="T26722" s="27"/>
      <c r="U26722" s="27"/>
    </row>
    <row r="26723">
      <c r="S26723" s="27"/>
      <c r="T26723" s="27"/>
      <c r="U26723" s="27"/>
    </row>
    <row r="26725">
      <c r="S26725" s="27"/>
      <c r="T26725" s="27"/>
      <c r="U26725" s="27"/>
    </row>
    <row r="26726">
      <c r="S26726" s="27"/>
      <c r="T26726" s="27"/>
      <c r="U26726" s="27"/>
    </row>
    <row r="26728">
      <c r="S26728" s="27"/>
      <c r="T26728" s="27"/>
      <c r="U26728" s="27"/>
    </row>
    <row r="26729">
      <c r="S26729" s="27"/>
      <c r="T26729" s="27"/>
      <c r="U26729" s="27"/>
    </row>
    <row r="26731">
      <c r="S26731" s="27"/>
      <c r="T26731" s="27"/>
      <c r="U26731" s="27"/>
    </row>
    <row r="26732">
      <c r="S26732" s="27"/>
      <c r="T26732" s="27"/>
      <c r="U26732" s="27"/>
    </row>
    <row r="26734">
      <c r="S26734" s="27"/>
      <c r="T26734" s="27"/>
      <c r="U26734" s="27"/>
    </row>
    <row r="26735">
      <c r="S26735" s="27"/>
      <c r="T26735" s="27"/>
      <c r="U26735" s="27"/>
    </row>
    <row r="26737">
      <c r="S26737" s="27"/>
      <c r="T26737" s="27"/>
      <c r="U26737" s="27"/>
    </row>
    <row r="26738">
      <c r="S26738" s="27"/>
      <c r="T26738" s="27"/>
      <c r="U26738" s="27"/>
    </row>
    <row r="26740">
      <c r="S26740" s="27"/>
      <c r="T26740" s="27"/>
      <c r="U26740" s="27"/>
    </row>
    <row r="26741">
      <c r="S26741" s="27"/>
      <c r="T26741" s="27"/>
      <c r="U26741" s="27"/>
    </row>
    <row r="26743">
      <c r="S26743" s="27"/>
      <c r="T26743" s="27"/>
      <c r="U26743" s="27"/>
    </row>
    <row r="26744">
      <c r="S26744" s="27"/>
      <c r="T26744" s="27"/>
      <c r="U26744" s="27"/>
    </row>
    <row r="26746">
      <c r="S26746" s="27"/>
      <c r="T26746" s="27"/>
      <c r="U26746" s="27"/>
    </row>
    <row r="26747">
      <c r="S26747" s="27"/>
      <c r="T26747" s="27"/>
      <c r="U26747" s="27"/>
    </row>
    <row r="26749">
      <c r="S26749" s="27"/>
      <c r="T26749" s="27"/>
      <c r="U26749" s="27"/>
    </row>
    <row r="26750">
      <c r="S26750" s="27"/>
      <c r="T26750" s="27"/>
      <c r="U26750" s="27"/>
    </row>
    <row r="26752">
      <c r="S26752" s="27"/>
      <c r="T26752" s="27"/>
      <c r="U26752" s="27"/>
    </row>
    <row r="26753">
      <c r="S26753" s="27"/>
      <c r="T26753" s="27"/>
      <c r="U26753" s="27"/>
    </row>
    <row r="26755">
      <c r="S26755" s="27"/>
      <c r="T26755" s="27"/>
      <c r="U26755" s="27"/>
    </row>
    <row r="26756">
      <c r="S26756" s="27"/>
      <c r="T26756" s="27"/>
      <c r="U26756" s="27"/>
    </row>
    <row r="26761">
      <c r="S26761" s="27"/>
      <c r="T26761" s="27"/>
      <c r="U26761" s="27"/>
    </row>
    <row r="26762">
      <c r="S26762" s="27"/>
      <c r="T26762" s="27"/>
      <c r="U26762" s="27"/>
    </row>
    <row r="26764">
      <c r="S26764" s="27"/>
      <c r="T26764" s="27"/>
      <c r="U26764" s="27"/>
    </row>
    <row r="26767">
      <c r="S26767" s="33"/>
      <c r="T26767" s="27"/>
      <c r="U26767" s="33"/>
    </row>
    <row r="26768">
      <c r="S26768" s="27"/>
      <c r="T26768" s="27"/>
      <c r="U26768" s="27"/>
    </row>
    <row r="26770">
      <c r="S26770" s="27"/>
      <c r="T26770" s="27"/>
      <c r="U26770" s="27"/>
    </row>
    <row r="26771">
      <c r="S26771" s="27"/>
      <c r="T26771" s="27"/>
      <c r="U26771" s="27"/>
    </row>
    <row r="26773">
      <c r="S26773" s="27"/>
      <c r="T26773" s="27"/>
      <c r="U26773" s="27"/>
    </row>
    <row r="26776">
      <c r="S26776" s="27"/>
      <c r="T26776" s="27"/>
      <c r="U26776" s="27"/>
    </row>
    <row r="26777">
      <c r="S26777" s="27"/>
      <c r="T26777" s="27"/>
      <c r="U26777" s="27"/>
    </row>
    <row r="26779">
      <c r="S26779" s="27"/>
      <c r="T26779" s="27"/>
      <c r="U26779" s="27"/>
    </row>
    <row r="26780">
      <c r="S26780" s="27"/>
      <c r="T26780" s="27"/>
      <c r="U26780" s="27"/>
    </row>
    <row r="26782">
      <c r="S26782" s="27"/>
      <c r="T26782" s="27"/>
      <c r="U26782" s="27"/>
    </row>
    <row r="26783">
      <c r="S26783" s="27"/>
      <c r="T26783" s="27"/>
      <c r="U26783" s="27"/>
    </row>
    <row r="26785">
      <c r="T26785" s="26"/>
    </row>
    <row r="26788">
      <c r="S26788" s="26"/>
      <c r="T26788" s="26"/>
      <c r="U26788" s="26"/>
    </row>
    <row r="26791">
      <c r="S26791" s="27"/>
      <c r="T26791" s="27"/>
      <c r="U26791" s="27"/>
    </row>
    <row r="26793">
      <c r="S26793" s="27"/>
      <c r="T26793" s="27"/>
      <c r="U26793" s="27"/>
    </row>
    <row r="26795">
      <c r="S26795" s="27"/>
      <c r="T26795" s="27"/>
      <c r="U26795" s="27"/>
    </row>
    <row r="26798">
      <c r="S26798" s="27"/>
      <c r="T26798" s="27"/>
      <c r="U26798" s="27"/>
    </row>
    <row r="26801">
      <c r="S26801" s="27"/>
      <c r="T26801" s="27"/>
      <c r="U26801" s="27"/>
    </row>
    <row r="26802">
      <c r="S26802" s="27"/>
      <c r="T26802" s="27"/>
      <c r="U26802" s="27"/>
    </row>
    <row r="26804">
      <c r="S26804" s="27"/>
      <c r="T26804" s="27"/>
      <c r="U26804" s="27"/>
    </row>
    <row r="26805">
      <c r="S26805" s="27"/>
      <c r="T26805" s="27"/>
      <c r="U26805" s="27"/>
    </row>
    <row r="26807">
      <c r="S26807" s="27"/>
      <c r="T26807" s="27"/>
      <c r="U26807" s="27"/>
    </row>
    <row r="26808">
      <c r="T26808" s="27"/>
      <c r="U26808" s="27"/>
    </row>
    <row r="26810">
      <c r="S26810" s="27"/>
      <c r="T26810" s="27"/>
      <c r="U26810" s="27"/>
    </row>
    <row r="26811">
      <c r="S26811" s="27"/>
      <c r="T26811" s="26"/>
      <c r="U26811" s="27"/>
    </row>
    <row r="26813">
      <c r="S26813" s="27"/>
      <c r="T26813" s="27"/>
      <c r="U26813" s="27"/>
    </row>
    <row r="26814">
      <c r="S26814" s="27"/>
      <c r="T26814" s="27"/>
      <c r="U26814" s="27"/>
    </row>
    <row r="26819">
      <c r="S26819" s="27"/>
      <c r="T26819" s="27"/>
      <c r="U26819" s="27"/>
    </row>
    <row r="26820">
      <c r="S26820" s="27"/>
      <c r="T26820" s="27"/>
      <c r="U26820" s="27"/>
    </row>
    <row r="26822">
      <c r="S26822" s="27"/>
      <c r="T26822" s="27"/>
      <c r="U26822" s="27"/>
    </row>
    <row r="26823">
      <c r="T26823" s="27"/>
      <c r="U26823" s="27"/>
    </row>
    <row r="26825">
      <c r="S26825" s="27"/>
      <c r="T26825" s="27"/>
      <c r="U26825" s="27"/>
    </row>
    <row r="26826">
      <c r="S26826" s="27"/>
      <c r="T26826" s="27"/>
      <c r="U26826" s="27"/>
    </row>
    <row r="26828">
      <c r="S26828" s="33"/>
      <c r="T26828" s="27"/>
      <c r="U26828" s="33"/>
    </row>
    <row r="26831">
      <c r="S26831" s="27"/>
      <c r="T26831" s="27"/>
      <c r="U26831" s="27"/>
    </row>
    <row r="26832">
      <c r="S26832" s="27"/>
      <c r="T26832" s="27"/>
      <c r="U26832" s="27"/>
    </row>
    <row r="26834">
      <c r="S26834" s="27"/>
      <c r="T26834" s="27"/>
      <c r="U26834" s="27"/>
    </row>
    <row r="26837">
      <c r="S26837" s="33"/>
      <c r="T26837" s="33"/>
      <c r="U26837" s="27"/>
    </row>
    <row r="26838">
      <c r="S26838" s="33"/>
      <c r="T26838" s="33"/>
      <c r="U26838" s="33"/>
    </row>
    <row r="26840">
      <c r="S26840" s="34"/>
    </row>
    <row r="26841">
      <c r="S26841" s="26"/>
    </row>
    <row r="26843">
      <c r="S26843" s="27"/>
      <c r="T26843" s="27"/>
      <c r="U26843" s="27"/>
    </row>
    <row r="26844">
      <c r="S26844" s="27"/>
      <c r="T26844" s="27"/>
      <c r="U26844" s="27"/>
    </row>
    <row r="26846">
      <c r="S26846" s="27"/>
      <c r="T26846" s="27"/>
      <c r="U26846" s="27"/>
    </row>
    <row r="26847">
      <c r="S26847" s="27"/>
      <c r="T26847" s="27"/>
      <c r="U26847" s="27"/>
    </row>
    <row r="26849">
      <c r="S26849" s="27"/>
      <c r="T26849" s="27"/>
      <c r="U26849" s="27"/>
    </row>
    <row r="26850">
      <c r="S26850" s="27"/>
      <c r="T26850" s="27"/>
      <c r="U26850" s="27"/>
    </row>
    <row r="26852">
      <c r="S26852" s="27"/>
      <c r="T26852" s="27"/>
      <c r="U26852" s="27"/>
    </row>
    <row r="26853">
      <c r="S26853" s="27"/>
      <c r="T26853" s="27"/>
      <c r="U26853" s="27"/>
    </row>
    <row r="26858">
      <c r="S26858" s="27"/>
      <c r="T26858" s="27"/>
      <c r="U26858" s="27"/>
    </row>
    <row r="26859">
      <c r="S26859" s="27"/>
      <c r="T26859" s="27"/>
      <c r="U26859" s="27"/>
    </row>
    <row r="26861">
      <c r="S26861" s="27"/>
      <c r="T26861" s="27"/>
      <c r="U26861" s="27"/>
    </row>
    <row r="26862">
      <c r="S26862" s="27"/>
      <c r="T26862" s="27"/>
      <c r="U26862" s="27"/>
    </row>
    <row r="26864">
      <c r="S26864" s="27"/>
      <c r="T26864" s="27"/>
      <c r="U26864" s="27"/>
    </row>
    <row r="26867">
      <c r="T26867" s="27"/>
      <c r="U26867" s="27"/>
    </row>
    <row r="26868">
      <c r="S26868" s="27"/>
      <c r="T26868" s="27"/>
      <c r="U26868" s="27"/>
    </row>
    <row r="26870">
      <c r="S26870" s="27"/>
      <c r="T26870" s="27"/>
      <c r="U26870" s="27"/>
    </row>
    <row r="26871">
      <c r="S26871" s="27"/>
      <c r="T26871" s="27"/>
      <c r="U26871" s="27"/>
    </row>
    <row r="26873">
      <c r="S26873" s="27"/>
      <c r="T26873" s="27"/>
      <c r="U26873" s="27"/>
    </row>
    <row r="26874">
      <c r="S26874" s="27"/>
      <c r="T26874" s="27"/>
      <c r="U26874" s="27"/>
    </row>
    <row r="26876">
      <c r="S26876" s="27"/>
      <c r="T26876" s="27"/>
      <c r="U26876" s="27"/>
    </row>
    <row r="26877">
      <c r="S26877" s="26"/>
    </row>
    <row r="26879">
      <c r="S26879" s="26"/>
      <c r="T26879" s="26"/>
      <c r="U26879" s="26"/>
    </row>
    <row r="26880">
      <c r="S26880" s="26"/>
      <c r="T26880" s="26"/>
      <c r="U26880" s="26"/>
    </row>
    <row r="26882">
      <c r="S26882" s="26"/>
      <c r="T26882" s="26"/>
      <c r="U26882" s="26"/>
    </row>
    <row r="26885">
      <c r="S26885" s="27"/>
      <c r="T26885" s="27"/>
      <c r="U26885" s="27"/>
    </row>
    <row r="26888">
      <c r="S26888" s="27"/>
      <c r="T26888" s="27"/>
      <c r="U26888" s="27"/>
    </row>
    <row r="26889">
      <c r="S26889" s="27"/>
      <c r="T26889" s="27"/>
      <c r="U26889" s="27"/>
    </row>
    <row r="26891">
      <c r="S26891" s="27"/>
      <c r="T26891" s="27"/>
      <c r="U26891" s="27"/>
    </row>
    <row r="26892">
      <c r="S26892" s="27"/>
      <c r="T26892" s="27"/>
      <c r="U26892" s="27"/>
    </row>
    <row r="26894">
      <c r="S26894" s="27"/>
      <c r="T26894" s="27"/>
      <c r="U26894" s="27"/>
    </row>
    <row r="26895">
      <c r="S26895" s="27"/>
      <c r="T26895" s="27"/>
      <c r="U26895" s="27"/>
    </row>
    <row r="26897">
      <c r="S26897" s="27"/>
    </row>
    <row r="26898">
      <c r="S26898" s="26"/>
      <c r="T26898" s="26"/>
      <c r="U26898" s="26"/>
    </row>
    <row r="26900">
      <c r="S26900" s="27"/>
      <c r="T26900" s="27"/>
      <c r="U26900" s="27"/>
    </row>
    <row r="26901">
      <c r="S26901" s="27"/>
      <c r="T26901" s="27"/>
      <c r="U26901" s="27"/>
    </row>
    <row r="26903">
      <c r="S26903" s="27"/>
      <c r="T26903" s="27"/>
      <c r="U26903" s="27"/>
    </row>
    <row r="26904">
      <c r="S26904" s="27"/>
      <c r="T26904" s="27"/>
      <c r="U26904" s="27"/>
    </row>
    <row r="26906">
      <c r="S26906" s="27"/>
      <c r="T26906" s="27"/>
      <c r="U26906" s="27"/>
    </row>
    <row r="26907">
      <c r="S26907" s="27"/>
      <c r="T26907" s="27"/>
      <c r="U26907" s="27"/>
    </row>
    <row r="26909">
      <c r="S26909" s="27"/>
      <c r="T26909" s="27"/>
      <c r="U26909" s="27"/>
    </row>
    <row r="26910">
      <c r="S26910" s="27"/>
      <c r="T26910" s="27"/>
      <c r="U26910" s="27"/>
    </row>
    <row r="26912">
      <c r="S26912" s="27"/>
      <c r="T26912" s="27"/>
      <c r="U26912" s="27"/>
    </row>
    <row r="26913">
      <c r="S26913" s="27"/>
      <c r="T26913" s="27"/>
      <c r="U26913" s="27"/>
    </row>
    <row r="26915">
      <c r="S26915" s="27"/>
      <c r="T26915" s="27"/>
      <c r="U26915" s="27"/>
    </row>
    <row r="26916">
      <c r="S26916" s="27"/>
      <c r="T26916" s="27"/>
      <c r="U26916" s="27"/>
    </row>
    <row r="26918">
      <c r="S26918" s="27"/>
      <c r="T26918" s="27"/>
      <c r="U26918" s="27"/>
    </row>
    <row r="26919">
      <c r="S26919" s="27"/>
      <c r="T26919" s="27"/>
      <c r="U26919" s="27"/>
    </row>
    <row r="26921">
      <c r="S26921" s="27"/>
      <c r="T26921" s="27"/>
      <c r="U26921" s="27"/>
    </row>
    <row r="26922">
      <c r="S26922" s="27"/>
      <c r="T26922" s="27"/>
      <c r="U26922" s="27"/>
    </row>
    <row r="26924">
      <c r="S26924" s="27"/>
      <c r="T26924" s="27"/>
      <c r="U26924" s="27"/>
    </row>
    <row r="26925">
      <c r="S26925" s="27"/>
      <c r="T26925" s="27"/>
      <c r="U26925" s="27"/>
    </row>
    <row r="26927">
      <c r="S26927" s="27"/>
      <c r="T26927" s="27"/>
      <c r="U26927" s="27"/>
    </row>
    <row r="26928">
      <c r="S26928" s="27"/>
      <c r="T26928" s="27"/>
      <c r="U26928" s="27"/>
    </row>
    <row r="26930">
      <c r="S26930" s="27"/>
      <c r="T26930" s="27"/>
      <c r="U26930" s="27"/>
    </row>
    <row r="26931">
      <c r="S26931" s="27"/>
      <c r="T26931" s="27"/>
      <c r="U26931" s="27"/>
    </row>
    <row r="26933">
      <c r="S26933" s="27"/>
      <c r="T26933" s="27"/>
      <c r="U26933" s="27"/>
    </row>
    <row r="26934">
      <c r="S26934" s="27"/>
      <c r="T26934" s="27"/>
      <c r="U26934" s="27"/>
    </row>
    <row r="26936">
      <c r="S26936" s="27"/>
      <c r="T26936" s="27"/>
      <c r="U26936" s="27"/>
    </row>
    <row r="26937">
      <c r="S26937" s="27"/>
      <c r="T26937" s="27"/>
      <c r="U26937" s="27"/>
    </row>
    <row r="26939">
      <c r="S26939" s="27"/>
      <c r="T26939" s="27"/>
      <c r="U26939" s="27"/>
    </row>
    <row r="26940">
      <c r="S26940" s="27"/>
      <c r="T26940" s="27"/>
      <c r="U26940" s="27"/>
    </row>
    <row r="26942">
      <c r="S26942" s="27"/>
      <c r="T26942" s="27"/>
      <c r="U26942" s="27"/>
    </row>
    <row r="26943">
      <c r="S26943" s="27"/>
      <c r="T26943" s="27"/>
      <c r="U26943" s="27"/>
    </row>
    <row r="26945">
      <c r="S26945" s="27"/>
      <c r="T26945" s="27"/>
      <c r="U26945" s="27"/>
    </row>
    <row r="26946">
      <c r="S26946" s="27"/>
      <c r="T26946" s="27"/>
      <c r="U26946" s="27"/>
    </row>
    <row r="26948">
      <c r="S26948" s="27"/>
      <c r="T26948" s="27"/>
      <c r="U26948" s="27"/>
    </row>
    <row r="26949">
      <c r="S26949" s="27"/>
      <c r="T26949" s="27"/>
      <c r="U26949" s="27"/>
    </row>
    <row r="26951">
      <c r="S26951" s="27"/>
      <c r="T26951" s="27"/>
      <c r="U26951" s="27"/>
    </row>
    <row r="26952">
      <c r="S26952" s="27"/>
      <c r="T26952" s="27"/>
      <c r="U26952" s="27"/>
    </row>
    <row r="26954">
      <c r="S26954" s="27"/>
      <c r="T26954" s="27"/>
      <c r="U26954" s="27"/>
    </row>
    <row r="26955">
      <c r="S26955" s="27"/>
      <c r="T26955" s="27"/>
      <c r="U26955" s="27"/>
    </row>
    <row r="26957">
      <c r="S26957" s="27"/>
      <c r="T26957" s="27"/>
      <c r="U26957" s="27"/>
    </row>
    <row r="26958">
      <c r="S26958" s="27"/>
      <c r="T26958" s="27"/>
      <c r="U26958" s="27"/>
    </row>
    <row r="26960">
      <c r="S26960" s="27"/>
      <c r="T26960" s="27"/>
      <c r="U26960" s="27"/>
    </row>
    <row r="26961">
      <c r="S26961" s="27"/>
      <c r="T26961" s="27"/>
      <c r="U26961" s="27"/>
    </row>
    <row r="26963">
      <c r="S26963" s="27"/>
      <c r="T26963" s="27"/>
      <c r="U26963" s="27"/>
    </row>
    <row r="26964">
      <c r="S26964" s="27"/>
      <c r="T26964" s="27"/>
      <c r="U26964" s="27"/>
    </row>
    <row r="26966">
      <c r="S26966" s="27"/>
      <c r="T26966" s="27"/>
      <c r="U26966" s="27"/>
    </row>
    <row r="26967">
      <c r="S26967" s="27"/>
      <c r="T26967" s="27"/>
      <c r="U26967" s="27"/>
    </row>
    <row r="26969">
      <c r="S26969" s="27"/>
      <c r="T26969" s="27"/>
      <c r="U26969" s="27"/>
    </row>
    <row r="26970">
      <c r="S26970" s="27"/>
      <c r="T26970" s="27"/>
      <c r="U26970" s="27"/>
    </row>
    <row r="26972">
      <c r="S26972" s="27"/>
      <c r="T26972" s="27"/>
      <c r="U26972" s="27"/>
    </row>
    <row r="26973">
      <c r="S26973" s="27"/>
      <c r="T26973" s="27"/>
      <c r="U26973" s="27"/>
    </row>
    <row r="26975">
      <c r="S26975" s="27"/>
      <c r="T26975" s="27"/>
      <c r="U26975" s="27"/>
    </row>
    <row r="26976">
      <c r="S26976" s="27"/>
      <c r="T26976" s="27"/>
      <c r="U26976" s="27"/>
    </row>
    <row r="26978">
      <c r="S26978" s="27"/>
      <c r="T26978" s="27"/>
      <c r="U26978" s="27"/>
    </row>
    <row r="26979">
      <c r="S26979" s="27"/>
      <c r="T26979" s="27"/>
      <c r="U26979" s="27"/>
    </row>
    <row r="26981">
      <c r="S26981" s="27"/>
      <c r="T26981" s="27"/>
      <c r="U26981" s="27"/>
    </row>
    <row r="26982">
      <c r="S26982" s="27"/>
      <c r="T26982" s="27"/>
      <c r="U26982" s="27"/>
    </row>
    <row r="26984">
      <c r="S26984" s="27"/>
      <c r="T26984" s="27"/>
      <c r="U26984" s="27"/>
    </row>
    <row r="26985">
      <c r="S26985" s="27"/>
      <c r="T26985" s="27"/>
      <c r="U26985" s="27"/>
    </row>
    <row r="26987">
      <c r="S26987" s="27"/>
      <c r="T26987" s="27"/>
      <c r="U26987" s="27"/>
    </row>
    <row r="26988">
      <c r="S26988" s="27"/>
      <c r="T26988" s="27"/>
      <c r="U26988" s="27"/>
    </row>
    <row r="26990">
      <c r="S26990" s="27"/>
      <c r="T26990" s="27"/>
      <c r="U26990" s="27"/>
    </row>
    <row r="26991">
      <c r="S26991" s="27"/>
      <c r="T26991" s="27"/>
      <c r="U26991" s="27"/>
    </row>
    <row r="26993">
      <c r="S26993" s="27"/>
      <c r="T26993" s="27"/>
      <c r="U26993" s="27"/>
    </row>
    <row r="26994">
      <c r="S26994" s="27"/>
      <c r="T26994" s="27"/>
      <c r="U26994" s="27"/>
    </row>
    <row r="26996">
      <c r="S26996" s="27"/>
      <c r="T26996" s="27"/>
      <c r="U26996" s="27"/>
    </row>
    <row r="26998">
      <c r="S26998" s="27"/>
      <c r="T26998" s="27"/>
    </row>
    <row r="26999">
      <c r="S26999" s="27"/>
      <c r="T26999" s="27"/>
      <c r="U26999" s="27"/>
    </row>
    <row r="27001">
      <c r="S27001" s="27"/>
      <c r="T27001" s="27"/>
      <c r="U27001" s="27"/>
    </row>
    <row r="27002">
      <c r="S27002" s="27"/>
      <c r="T27002" s="27"/>
      <c r="U27002" s="27"/>
    </row>
    <row r="27004">
      <c r="S27004" s="27"/>
      <c r="T27004" s="27"/>
      <c r="U27004" s="27"/>
    </row>
    <row r="27005">
      <c r="S27005" s="27"/>
      <c r="T27005" s="27"/>
      <c r="U27005" s="27"/>
    </row>
    <row r="27007">
      <c r="S27007" s="27"/>
      <c r="T27007" s="27"/>
      <c r="U27007" s="27"/>
    </row>
    <row r="27008">
      <c r="S27008" s="27"/>
      <c r="T27008" s="27"/>
      <c r="U27008" s="27"/>
    </row>
    <row r="27010">
      <c r="S27010" s="27"/>
      <c r="T27010" s="27"/>
      <c r="U27010" s="27"/>
    </row>
    <row r="27011">
      <c r="S27011" s="27"/>
      <c r="T27011" s="27"/>
      <c r="U27011" s="27"/>
    </row>
    <row r="27013">
      <c r="S27013" s="27"/>
      <c r="T27013" s="27"/>
      <c r="U27013" s="27"/>
    </row>
    <row r="27014">
      <c r="S27014" s="27"/>
      <c r="T27014" s="27"/>
      <c r="U27014" s="27"/>
    </row>
    <row r="27016">
      <c r="S27016" s="27"/>
      <c r="T27016" s="27"/>
      <c r="U27016" s="27"/>
    </row>
    <row r="27017">
      <c r="S27017" s="27"/>
      <c r="T27017" s="27"/>
      <c r="U27017" s="27"/>
    </row>
    <row r="27019">
      <c r="S27019" s="27"/>
      <c r="T27019" s="27"/>
      <c r="U27019" s="27"/>
    </row>
    <row r="27021">
      <c r="S27021" s="27"/>
      <c r="T27021" s="27"/>
      <c r="U27021" s="27"/>
    </row>
    <row r="27023">
      <c r="S27023" s="27"/>
      <c r="T27023" s="27"/>
      <c r="U27023" s="27"/>
    </row>
    <row r="27025">
      <c r="S27025" s="27"/>
      <c r="T27025" s="27"/>
      <c r="U27025" s="27"/>
    </row>
    <row r="27027">
      <c r="S27027" s="27"/>
      <c r="T27027" s="27"/>
      <c r="U27027" s="27"/>
    </row>
    <row r="27028">
      <c r="S27028" s="27"/>
      <c r="T27028" s="27"/>
      <c r="U27028" s="27"/>
    </row>
    <row r="27030">
      <c r="S27030" s="27"/>
      <c r="T27030" s="27"/>
      <c r="U27030" s="27"/>
    </row>
    <row r="27031">
      <c r="S27031" s="27"/>
      <c r="T27031" s="27"/>
      <c r="U27031" s="27"/>
    </row>
    <row r="27033">
      <c r="S27033" s="27"/>
      <c r="T27033" s="27"/>
      <c r="U27033" s="27"/>
    </row>
    <row r="27036">
      <c r="S27036" s="27"/>
      <c r="T27036" s="27"/>
      <c r="U27036" s="27"/>
    </row>
    <row r="27037">
      <c r="S27037" s="27"/>
      <c r="T27037" s="27"/>
      <c r="U27037" s="27"/>
    </row>
    <row r="27039">
      <c r="S27039" s="27"/>
      <c r="T27039" s="27"/>
      <c r="U27039" s="27"/>
    </row>
    <row r="27040">
      <c r="S27040" s="27"/>
      <c r="T27040" s="27"/>
      <c r="U27040" s="27"/>
    </row>
    <row r="27043">
      <c r="S27043" s="27"/>
      <c r="T27043" s="27"/>
      <c r="U27043" s="27"/>
    </row>
    <row r="27044">
      <c r="S27044" s="27"/>
      <c r="T27044" s="27"/>
      <c r="U27044" s="27"/>
    </row>
    <row r="27045">
      <c r="S27045" s="27"/>
      <c r="T27045" s="27"/>
      <c r="U27045" s="27"/>
    </row>
    <row r="27046">
      <c r="S27046" s="27"/>
      <c r="T27046" s="27"/>
      <c r="U27046" s="27"/>
    </row>
    <row r="27047">
      <c r="S27047" s="27"/>
      <c r="T27047" s="27"/>
      <c r="U27047" s="27"/>
    </row>
    <row r="27048">
      <c r="S27048" s="27"/>
      <c r="T27048" s="27"/>
      <c r="U27048" s="27"/>
    </row>
    <row r="27049">
      <c r="S27049" s="27"/>
      <c r="T27049" s="27"/>
      <c r="U27049" s="27"/>
    </row>
    <row r="27050">
      <c r="S27050" s="27"/>
      <c r="T27050" s="27"/>
      <c r="U27050" s="27"/>
    </row>
    <row r="27051">
      <c r="S27051" s="27"/>
      <c r="T27051" s="27"/>
      <c r="U27051" s="27"/>
    </row>
    <row r="27052">
      <c r="S27052" s="27"/>
      <c r="T27052" s="27"/>
      <c r="U27052" s="27"/>
    </row>
    <row r="27053">
      <c r="S27053" s="27"/>
      <c r="T27053" s="27"/>
      <c r="U27053" s="27"/>
    </row>
    <row r="27054">
      <c r="S27054" s="27"/>
      <c r="T27054" s="27"/>
      <c r="U27054" s="27"/>
    </row>
    <row r="27055">
      <c r="S27055" s="27"/>
      <c r="T27055" s="27"/>
      <c r="U27055" s="27"/>
    </row>
    <row r="27056">
      <c r="S27056" s="27"/>
      <c r="T27056" s="27"/>
      <c r="U27056" s="27"/>
    </row>
    <row r="27057">
      <c r="S27057" s="27"/>
      <c r="T27057" s="27"/>
      <c r="U27057" s="27"/>
    </row>
    <row r="27058">
      <c r="S27058" s="27"/>
      <c r="T27058" s="27"/>
      <c r="U27058" s="27"/>
    </row>
    <row r="27059">
      <c r="S27059" s="27"/>
      <c r="T27059" s="27"/>
      <c r="U27059" s="27"/>
    </row>
    <row r="27060">
      <c r="S27060" s="27"/>
      <c r="T27060" s="27"/>
      <c r="U27060" s="27"/>
    </row>
    <row r="27061">
      <c r="S27061" s="27"/>
      <c r="T27061" s="27"/>
      <c r="U27061" s="27"/>
    </row>
    <row r="27062">
      <c r="S27062" s="27"/>
      <c r="T27062" s="27"/>
      <c r="U27062" s="27"/>
    </row>
    <row r="27063">
      <c r="S27063" s="27"/>
      <c r="T27063" s="27"/>
      <c r="U27063" s="27"/>
    </row>
    <row r="27064">
      <c r="S27064" s="27"/>
      <c r="T27064" s="27"/>
      <c r="U27064" s="27"/>
    </row>
    <row r="27065">
      <c r="S27065" s="27"/>
      <c r="T27065" s="27"/>
      <c r="U27065" s="27"/>
    </row>
    <row r="27066">
      <c r="S27066" s="27"/>
      <c r="T27066" s="27"/>
      <c r="U27066" s="27"/>
    </row>
    <row r="27067">
      <c r="S27067" s="27"/>
      <c r="T27067" s="27"/>
      <c r="U27067" s="27"/>
    </row>
    <row r="27068">
      <c r="S27068" s="27"/>
      <c r="T27068" s="27"/>
      <c r="U27068" s="27"/>
    </row>
    <row r="27069">
      <c r="S27069" s="27"/>
      <c r="T27069" s="27"/>
      <c r="U27069" s="27"/>
    </row>
    <row r="27070">
      <c r="S27070" s="27"/>
      <c r="T27070" s="27"/>
      <c r="U27070" s="27"/>
    </row>
    <row r="27071">
      <c r="S27071" s="27"/>
      <c r="T27071" s="27"/>
      <c r="U27071" s="27"/>
    </row>
    <row r="27072">
      <c r="S27072" s="27"/>
      <c r="T27072" s="27"/>
      <c r="U27072" s="27"/>
    </row>
    <row r="27073">
      <c r="S27073" s="27"/>
      <c r="T27073" s="27"/>
      <c r="U27073" s="27"/>
    </row>
    <row r="27074">
      <c r="S27074" s="27"/>
      <c r="T27074" s="27"/>
      <c r="U27074" s="27"/>
    </row>
    <row r="27075">
      <c r="S27075" s="27"/>
      <c r="T27075" s="27"/>
      <c r="U27075" s="27"/>
    </row>
    <row r="27076">
      <c r="S27076" s="27"/>
      <c r="T27076" s="27"/>
      <c r="U27076" s="27"/>
    </row>
    <row r="27077">
      <c r="S27077" s="27"/>
      <c r="T27077" s="27"/>
      <c r="U27077" s="27"/>
    </row>
    <row r="27078">
      <c r="S27078" s="27"/>
      <c r="T27078" s="27"/>
      <c r="U27078" s="27"/>
    </row>
    <row r="27079">
      <c r="S27079" s="27"/>
      <c r="T27079" s="27"/>
      <c r="U27079" s="27"/>
    </row>
    <row r="27080">
      <c r="S27080" s="27"/>
      <c r="T27080" s="27"/>
      <c r="U27080" s="27"/>
    </row>
    <row r="27081">
      <c r="S27081" s="27"/>
      <c r="T27081" s="27"/>
      <c r="U27081" s="27"/>
    </row>
    <row r="27082">
      <c r="S27082" s="27"/>
      <c r="T27082" s="27"/>
      <c r="U27082" s="27"/>
    </row>
    <row r="27083">
      <c r="S27083" s="27"/>
      <c r="T27083" s="27"/>
      <c r="U27083" s="27"/>
    </row>
    <row r="27084">
      <c r="S27084" s="27"/>
      <c r="T27084" s="27"/>
      <c r="U27084" s="27"/>
    </row>
    <row r="27085">
      <c r="S27085" s="27"/>
      <c r="T27085" s="27"/>
      <c r="U27085" s="27"/>
    </row>
    <row r="27086">
      <c r="S27086" s="27"/>
      <c r="T27086" s="27"/>
      <c r="U27086" s="27"/>
    </row>
    <row r="27087">
      <c r="S27087" s="27"/>
      <c r="T27087" s="27"/>
      <c r="U27087" s="27"/>
    </row>
    <row r="27088">
      <c r="S27088" s="27"/>
      <c r="T27088" s="27"/>
      <c r="U27088" s="27"/>
    </row>
    <row r="27089">
      <c r="S27089" s="27"/>
      <c r="T27089" s="27"/>
      <c r="U27089" s="27"/>
    </row>
    <row r="27090">
      <c r="S27090" s="27"/>
      <c r="T27090" s="27"/>
      <c r="U27090" s="27"/>
    </row>
    <row r="27091">
      <c r="S27091" s="27"/>
      <c r="T27091" s="27"/>
      <c r="U27091" s="27"/>
    </row>
    <row r="27092">
      <c r="S27092" s="27"/>
      <c r="T27092" s="27"/>
      <c r="U27092" s="27"/>
    </row>
    <row r="27093">
      <c r="S27093" s="27"/>
      <c r="T27093" s="27"/>
      <c r="U27093" s="27"/>
    </row>
    <row r="27094">
      <c r="S27094" s="27"/>
      <c r="T27094" s="27"/>
      <c r="U27094" s="27"/>
    </row>
    <row r="27095">
      <c r="S27095" s="27"/>
      <c r="T27095" s="27"/>
      <c r="U27095" s="27"/>
    </row>
    <row r="27096">
      <c r="S27096" s="27"/>
      <c r="T27096" s="27"/>
      <c r="U27096" s="27"/>
    </row>
    <row r="27097">
      <c r="S27097" s="27"/>
      <c r="T27097" s="27"/>
      <c r="U27097" s="27"/>
    </row>
    <row r="27098">
      <c r="S27098" s="27"/>
      <c r="T27098" s="27"/>
      <c r="U27098" s="27"/>
    </row>
    <row r="27099">
      <c r="S27099" s="27"/>
      <c r="T27099" s="27"/>
      <c r="U27099" s="27"/>
    </row>
    <row r="27100">
      <c r="S27100" s="27"/>
      <c r="T27100" s="27"/>
      <c r="U27100" s="27"/>
    </row>
    <row r="27101">
      <c r="S27101" s="27"/>
      <c r="T27101" s="27"/>
      <c r="U27101" s="27"/>
    </row>
    <row r="27102">
      <c r="S27102" s="27"/>
      <c r="T27102" s="27"/>
      <c r="U27102" s="27"/>
    </row>
    <row r="27103">
      <c r="S27103" s="27"/>
      <c r="T27103" s="27"/>
      <c r="U27103" s="27"/>
    </row>
    <row r="27104">
      <c r="S27104" s="27"/>
      <c r="T27104" s="27"/>
      <c r="U27104" s="27"/>
    </row>
    <row r="27105">
      <c r="S27105" s="27"/>
      <c r="T27105" s="27"/>
      <c r="U27105" s="27"/>
    </row>
    <row r="27106">
      <c r="S27106" s="27"/>
      <c r="T27106" s="27"/>
      <c r="U27106" s="27"/>
    </row>
    <row r="27107">
      <c r="S27107" s="27"/>
      <c r="T27107" s="27"/>
      <c r="U27107" s="27"/>
    </row>
    <row r="27108">
      <c r="S27108" s="27"/>
      <c r="T27108" s="27"/>
      <c r="U27108" s="27"/>
    </row>
    <row r="27109">
      <c r="S27109" s="27"/>
      <c r="T27109" s="27"/>
      <c r="U27109" s="27"/>
    </row>
    <row r="27110">
      <c r="S27110" s="27"/>
      <c r="T27110" s="27"/>
      <c r="U27110" s="27"/>
    </row>
    <row r="27111">
      <c r="S27111" s="27"/>
      <c r="T27111" s="27"/>
      <c r="U27111" s="27"/>
    </row>
    <row r="27112">
      <c r="S27112" s="27"/>
      <c r="T27112" s="27"/>
      <c r="U27112" s="27"/>
    </row>
    <row r="27113">
      <c r="S27113" s="27"/>
      <c r="T27113" s="27"/>
      <c r="U27113" s="27"/>
    </row>
    <row r="27114">
      <c r="S27114" s="27"/>
      <c r="T27114" s="27"/>
      <c r="U27114" s="27"/>
    </row>
    <row r="27115">
      <c r="S27115" s="27"/>
      <c r="T27115" s="27"/>
      <c r="U27115" s="27"/>
    </row>
    <row r="27116">
      <c r="S27116" s="27"/>
      <c r="T27116" s="27"/>
      <c r="U27116" s="27"/>
    </row>
    <row r="27117">
      <c r="S27117" s="27"/>
      <c r="T27117" s="27"/>
      <c r="U27117" s="27"/>
    </row>
    <row r="27118">
      <c r="S27118" s="27"/>
      <c r="T27118" s="27"/>
      <c r="U27118" s="27"/>
    </row>
    <row r="27119">
      <c r="S27119" s="27"/>
      <c r="T27119" s="27"/>
      <c r="U27119" s="27"/>
    </row>
    <row r="27120">
      <c r="S27120" s="27"/>
      <c r="T27120" s="27"/>
      <c r="U27120" s="27"/>
    </row>
    <row r="27121">
      <c r="S27121" s="27"/>
      <c r="T27121" s="27"/>
      <c r="U27121" s="27"/>
    </row>
    <row r="27122">
      <c r="S27122" s="27"/>
      <c r="T27122" s="27"/>
      <c r="U27122" s="27"/>
    </row>
    <row r="27123">
      <c r="S27123" s="27"/>
      <c r="T27123" s="27"/>
      <c r="U27123" s="27"/>
    </row>
    <row r="27124">
      <c r="S27124" s="27"/>
      <c r="T27124" s="27"/>
      <c r="U27124" s="27"/>
    </row>
    <row r="27125">
      <c r="S27125" s="27"/>
      <c r="T27125" s="27"/>
      <c r="U27125" s="27"/>
    </row>
    <row r="27126">
      <c r="S27126" s="27"/>
      <c r="T27126" s="27"/>
      <c r="U27126" s="27"/>
    </row>
    <row r="27127">
      <c r="S27127" s="27"/>
      <c r="T27127" s="27"/>
      <c r="U27127" s="27"/>
    </row>
    <row r="27128">
      <c r="S27128" s="27"/>
      <c r="T27128" s="27"/>
      <c r="U27128" s="27"/>
    </row>
    <row r="27129">
      <c r="S27129" s="27"/>
      <c r="T27129" s="27"/>
      <c r="U27129" s="27"/>
    </row>
    <row r="27130">
      <c r="S27130" s="27"/>
      <c r="T27130" s="27"/>
      <c r="U27130" s="27"/>
    </row>
    <row r="27131">
      <c r="S27131" s="27"/>
      <c r="T27131" s="27"/>
      <c r="U27131" s="27"/>
    </row>
    <row r="27132">
      <c r="S27132" s="27"/>
      <c r="T27132" s="27"/>
      <c r="U27132" s="27"/>
    </row>
    <row r="27133">
      <c r="S27133" s="27"/>
      <c r="T27133" s="27"/>
      <c r="U27133" s="27"/>
    </row>
    <row r="27134">
      <c r="S27134" s="27"/>
      <c r="T27134" s="27"/>
      <c r="U27134" s="27"/>
    </row>
    <row r="27135">
      <c r="S27135" s="27"/>
      <c r="T27135" s="27"/>
      <c r="U27135" s="27"/>
    </row>
    <row r="27136">
      <c r="S27136" s="27"/>
      <c r="T27136" s="27"/>
      <c r="U27136" s="27"/>
    </row>
    <row r="27137">
      <c r="S27137" s="27"/>
      <c r="T27137" s="27"/>
      <c r="U27137" s="27"/>
    </row>
    <row r="27138">
      <c r="S27138" s="27"/>
      <c r="T27138" s="27"/>
      <c r="U27138" s="27"/>
    </row>
    <row r="27139">
      <c r="S27139" s="27"/>
      <c r="T27139" s="27"/>
      <c r="U27139" s="27"/>
    </row>
    <row r="27140">
      <c r="S27140" s="27"/>
      <c r="T27140" s="27"/>
      <c r="U27140" s="27"/>
    </row>
    <row r="27141">
      <c r="S27141" s="27"/>
      <c r="T27141" s="27"/>
      <c r="U27141" s="27"/>
    </row>
    <row r="27142">
      <c r="S27142" s="27"/>
      <c r="T27142" s="27"/>
      <c r="U27142" s="27"/>
    </row>
    <row r="27143">
      <c r="S27143" s="27"/>
      <c r="T27143" s="27"/>
      <c r="U27143" s="27"/>
    </row>
    <row r="27144">
      <c r="S27144" s="27"/>
      <c r="T27144" s="27"/>
      <c r="U27144" s="27"/>
    </row>
    <row r="27145">
      <c r="S27145" s="27"/>
      <c r="T27145" s="27"/>
      <c r="U27145" s="27"/>
    </row>
    <row r="27146">
      <c r="S27146" s="27"/>
      <c r="T27146" s="27"/>
      <c r="U27146" s="27"/>
    </row>
    <row r="27147">
      <c r="S27147" s="27"/>
      <c r="T27147" s="27"/>
      <c r="U27147" s="27"/>
    </row>
    <row r="27148">
      <c r="S27148" s="27"/>
      <c r="T27148" s="27"/>
      <c r="U27148" s="27"/>
    </row>
    <row r="27149">
      <c r="S27149" s="27"/>
      <c r="T27149" s="27"/>
      <c r="U27149" s="27"/>
    </row>
    <row r="27150">
      <c r="S27150" s="27"/>
      <c r="T27150" s="27"/>
      <c r="U27150" s="27"/>
    </row>
    <row r="27151">
      <c r="S27151" s="27"/>
      <c r="T27151" s="27"/>
      <c r="U27151" s="27"/>
    </row>
    <row r="27152">
      <c r="S27152" s="27"/>
      <c r="T27152" s="27"/>
      <c r="U27152" s="27"/>
    </row>
    <row r="27153">
      <c r="S27153" s="27"/>
      <c r="T27153" s="27"/>
      <c r="U27153" s="27"/>
    </row>
    <row r="27154">
      <c r="S27154" s="27"/>
      <c r="T27154" s="27"/>
      <c r="U27154" s="27"/>
    </row>
    <row r="27155">
      <c r="S27155" s="27"/>
      <c r="T27155" s="27"/>
      <c r="U27155" s="27"/>
    </row>
    <row r="27156">
      <c r="S27156" s="27"/>
      <c r="T27156" s="27"/>
      <c r="U27156" s="27"/>
    </row>
    <row r="27157">
      <c r="S27157" s="27"/>
      <c r="T27157" s="27"/>
      <c r="U27157" s="27"/>
    </row>
    <row r="27158">
      <c r="S27158" s="27"/>
      <c r="T27158" s="27"/>
      <c r="U27158" s="27"/>
    </row>
    <row r="27159">
      <c r="S27159" s="27"/>
      <c r="T27159" s="27"/>
      <c r="U27159" s="27"/>
    </row>
    <row r="27160">
      <c r="S27160" s="27"/>
      <c r="T27160" s="27"/>
      <c r="U27160" s="27"/>
    </row>
    <row r="27161">
      <c r="S27161" s="27"/>
      <c r="T27161" s="27"/>
      <c r="U27161" s="27"/>
    </row>
    <row r="27162">
      <c r="S27162" s="27"/>
      <c r="T27162" s="27"/>
      <c r="U27162" s="27"/>
    </row>
    <row r="27163">
      <c r="S27163" s="27"/>
      <c r="T27163" s="27"/>
      <c r="U27163" s="27"/>
    </row>
    <row r="27164">
      <c r="S27164" s="27"/>
      <c r="T27164" s="27"/>
      <c r="U27164" s="27"/>
    </row>
    <row r="27165">
      <c r="S27165" s="27"/>
      <c r="T27165" s="27"/>
      <c r="U27165" s="27"/>
    </row>
    <row r="27166">
      <c r="S27166" s="27"/>
      <c r="T27166" s="27"/>
      <c r="U27166" s="27"/>
    </row>
    <row r="27167">
      <c r="S27167" s="27"/>
      <c r="T27167" s="27"/>
      <c r="U27167" s="27"/>
    </row>
    <row r="27168">
      <c r="S27168" s="27"/>
      <c r="T27168" s="27"/>
      <c r="U27168" s="27"/>
    </row>
    <row r="27169">
      <c r="S27169" s="27"/>
      <c r="T27169" s="27"/>
      <c r="U27169" s="27"/>
    </row>
    <row r="27170">
      <c r="S27170" s="27"/>
      <c r="T27170" s="27"/>
      <c r="U27170" s="27"/>
    </row>
    <row r="27171">
      <c r="S27171" s="27"/>
      <c r="T27171" s="27"/>
      <c r="U27171" s="27"/>
    </row>
    <row r="27172">
      <c r="S27172" s="27"/>
      <c r="T27172" s="27"/>
      <c r="U27172" s="27"/>
    </row>
    <row r="27173">
      <c r="S27173" s="27"/>
      <c r="T27173" s="27"/>
      <c r="U27173" s="27"/>
    </row>
    <row r="27174">
      <c r="S27174" s="27"/>
      <c r="T27174" s="27"/>
      <c r="U27174" s="27"/>
    </row>
    <row r="27175">
      <c r="S27175" s="27"/>
      <c r="T27175" s="27"/>
      <c r="U27175" s="27"/>
    </row>
    <row r="27176">
      <c r="S27176" s="27"/>
      <c r="T27176" s="27"/>
      <c r="U27176" s="27"/>
    </row>
    <row r="27177">
      <c r="S27177" s="27"/>
      <c r="T27177" s="27"/>
      <c r="U27177" s="27"/>
    </row>
    <row r="27178">
      <c r="S27178" s="27"/>
      <c r="T27178" s="27"/>
      <c r="U27178" s="27"/>
    </row>
    <row r="27179">
      <c r="S27179" s="27"/>
      <c r="T27179" s="27"/>
      <c r="U27179" s="27"/>
    </row>
    <row r="27180">
      <c r="S27180" s="27"/>
      <c r="T27180" s="27"/>
      <c r="U27180" s="27"/>
    </row>
    <row r="27181">
      <c r="S27181" s="27"/>
      <c r="T27181" s="27"/>
      <c r="U27181" s="27"/>
    </row>
    <row r="27182">
      <c r="S27182" s="27"/>
      <c r="T27182" s="27"/>
      <c r="U27182" s="27"/>
    </row>
    <row r="27183">
      <c r="S27183" s="27"/>
      <c r="T27183" s="27"/>
      <c r="U27183" s="27"/>
    </row>
    <row r="27184">
      <c r="S27184" s="27"/>
      <c r="T27184" s="27"/>
      <c r="U27184" s="27"/>
    </row>
    <row r="27185">
      <c r="S27185" s="27"/>
      <c r="T27185" s="27"/>
      <c r="U27185" s="27"/>
    </row>
    <row r="27186">
      <c r="S27186" s="27"/>
      <c r="T27186" s="27"/>
      <c r="U27186" s="27"/>
    </row>
    <row r="27187">
      <c r="S27187" s="27"/>
      <c r="T27187" s="27"/>
      <c r="U27187" s="27"/>
    </row>
    <row r="27188">
      <c r="S27188" s="27"/>
      <c r="T27188" s="27"/>
      <c r="U27188" s="27"/>
    </row>
    <row r="27189">
      <c r="S27189" s="27"/>
      <c r="T27189" s="27"/>
      <c r="U27189" s="27"/>
    </row>
    <row r="27190">
      <c r="S27190" s="27"/>
      <c r="T27190" s="27"/>
      <c r="U27190" s="27"/>
    </row>
    <row r="27191">
      <c r="S27191" s="27"/>
      <c r="T27191" s="27"/>
      <c r="U27191" s="27"/>
    </row>
    <row r="27192">
      <c r="S27192" s="27"/>
      <c r="T27192" s="27"/>
      <c r="U27192" s="27"/>
    </row>
    <row r="27193">
      <c r="S27193" s="27"/>
      <c r="T27193" s="27"/>
      <c r="U27193" s="27"/>
    </row>
    <row r="27194">
      <c r="S27194" s="27"/>
      <c r="T27194" s="27"/>
      <c r="U27194" s="27"/>
    </row>
    <row r="27195">
      <c r="S27195" s="27"/>
      <c r="T27195" s="27"/>
      <c r="U27195" s="27"/>
    </row>
    <row r="27196">
      <c r="S27196" s="27"/>
      <c r="T27196" s="27"/>
      <c r="U27196" s="27"/>
    </row>
    <row r="27197">
      <c r="S27197" s="27"/>
      <c r="T27197" s="27"/>
      <c r="U27197" s="27"/>
    </row>
    <row r="27198">
      <c r="S27198" s="27"/>
      <c r="T27198" s="27"/>
      <c r="U27198" s="27"/>
    </row>
    <row r="27199">
      <c r="S27199" s="27"/>
      <c r="T27199" s="27"/>
      <c r="U27199" s="27"/>
    </row>
    <row r="27200">
      <c r="S27200" s="27"/>
      <c r="T27200" s="27"/>
      <c r="U27200" s="27"/>
    </row>
    <row r="27201">
      <c r="S27201" s="27"/>
      <c r="T27201" s="27"/>
      <c r="U27201" s="27"/>
    </row>
    <row r="27202">
      <c r="S27202" s="27"/>
      <c r="T27202" s="27"/>
      <c r="U27202" s="27"/>
    </row>
    <row r="27203">
      <c r="S27203" s="27"/>
      <c r="T27203" s="27"/>
      <c r="U27203" s="27"/>
    </row>
    <row r="27204">
      <c r="S27204" s="27"/>
      <c r="T27204" s="27"/>
      <c r="U27204" s="27"/>
    </row>
    <row r="27205">
      <c r="S27205" s="27"/>
      <c r="T27205" s="27"/>
      <c r="U27205" s="27"/>
    </row>
    <row r="27206">
      <c r="S27206" s="27"/>
      <c r="T27206" s="27"/>
      <c r="U27206" s="27"/>
    </row>
    <row r="27207">
      <c r="S27207" s="27"/>
      <c r="T27207" s="27"/>
      <c r="U27207" s="27"/>
    </row>
    <row r="27208">
      <c r="S27208" s="27"/>
      <c r="T27208" s="27"/>
      <c r="U27208" s="27"/>
    </row>
    <row r="27209">
      <c r="S27209" s="27"/>
      <c r="T27209" s="27"/>
      <c r="U27209" s="27"/>
    </row>
    <row r="27210">
      <c r="S27210" s="27"/>
      <c r="T27210" s="27"/>
      <c r="U27210" s="27"/>
    </row>
    <row r="27211">
      <c r="S27211" s="27"/>
      <c r="T27211" s="27"/>
      <c r="U27211" s="27"/>
    </row>
    <row r="27212">
      <c r="S27212" s="27"/>
      <c r="T27212" s="27"/>
      <c r="U27212" s="27"/>
    </row>
    <row r="27213">
      <c r="S27213" s="27"/>
      <c r="T27213" s="27"/>
      <c r="U27213" s="27"/>
    </row>
    <row r="27214">
      <c r="S27214" s="27"/>
      <c r="T27214" s="27"/>
      <c r="U27214" s="27"/>
    </row>
    <row r="27215">
      <c r="S27215" s="27"/>
      <c r="T27215" s="27"/>
      <c r="U27215" s="27"/>
    </row>
    <row r="27216">
      <c r="S27216" s="27"/>
      <c r="T27216" s="27"/>
      <c r="U27216" s="27"/>
    </row>
    <row r="27217">
      <c r="S27217" s="27"/>
      <c r="T27217" s="27"/>
      <c r="U27217" s="27"/>
    </row>
    <row r="27218">
      <c r="S27218" s="27"/>
      <c r="T27218" s="27"/>
      <c r="U27218" s="27"/>
    </row>
    <row r="27219">
      <c r="S27219" s="27"/>
      <c r="T27219" s="27"/>
      <c r="U27219" s="27"/>
    </row>
    <row r="27220">
      <c r="S27220" s="27"/>
      <c r="T27220" s="27"/>
      <c r="U27220" s="27"/>
    </row>
    <row r="27221">
      <c r="S27221" s="27"/>
      <c r="T27221" s="27"/>
      <c r="U27221" s="27"/>
    </row>
    <row r="27222">
      <c r="S27222" s="27"/>
      <c r="T27222" s="27"/>
      <c r="U27222" s="27"/>
    </row>
    <row r="27223">
      <c r="S27223" s="27"/>
      <c r="T27223" s="27"/>
      <c r="U27223" s="27"/>
    </row>
    <row r="27224">
      <c r="S27224" s="27"/>
      <c r="T27224" s="27"/>
      <c r="U27224" s="27"/>
    </row>
    <row r="27225">
      <c r="S27225" s="27"/>
      <c r="T27225" s="27"/>
      <c r="U27225" s="27"/>
    </row>
    <row r="27226">
      <c r="S27226" s="27"/>
      <c r="T27226" s="27"/>
      <c r="U27226" s="27"/>
    </row>
    <row r="27227">
      <c r="S27227" s="27"/>
      <c r="T27227" s="27"/>
      <c r="U27227" s="27"/>
    </row>
    <row r="27228">
      <c r="S27228" s="27"/>
      <c r="T27228" s="27"/>
      <c r="U27228" s="27"/>
    </row>
    <row r="27229">
      <c r="S27229" s="27"/>
      <c r="T27229" s="27"/>
      <c r="U27229" s="27"/>
    </row>
    <row r="27230">
      <c r="S27230" s="27"/>
      <c r="T27230" s="27"/>
      <c r="U27230" s="27"/>
    </row>
    <row r="27231">
      <c r="S27231" s="27"/>
      <c r="T27231" s="27"/>
      <c r="U27231" s="27"/>
    </row>
    <row r="27232">
      <c r="S27232" s="27"/>
      <c r="T27232" s="27"/>
      <c r="U27232" s="27"/>
    </row>
    <row r="27233">
      <c r="S27233" s="27"/>
      <c r="T27233" s="27"/>
      <c r="U27233" s="27"/>
    </row>
    <row r="27234">
      <c r="S27234" s="27"/>
      <c r="T27234" s="27"/>
      <c r="U27234" s="27"/>
    </row>
    <row r="27235">
      <c r="S27235" s="27"/>
      <c r="T27235" s="27"/>
      <c r="U27235" s="27"/>
    </row>
    <row r="27236">
      <c r="S27236" s="27"/>
      <c r="T27236" s="27"/>
      <c r="U27236" s="27"/>
    </row>
    <row r="27237">
      <c r="S27237" s="27"/>
      <c r="T27237" s="27"/>
      <c r="U27237" s="27"/>
    </row>
    <row r="27238">
      <c r="S27238" s="27"/>
      <c r="T27238" s="27"/>
      <c r="U27238" s="27"/>
    </row>
    <row r="27239">
      <c r="S27239" s="27"/>
      <c r="T27239" s="27"/>
      <c r="U27239" s="27"/>
    </row>
    <row r="27240">
      <c r="S27240" s="27"/>
      <c r="T27240" s="27"/>
      <c r="U27240" s="27"/>
    </row>
    <row r="27241">
      <c r="S27241" s="27"/>
      <c r="T27241" s="27"/>
      <c r="U27241" s="27"/>
    </row>
    <row r="27242">
      <c r="S27242" s="27"/>
      <c r="T27242" s="27"/>
      <c r="U27242" s="27"/>
    </row>
    <row r="27243">
      <c r="S27243" s="27"/>
      <c r="T27243" s="27"/>
      <c r="U27243" s="27"/>
    </row>
    <row r="27244">
      <c r="S27244" s="27"/>
      <c r="T27244" s="27"/>
      <c r="U27244" s="27"/>
    </row>
    <row r="27245">
      <c r="S27245" s="27"/>
      <c r="T27245" s="27"/>
      <c r="U27245" s="27"/>
    </row>
    <row r="27246">
      <c r="S27246" s="27"/>
      <c r="T27246" s="27"/>
      <c r="U27246" s="27"/>
    </row>
    <row r="27247">
      <c r="S27247" s="27"/>
      <c r="T27247" s="27"/>
      <c r="U27247" s="27"/>
    </row>
    <row r="27248">
      <c r="S27248" s="27"/>
      <c r="T27248" s="27"/>
      <c r="U27248" s="27"/>
    </row>
    <row r="27249">
      <c r="S27249" s="27"/>
      <c r="T27249" s="27"/>
      <c r="U27249" s="27"/>
    </row>
    <row r="27250">
      <c r="S27250" s="27"/>
      <c r="T27250" s="27"/>
      <c r="U27250" s="27"/>
    </row>
    <row r="27251">
      <c r="S27251" s="27"/>
      <c r="T27251" s="27"/>
      <c r="U27251" s="27"/>
    </row>
    <row r="27252">
      <c r="S27252" s="27"/>
      <c r="T27252" s="27"/>
      <c r="U27252" s="27"/>
    </row>
    <row r="27253">
      <c r="S27253" s="27"/>
      <c r="T27253" s="27"/>
      <c r="U27253" s="27"/>
    </row>
    <row r="27254">
      <c r="S27254" s="27"/>
      <c r="T27254" s="27"/>
      <c r="U27254" s="27"/>
    </row>
    <row r="27255">
      <c r="S27255" s="27"/>
      <c r="T27255" s="27"/>
      <c r="U27255" s="27"/>
    </row>
    <row r="27256">
      <c r="S27256" s="27"/>
      <c r="T27256" s="27"/>
      <c r="U27256" s="27"/>
    </row>
    <row r="27257">
      <c r="S27257" s="27"/>
      <c r="T27257" s="27"/>
      <c r="U27257" s="27"/>
    </row>
    <row r="27258">
      <c r="S27258" s="27"/>
      <c r="T27258" s="27"/>
      <c r="U27258" s="27"/>
    </row>
    <row r="27259">
      <c r="S27259" s="27"/>
      <c r="T27259" s="27"/>
      <c r="U27259" s="27"/>
    </row>
    <row r="27260">
      <c r="S27260" s="27"/>
      <c r="T27260" s="27"/>
      <c r="U27260" s="27"/>
    </row>
    <row r="27261">
      <c r="S27261" s="27"/>
      <c r="T27261" s="27"/>
      <c r="U27261" s="27"/>
    </row>
    <row r="27262">
      <c r="S27262" s="27"/>
      <c r="T27262" s="27"/>
      <c r="U27262" s="27"/>
    </row>
    <row r="27263">
      <c r="S27263" s="27"/>
      <c r="T27263" s="27"/>
      <c r="U27263" s="27"/>
    </row>
    <row r="27264">
      <c r="S27264" s="27"/>
      <c r="T27264" s="27"/>
      <c r="U27264" s="27"/>
    </row>
    <row r="27265">
      <c r="S27265" s="27"/>
      <c r="T27265" s="27"/>
      <c r="U27265" s="27"/>
    </row>
    <row r="27266">
      <c r="S27266" s="27"/>
      <c r="T27266" s="27"/>
      <c r="U27266" s="27"/>
    </row>
    <row r="27267">
      <c r="S27267" s="27"/>
      <c r="T27267" s="27"/>
      <c r="U27267" s="27"/>
    </row>
    <row r="27268">
      <c r="S27268" s="27"/>
      <c r="T27268" s="27"/>
      <c r="U27268" s="27"/>
    </row>
    <row r="27269">
      <c r="S27269" s="27"/>
      <c r="T27269" s="27"/>
      <c r="U27269" s="27"/>
    </row>
    <row r="27270">
      <c r="S27270" s="27"/>
      <c r="T27270" s="27"/>
      <c r="U27270" s="27"/>
    </row>
    <row r="27271">
      <c r="S27271" s="27"/>
      <c r="T27271" s="27"/>
      <c r="U27271" s="27"/>
    </row>
    <row r="27272">
      <c r="S27272" s="27"/>
      <c r="T27272" s="27"/>
      <c r="U27272" s="27"/>
    </row>
    <row r="27273">
      <c r="S27273" s="27"/>
      <c r="T27273" s="27"/>
      <c r="U27273" s="27"/>
    </row>
    <row r="27274">
      <c r="S27274" s="27"/>
      <c r="T27274" s="27"/>
      <c r="U27274" s="27"/>
    </row>
    <row r="27275">
      <c r="S27275" s="27"/>
      <c r="T27275" s="27"/>
      <c r="U27275" s="27"/>
    </row>
    <row r="27276">
      <c r="S27276" s="27"/>
      <c r="T27276" s="27"/>
      <c r="U27276" s="27"/>
    </row>
    <row r="27277">
      <c r="S27277" s="27"/>
      <c r="T27277" s="27"/>
      <c r="U27277" s="27"/>
    </row>
    <row r="27278">
      <c r="S27278" s="27"/>
      <c r="T27278" s="27"/>
      <c r="U27278" s="27"/>
    </row>
    <row r="27279">
      <c r="S27279" s="27"/>
      <c r="T27279" s="27"/>
      <c r="U27279" s="27"/>
    </row>
    <row r="27280">
      <c r="S27280" s="27"/>
      <c r="T27280" s="27"/>
      <c r="U27280" s="27"/>
    </row>
    <row r="27281">
      <c r="S27281" s="27"/>
      <c r="T27281" s="27"/>
      <c r="U27281" s="27"/>
    </row>
    <row r="27282">
      <c r="S27282" s="27"/>
      <c r="T27282" s="27"/>
      <c r="U27282" s="27"/>
    </row>
    <row r="27283">
      <c r="S27283" s="27"/>
      <c r="T27283" s="27"/>
      <c r="U27283" s="27"/>
    </row>
    <row r="27284">
      <c r="S27284" s="27"/>
      <c r="T27284" s="27"/>
      <c r="U27284" s="27"/>
    </row>
    <row r="27285">
      <c r="S27285" s="27"/>
      <c r="T27285" s="27"/>
      <c r="U27285" s="27"/>
    </row>
    <row r="27286">
      <c r="S27286" s="27"/>
      <c r="T27286" s="27"/>
      <c r="U27286" s="27"/>
    </row>
    <row r="27287">
      <c r="S27287" s="27"/>
      <c r="T27287" s="27"/>
      <c r="U27287" s="27"/>
    </row>
    <row r="27288">
      <c r="S27288" s="27"/>
      <c r="T27288" s="27"/>
      <c r="U27288" s="27"/>
    </row>
    <row r="27289">
      <c r="S27289" s="27"/>
      <c r="T27289" s="27"/>
      <c r="U27289" s="27"/>
    </row>
    <row r="27290">
      <c r="S27290" s="27"/>
      <c r="T27290" s="27"/>
      <c r="U27290" s="27"/>
    </row>
    <row r="27291">
      <c r="S27291" s="27"/>
      <c r="T27291" s="27"/>
      <c r="U27291" s="27"/>
    </row>
    <row r="27292">
      <c r="S27292" s="27"/>
      <c r="T27292" s="27"/>
      <c r="U27292" s="27"/>
    </row>
    <row r="27293">
      <c r="S27293" s="27"/>
      <c r="T27293" s="27"/>
      <c r="U27293" s="27"/>
    </row>
    <row r="27294">
      <c r="S27294" s="27"/>
      <c r="T27294" s="27"/>
      <c r="U27294" s="27"/>
    </row>
    <row r="27295">
      <c r="S27295" s="27"/>
      <c r="T27295" s="27"/>
      <c r="U27295" s="27"/>
    </row>
    <row r="27296">
      <c r="S27296" s="27"/>
      <c r="T27296" s="27"/>
      <c r="U27296" s="27"/>
    </row>
    <row r="27297">
      <c r="S27297" s="27"/>
      <c r="T27297" s="27"/>
      <c r="U27297" s="27"/>
    </row>
    <row r="27298">
      <c r="S27298" s="27"/>
      <c r="T27298" s="27"/>
      <c r="U27298" s="27"/>
    </row>
    <row r="27299">
      <c r="S27299" s="27"/>
      <c r="T27299" s="27"/>
      <c r="U27299" s="27"/>
    </row>
    <row r="27300">
      <c r="S27300" s="27"/>
      <c r="T27300" s="27"/>
      <c r="U27300" s="27"/>
    </row>
    <row r="27301">
      <c r="S27301" s="27"/>
      <c r="T27301" s="27"/>
      <c r="U27301" s="27"/>
    </row>
    <row r="27302">
      <c r="S27302" s="27"/>
      <c r="T27302" s="27"/>
      <c r="U27302" s="27"/>
    </row>
    <row r="27303">
      <c r="S27303" s="27"/>
      <c r="T27303" s="27"/>
      <c r="U27303" s="27"/>
    </row>
    <row r="27304">
      <c r="S27304" s="27"/>
      <c r="T27304" s="27"/>
      <c r="U27304" s="27"/>
    </row>
    <row r="27305">
      <c r="S27305" s="27"/>
      <c r="T27305" s="27"/>
      <c r="U27305" s="27"/>
    </row>
    <row r="27306">
      <c r="S27306" s="27"/>
      <c r="T27306" s="27"/>
      <c r="U27306" s="27"/>
    </row>
    <row r="27307">
      <c r="S27307" s="27"/>
      <c r="T27307" s="27"/>
      <c r="U27307" s="27"/>
    </row>
    <row r="27308">
      <c r="S27308" s="27"/>
      <c r="T27308" s="27"/>
      <c r="U27308" s="27"/>
    </row>
    <row r="27309">
      <c r="S27309" s="27"/>
      <c r="T27309" s="27"/>
      <c r="U27309" s="27"/>
    </row>
    <row r="27310">
      <c r="S27310" s="27"/>
      <c r="T27310" s="27"/>
      <c r="U27310" s="27"/>
    </row>
    <row r="27311">
      <c r="S27311" s="27"/>
      <c r="T27311" s="27"/>
      <c r="U27311" s="27"/>
    </row>
    <row r="27312">
      <c r="S27312" s="27"/>
      <c r="T27312" s="27"/>
      <c r="U27312" s="27"/>
    </row>
    <row r="27313">
      <c r="S27313" s="27"/>
      <c r="T27313" s="27"/>
      <c r="U27313" s="27"/>
    </row>
    <row r="27314">
      <c r="S27314" s="27"/>
      <c r="T27314" s="27"/>
      <c r="U27314" s="27"/>
    </row>
    <row r="27315">
      <c r="S27315" s="27"/>
      <c r="T27315" s="27"/>
      <c r="U27315" s="27"/>
    </row>
    <row r="27317">
      <c r="S27317" s="27"/>
      <c r="T27317" s="27"/>
      <c r="U27317" s="27"/>
    </row>
    <row r="27320">
      <c r="S27320" s="27"/>
      <c r="T27320" s="27"/>
      <c r="U27320" s="27"/>
    </row>
    <row r="27323">
      <c r="S27323" s="27"/>
      <c r="T27323" s="27"/>
      <c r="U27323" s="27"/>
    </row>
    <row r="27324">
      <c r="S27324" s="27"/>
      <c r="T27324" s="27"/>
      <c r="U27324" s="27"/>
    </row>
    <row r="27326">
      <c r="S27326" s="27"/>
      <c r="T27326" s="27"/>
      <c r="U27326" s="27"/>
    </row>
    <row r="27327">
      <c r="S27327" s="27"/>
      <c r="T27327" s="27"/>
      <c r="U27327" s="27"/>
    </row>
    <row r="27329">
      <c r="S27329" s="27"/>
      <c r="T27329" s="27"/>
      <c r="U27329" s="27"/>
    </row>
    <row r="27330">
      <c r="S27330" s="27"/>
      <c r="T27330" s="27"/>
      <c r="U27330" s="27"/>
    </row>
    <row r="27332">
      <c r="S27332" s="26"/>
      <c r="T27332" s="26"/>
      <c r="U27332" s="26"/>
    </row>
    <row r="27335">
      <c r="S27335" s="27"/>
      <c r="T27335" s="27"/>
      <c r="U27335" s="27"/>
    </row>
    <row r="27336">
      <c r="S27336" s="27"/>
      <c r="T27336" s="27"/>
      <c r="U27336" s="27"/>
    </row>
    <row r="27338">
      <c r="S27338" s="27"/>
      <c r="T27338" s="27"/>
      <c r="U27338" s="27"/>
    </row>
    <row r="27339">
      <c r="S27339" s="27"/>
      <c r="T27339" s="27"/>
      <c r="U27339" s="27"/>
    </row>
    <row r="27341">
      <c r="S27341" s="27"/>
      <c r="T27341" s="27"/>
      <c r="U27341" s="27"/>
    </row>
    <row r="27342">
      <c r="S27342" s="27"/>
      <c r="T27342" s="27"/>
    </row>
    <row r="27344">
      <c r="S27344" s="27"/>
      <c r="T27344" s="27"/>
      <c r="U27344" s="27"/>
    </row>
    <row r="27347">
      <c r="S27347" s="26"/>
      <c r="T27347" s="26"/>
    </row>
    <row r="27350">
      <c r="S27350" s="27"/>
      <c r="T27350" s="27"/>
      <c r="U27350" s="27"/>
    </row>
    <row r="27351">
      <c r="S27351" s="27"/>
      <c r="T27351" s="27"/>
      <c r="U27351" s="27"/>
    </row>
    <row r="27353">
      <c r="S27353" s="27"/>
      <c r="T27353" s="27"/>
      <c r="U27353" s="27"/>
    </row>
    <row r="27354">
      <c r="S27354" s="27"/>
      <c r="T27354" s="27"/>
      <c r="U27354" s="27"/>
    </row>
    <row r="27356">
      <c r="S27356" s="26"/>
      <c r="T27356" s="26"/>
      <c r="U27356" s="26"/>
    </row>
    <row r="27359">
      <c r="S27359" s="27"/>
      <c r="T27359" s="27"/>
      <c r="U27359" s="27"/>
    </row>
    <row r="27362">
      <c r="S27362" s="27"/>
      <c r="T27362" s="27"/>
      <c r="U27362" s="27"/>
    </row>
    <row r="27363">
      <c r="S27363" s="27"/>
      <c r="T27363" s="27"/>
      <c r="U27363" s="27"/>
    </row>
    <row r="27365">
      <c r="S27365" s="27"/>
      <c r="T27365" s="27"/>
      <c r="U27365" s="27"/>
    </row>
    <row r="27366">
      <c r="S27366" s="27"/>
      <c r="T27366" s="27"/>
      <c r="U27366" s="27"/>
    </row>
    <row r="27368">
      <c r="S27368" s="27"/>
      <c r="T27368" s="27"/>
      <c r="U27368" s="27"/>
    </row>
    <row r="27369">
      <c r="S27369" s="27"/>
      <c r="T27369" s="27"/>
      <c r="U27369" s="27"/>
    </row>
    <row r="27371">
      <c r="S27371" s="27"/>
      <c r="T27371" s="27"/>
      <c r="U27371" s="27"/>
    </row>
    <row r="27372">
      <c r="S27372" s="27"/>
      <c r="T27372" s="27"/>
      <c r="U27372" s="27"/>
    </row>
    <row r="27374">
      <c r="S27374" s="27"/>
      <c r="T27374" s="27"/>
      <c r="U27374" s="27"/>
    </row>
    <row r="27375">
      <c r="S27375" s="27"/>
      <c r="T27375" s="27"/>
      <c r="U27375" s="27"/>
    </row>
    <row r="27377">
      <c r="S27377" s="27"/>
      <c r="T27377" s="27"/>
      <c r="U27377" s="27"/>
    </row>
    <row r="27378">
      <c r="S27378" s="27"/>
      <c r="T27378" s="27"/>
      <c r="U27378" s="27"/>
    </row>
    <row r="27380">
      <c r="S27380" s="27"/>
      <c r="T27380" s="27"/>
      <c r="U27380" s="27"/>
    </row>
    <row r="27381">
      <c r="S27381" s="27"/>
      <c r="T27381" s="27"/>
      <c r="U27381" s="27"/>
    </row>
    <row r="27383">
      <c r="S27383" s="27"/>
      <c r="T27383" s="27"/>
      <c r="U27383" s="27"/>
    </row>
    <row r="27384">
      <c r="S27384" s="27"/>
      <c r="T27384" s="27"/>
      <c r="U27384" s="27"/>
    </row>
    <row r="27386">
      <c r="S27386" s="27"/>
      <c r="T27386" s="27"/>
      <c r="U27386" s="27"/>
    </row>
    <row r="27387">
      <c r="S27387" s="27"/>
      <c r="T27387" s="27"/>
      <c r="U27387" s="27"/>
    </row>
    <row r="27389">
      <c r="S27389" s="27"/>
      <c r="T27389" s="27"/>
      <c r="U27389" s="27"/>
    </row>
    <row r="27390">
      <c r="S27390" s="27"/>
      <c r="T27390" s="27"/>
      <c r="U27390" s="27"/>
    </row>
    <row r="27392">
      <c r="S27392" s="27"/>
      <c r="T27392" s="27"/>
      <c r="U27392" s="27"/>
    </row>
    <row r="27393">
      <c r="S27393" s="27"/>
      <c r="T27393" s="27"/>
      <c r="U27393" s="27"/>
    </row>
    <row r="27395">
      <c r="S27395" s="27"/>
      <c r="T27395" s="27"/>
      <c r="U27395" s="27"/>
    </row>
    <row r="27396">
      <c r="S27396" s="27"/>
      <c r="T27396" s="27"/>
      <c r="U27396" s="27"/>
    </row>
    <row r="27398">
      <c r="S27398" s="27"/>
      <c r="T27398" s="27"/>
      <c r="U27398" s="27"/>
    </row>
    <row r="27399">
      <c r="S27399" s="27"/>
      <c r="T27399" s="27"/>
      <c r="U27399" s="27"/>
    </row>
    <row r="27401">
      <c r="S27401" s="27"/>
      <c r="T27401" s="27"/>
      <c r="U27401" s="27"/>
    </row>
    <row r="27402">
      <c r="S27402" s="27"/>
      <c r="T27402" s="27"/>
      <c r="U27402" s="27"/>
    </row>
    <row r="27404">
      <c r="S27404" s="27"/>
      <c r="T27404" s="27"/>
      <c r="U27404" s="27"/>
    </row>
    <row r="27405">
      <c r="S27405" s="27"/>
      <c r="T27405" s="27"/>
      <c r="U27405" s="27"/>
    </row>
    <row r="27407">
      <c r="S27407" s="27"/>
      <c r="T27407" s="27"/>
      <c r="U27407" s="27"/>
    </row>
    <row r="27408">
      <c r="S27408" s="27"/>
      <c r="T27408" s="27"/>
      <c r="U27408" s="27"/>
    </row>
    <row r="27410">
      <c r="S27410" s="27"/>
      <c r="T27410" s="27"/>
      <c r="U27410" s="27"/>
    </row>
    <row r="27411">
      <c r="S27411" s="27"/>
      <c r="T27411" s="27"/>
      <c r="U27411" s="27"/>
    </row>
    <row r="27413">
      <c r="S27413" s="27"/>
      <c r="T27413" s="27"/>
      <c r="U27413" s="27"/>
    </row>
    <row r="27414">
      <c r="S27414" s="27"/>
      <c r="T27414" s="27"/>
      <c r="U27414" s="27"/>
    </row>
    <row r="27416">
      <c r="S27416" s="27"/>
      <c r="T27416" s="27"/>
      <c r="U27416" s="27"/>
    </row>
    <row r="27417">
      <c r="S27417" s="27"/>
      <c r="T27417" s="27"/>
      <c r="U27417" s="27"/>
    </row>
    <row r="27419">
      <c r="S27419" s="27"/>
      <c r="T27419" s="27"/>
      <c r="U27419" s="27"/>
    </row>
    <row r="27420">
      <c r="S27420" s="27"/>
      <c r="T27420" s="27"/>
      <c r="U27420" s="27"/>
    </row>
    <row r="27422">
      <c r="S27422" s="27"/>
      <c r="T27422" s="27"/>
      <c r="U27422" s="27"/>
    </row>
    <row r="27423">
      <c r="S27423" s="27"/>
      <c r="T27423" s="27"/>
      <c r="U27423" s="27"/>
    </row>
    <row r="27425">
      <c r="S27425" s="27"/>
      <c r="T27425" s="27"/>
      <c r="U27425" s="27"/>
    </row>
    <row r="27426">
      <c r="S27426" s="27"/>
      <c r="T27426" s="27"/>
      <c r="U27426" s="27"/>
    </row>
    <row r="27428">
      <c r="S27428" s="27"/>
      <c r="T27428" s="27"/>
      <c r="U27428" s="27"/>
    </row>
    <row r="27429">
      <c r="S27429" s="27"/>
      <c r="T27429" s="27"/>
      <c r="U27429" s="27"/>
    </row>
    <row r="27431">
      <c r="S27431" s="27"/>
      <c r="T27431" s="27"/>
      <c r="U27431" s="27"/>
    </row>
    <row r="27432">
      <c r="S27432" s="27"/>
      <c r="T27432" s="27"/>
      <c r="U27432" s="27"/>
    </row>
    <row r="27437">
      <c r="S27437" s="33"/>
      <c r="T27437" s="27"/>
      <c r="U27437" s="27"/>
    </row>
    <row r="27438">
      <c r="S27438" s="27"/>
      <c r="T27438" s="27"/>
      <c r="U27438" s="27"/>
    </row>
    <row r="27440">
      <c r="S27440" s="27"/>
      <c r="T27440" s="27"/>
      <c r="U27440" s="27"/>
    </row>
    <row r="27443">
      <c r="T27443" s="33"/>
      <c r="U27443" s="33"/>
    </row>
    <row r="27444">
      <c r="T27444" s="27"/>
      <c r="U27444" s="27"/>
    </row>
    <row r="27446">
      <c r="S27446" s="27"/>
      <c r="T27446" s="27"/>
      <c r="U27446" s="27"/>
    </row>
    <row r="27447">
      <c r="S27447" s="27"/>
      <c r="T27447" s="27"/>
      <c r="U27447" s="27"/>
    </row>
    <row r="27449">
      <c r="S27449" s="27"/>
      <c r="T27449" s="27"/>
      <c r="U27449" s="27"/>
    </row>
    <row r="27452">
      <c r="U27452" s="27"/>
    </row>
    <row r="27453">
      <c r="S27453" s="27"/>
      <c r="T27453" s="27"/>
      <c r="U27453" s="27"/>
    </row>
    <row r="27455">
      <c r="S27455" s="27"/>
      <c r="T27455" s="27"/>
      <c r="U27455" s="27"/>
    </row>
    <row r="27456">
      <c r="S27456" s="27"/>
      <c r="T27456" s="27"/>
      <c r="U27456" s="27"/>
    </row>
    <row r="27458">
      <c r="S27458" s="27"/>
      <c r="T27458" s="27"/>
      <c r="U27458" s="27"/>
    </row>
    <row r="27459">
      <c r="S27459" s="27"/>
      <c r="T27459" s="27"/>
      <c r="U27459" s="27"/>
    </row>
    <row r="27461">
      <c r="T27461" s="27"/>
      <c r="U27461" s="27"/>
    </row>
    <row r="27464">
      <c r="S27464" s="26"/>
      <c r="T27464" s="26"/>
      <c r="U27464" s="26"/>
    </row>
    <row r="27467">
      <c r="S27467" s="35"/>
      <c r="U27467" s="35"/>
    </row>
    <row r="27469">
      <c r="S27469" s="27"/>
      <c r="T27469" s="27"/>
      <c r="U27469" s="27"/>
    </row>
    <row r="27471">
      <c r="S27471" s="26"/>
      <c r="T27471" s="26"/>
      <c r="U27471" s="26"/>
    </row>
    <row r="27474">
      <c r="U27474" s="27"/>
    </row>
    <row r="27477">
      <c r="S27477" s="27"/>
      <c r="T27477" s="27"/>
      <c r="U27477" s="27"/>
    </row>
    <row r="27478">
      <c r="S27478" s="27"/>
      <c r="T27478" s="27"/>
      <c r="U27478" s="27"/>
    </row>
    <row r="27480">
      <c r="S27480" s="27"/>
      <c r="T27480" s="27"/>
      <c r="U27480" s="27"/>
    </row>
    <row r="27481">
      <c r="S27481" s="27"/>
      <c r="T27481" s="27"/>
      <c r="U27481" s="27"/>
    </row>
    <row r="27483">
      <c r="S27483" s="27"/>
      <c r="T27483" s="27"/>
      <c r="U27483" s="33"/>
    </row>
    <row r="27484">
      <c r="U27484" s="27"/>
    </row>
    <row r="27486">
      <c r="S27486" s="27"/>
      <c r="T27486" s="27"/>
      <c r="U27486" s="27"/>
    </row>
    <row r="27487">
      <c r="S27487" s="27"/>
      <c r="T27487" s="27"/>
      <c r="U27487" s="27"/>
    </row>
    <row r="27489">
      <c r="S27489" s="27"/>
      <c r="T27489" s="27"/>
    </row>
    <row r="27490">
      <c r="S27490" s="27"/>
      <c r="T27490" s="27"/>
      <c r="U27490" s="27"/>
    </row>
    <row r="27495">
      <c r="S27495" s="27"/>
      <c r="T27495" s="27"/>
      <c r="U27495" s="27"/>
    </row>
    <row r="27496">
      <c r="S27496" s="27"/>
      <c r="T27496" s="27"/>
      <c r="U27496" s="27"/>
    </row>
    <row r="27498">
      <c r="S27498" s="27"/>
      <c r="T27498" s="27"/>
      <c r="U27498" s="27"/>
    </row>
    <row r="27499">
      <c r="S27499" s="27"/>
      <c r="T27499" s="27"/>
      <c r="U27499" s="27"/>
    </row>
    <row r="27501">
      <c r="S27501" s="27"/>
      <c r="T27501" s="27"/>
      <c r="U27501" s="27"/>
    </row>
    <row r="27502">
      <c r="S27502" s="27"/>
      <c r="T27502" s="27"/>
      <c r="U27502" s="27"/>
    </row>
    <row r="27504">
      <c r="S27504" s="33"/>
      <c r="T27504" s="33"/>
    </row>
    <row r="27510">
      <c r="S27510" s="27"/>
      <c r="T27510" s="27"/>
      <c r="U27510" s="27"/>
    </row>
    <row r="27513">
      <c r="S27513" s="27"/>
      <c r="T27513" s="27"/>
      <c r="U27513" s="27"/>
    </row>
    <row r="27514">
      <c r="S27514" s="33"/>
      <c r="T27514" s="33"/>
      <c r="U27514" s="33"/>
    </row>
    <row r="27517">
      <c r="S27517" s="26"/>
      <c r="T27517" s="26"/>
      <c r="U27517" s="26"/>
    </row>
    <row r="27519">
      <c r="S27519" s="27"/>
      <c r="T27519" s="27"/>
      <c r="U27519" s="27"/>
    </row>
    <row r="27520">
      <c r="S27520" s="27"/>
      <c r="T27520" s="27"/>
      <c r="U27520" s="27"/>
    </row>
    <row r="27522">
      <c r="S27522" s="27"/>
      <c r="T27522" s="27"/>
      <c r="U27522" s="27"/>
    </row>
    <row r="27523">
      <c r="S27523" s="27"/>
      <c r="T27523" s="27"/>
      <c r="U27523" s="27"/>
    </row>
    <row r="27525">
      <c r="S27525" s="27"/>
      <c r="T27525" s="27"/>
      <c r="U27525" s="27"/>
    </row>
    <row r="27526">
      <c r="S27526" s="27"/>
      <c r="T27526" s="27"/>
      <c r="U27526" s="27"/>
    </row>
    <row r="27528">
      <c r="S27528" s="27"/>
      <c r="T27528" s="27"/>
      <c r="U27528" s="27"/>
    </row>
    <row r="27529">
      <c r="S27529" s="27"/>
      <c r="T27529" s="27"/>
      <c r="U27529" s="27"/>
    </row>
    <row r="27531">
      <c r="S27531" s="27"/>
      <c r="T27531" s="27"/>
      <c r="U27531" s="27"/>
    </row>
    <row r="27532">
      <c r="S27532" s="27"/>
      <c r="T27532" s="27"/>
      <c r="U27532" s="27"/>
    </row>
    <row r="27534">
      <c r="S27534" s="27"/>
      <c r="T27534" s="27"/>
      <c r="U27534" s="27"/>
    </row>
    <row r="27535">
      <c r="S27535" s="27"/>
      <c r="T27535" s="27"/>
      <c r="U27535" s="27"/>
    </row>
    <row r="27537">
      <c r="S27537" s="27"/>
      <c r="U27537" s="27"/>
    </row>
    <row r="27540">
      <c r="S27540" s="27"/>
      <c r="T27540" s="27"/>
      <c r="U27540" s="27"/>
    </row>
    <row r="27541">
      <c r="S27541" s="27"/>
      <c r="T27541" s="27"/>
    </row>
    <row r="27543">
      <c r="S27543" s="27"/>
      <c r="T27543" s="27"/>
      <c r="U27543" s="27"/>
    </row>
    <row r="27544">
      <c r="S27544" s="27"/>
      <c r="T27544" s="27"/>
      <c r="U27544" s="27"/>
    </row>
    <row r="27546">
      <c r="S27546" s="27"/>
      <c r="T27546" s="27"/>
      <c r="U27546" s="27"/>
    </row>
    <row r="27547">
      <c r="S27547" s="27"/>
      <c r="T27547" s="27"/>
      <c r="U27547" s="27"/>
    </row>
    <row r="27552">
      <c r="S27552" s="27"/>
      <c r="T27552" s="27"/>
      <c r="U27552" s="27"/>
    </row>
    <row r="27553">
      <c r="S27553" s="27"/>
      <c r="T27553" s="27"/>
      <c r="U27553" s="27"/>
    </row>
    <row r="27558">
      <c r="S27558" s="27"/>
      <c r="T27558" s="27"/>
      <c r="U27558" s="27"/>
    </row>
    <row r="27561">
      <c r="S27561" s="27"/>
      <c r="T27561" s="27"/>
      <c r="U27561" s="27"/>
    </row>
    <row r="27562">
      <c r="S27562" s="27"/>
      <c r="T27562" s="27"/>
      <c r="U27562" s="27"/>
    </row>
    <row r="27564">
      <c r="S27564" s="27"/>
      <c r="T27564" s="27"/>
      <c r="U27564" s="27"/>
    </row>
    <row r="27565">
      <c r="S27565" s="27"/>
      <c r="T27565" s="27"/>
      <c r="U27565" s="27"/>
    </row>
    <row r="27567">
      <c r="S27567" s="27"/>
      <c r="T27567" s="27"/>
      <c r="U27567" s="27"/>
    </row>
    <row r="27568">
      <c r="S27568" s="27"/>
      <c r="T27568" s="27"/>
      <c r="U27568" s="27"/>
    </row>
    <row r="27570">
      <c r="S27570" s="27"/>
    </row>
    <row r="27571">
      <c r="T27571" s="26"/>
      <c r="U27571" s="26"/>
    </row>
    <row r="27573">
      <c r="S27573" s="27"/>
      <c r="T27573" s="27"/>
      <c r="U27573" s="27"/>
    </row>
    <row r="27574">
      <c r="S27574" s="27"/>
      <c r="T27574" s="27"/>
      <c r="U27574" s="27"/>
    </row>
    <row r="27576">
      <c r="S27576" s="27"/>
      <c r="T27576" s="27"/>
      <c r="U27576" s="27"/>
    </row>
    <row r="27577">
      <c r="S27577" s="27"/>
      <c r="T27577" s="27"/>
      <c r="U27577" s="27"/>
    </row>
    <row r="27579">
      <c r="S27579" s="27"/>
      <c r="T27579" s="27"/>
      <c r="U27579" s="27"/>
    </row>
    <row r="27580">
      <c r="S27580" s="27"/>
      <c r="T27580" s="27"/>
      <c r="U27580" s="27"/>
    </row>
    <row r="27582">
      <c r="S27582" s="27"/>
      <c r="T27582" s="27"/>
      <c r="U27582" s="27"/>
    </row>
    <row r="27583">
      <c r="S27583" s="27"/>
      <c r="T27583" s="27"/>
      <c r="U27583" s="27"/>
    </row>
    <row r="27585">
      <c r="S27585" s="27"/>
      <c r="T27585" s="27"/>
      <c r="U27585" s="27"/>
    </row>
    <row r="27586">
      <c r="S27586" s="27"/>
      <c r="T27586" s="27"/>
      <c r="U27586" s="27"/>
    </row>
    <row r="27588">
      <c r="S27588" s="27"/>
      <c r="T27588" s="27"/>
      <c r="U27588" s="27"/>
    </row>
    <row r="27589">
      <c r="S27589" s="27"/>
      <c r="T27589" s="27"/>
      <c r="U27589" s="27"/>
    </row>
    <row r="27591">
      <c r="S27591" s="27"/>
      <c r="T27591" s="27"/>
      <c r="U27591" s="27"/>
    </row>
    <row r="27592">
      <c r="S27592" s="27"/>
      <c r="T27592" s="27"/>
      <c r="U27592" s="27"/>
    </row>
    <row r="27594">
      <c r="S27594" s="27"/>
      <c r="T27594" s="27"/>
      <c r="U27594" s="27"/>
    </row>
    <row r="27595">
      <c r="S27595" s="27"/>
      <c r="T27595" s="27"/>
      <c r="U27595" s="27"/>
    </row>
    <row r="27597">
      <c r="S27597" s="27"/>
      <c r="T27597" s="27"/>
      <c r="U27597" s="27"/>
    </row>
    <row r="27598">
      <c r="S27598" s="27"/>
      <c r="T27598" s="27"/>
      <c r="U27598" s="27"/>
    </row>
    <row r="27600">
      <c r="S27600" s="27"/>
      <c r="T27600" s="27"/>
      <c r="U27600" s="27"/>
    </row>
    <row r="27601">
      <c r="S27601" s="27"/>
      <c r="T27601" s="27"/>
      <c r="U27601" s="27"/>
    </row>
    <row r="27603">
      <c r="S27603" s="27"/>
      <c r="T27603" s="27"/>
      <c r="U27603" s="27"/>
    </row>
    <row r="27604">
      <c r="S27604" s="27"/>
      <c r="T27604" s="27"/>
      <c r="U27604" s="27"/>
    </row>
    <row r="27606">
      <c r="S27606" s="27"/>
      <c r="T27606" s="27"/>
      <c r="U27606" s="27"/>
    </row>
    <row r="27607">
      <c r="S27607" s="27"/>
      <c r="T27607" s="27"/>
      <c r="U27607" s="27"/>
    </row>
    <row r="27609">
      <c r="S27609" s="27"/>
      <c r="T27609" s="27"/>
      <c r="U27609" s="27"/>
    </row>
    <row r="27610">
      <c r="S27610" s="27"/>
      <c r="T27610" s="27"/>
      <c r="U27610" s="27"/>
    </row>
    <row r="27612">
      <c r="S27612" s="27"/>
      <c r="T27612" s="27"/>
      <c r="U27612" s="27"/>
    </row>
    <row r="27613">
      <c r="S27613" s="27"/>
      <c r="T27613" s="27"/>
      <c r="U27613" s="27"/>
    </row>
    <row r="27615">
      <c r="S27615" s="27"/>
      <c r="T27615" s="27"/>
      <c r="U27615" s="27"/>
    </row>
    <row r="27616">
      <c r="S27616" s="27"/>
      <c r="T27616" s="27"/>
      <c r="U27616" s="27"/>
    </row>
    <row r="27618">
      <c r="S27618" s="27"/>
      <c r="T27618" s="27"/>
      <c r="U27618" s="27"/>
    </row>
    <row r="27619">
      <c r="S27619" s="27"/>
      <c r="T27619" s="27"/>
      <c r="U27619" s="27"/>
    </row>
    <row r="27621">
      <c r="S27621" s="27"/>
      <c r="T27621" s="27"/>
      <c r="U27621" s="27"/>
    </row>
    <row r="27622">
      <c r="S27622" s="27"/>
      <c r="T27622" s="27"/>
      <c r="U27622" s="27"/>
    </row>
    <row r="27624">
      <c r="S27624" s="27"/>
      <c r="T27624" s="27"/>
      <c r="U27624" s="27"/>
    </row>
    <row r="27625">
      <c r="S27625" s="27"/>
      <c r="T27625" s="27"/>
      <c r="U27625" s="27"/>
    </row>
    <row r="27627">
      <c r="S27627" s="27"/>
      <c r="T27627" s="27"/>
      <c r="U27627" s="27"/>
    </row>
    <row r="27628">
      <c r="S27628" s="27"/>
      <c r="T27628" s="27"/>
      <c r="U27628" s="27"/>
    </row>
    <row r="27630">
      <c r="S27630" s="27"/>
      <c r="T27630" s="27"/>
      <c r="U27630" s="27"/>
    </row>
    <row r="27631">
      <c r="S27631" s="27"/>
      <c r="T27631" s="27"/>
      <c r="U27631" s="27"/>
    </row>
    <row r="27633">
      <c r="S27633" s="27"/>
      <c r="T27633" s="27"/>
      <c r="U27633" s="27"/>
    </row>
    <row r="27634">
      <c r="S27634" s="27"/>
      <c r="T27634" s="27"/>
      <c r="U27634" s="27"/>
    </row>
    <row r="27636">
      <c r="S27636" s="27"/>
      <c r="T27636" s="27"/>
      <c r="U27636" s="27"/>
    </row>
    <row r="27637">
      <c r="S27637" s="27"/>
      <c r="T27637" s="27"/>
      <c r="U27637" s="27"/>
    </row>
    <row r="27639">
      <c r="S27639" s="27"/>
      <c r="T27639" s="27"/>
      <c r="U27639" s="27"/>
    </row>
    <row r="27640">
      <c r="S27640" s="27"/>
      <c r="T27640" s="27"/>
      <c r="U27640" s="27"/>
    </row>
    <row r="27642">
      <c r="S27642" s="27"/>
      <c r="T27642" s="27"/>
      <c r="U27642" s="27"/>
    </row>
    <row r="27643">
      <c r="S27643" s="27"/>
      <c r="T27643" s="27"/>
      <c r="U27643" s="27"/>
    </row>
    <row r="27645">
      <c r="S27645" s="27"/>
      <c r="T27645" s="27"/>
      <c r="U27645" s="27"/>
    </row>
    <row r="27646">
      <c r="S27646" s="27"/>
      <c r="T27646" s="27"/>
      <c r="U27646" s="27"/>
    </row>
    <row r="27648">
      <c r="S27648" s="27"/>
      <c r="T27648" s="27"/>
      <c r="U27648" s="27"/>
    </row>
    <row r="27649">
      <c r="S27649" s="27"/>
      <c r="T27649" s="27"/>
      <c r="U27649" s="27"/>
    </row>
    <row r="27651">
      <c r="S27651" s="27"/>
      <c r="T27651" s="27"/>
      <c r="U27651" s="27"/>
    </row>
    <row r="27652">
      <c r="S27652" s="27"/>
      <c r="T27652" s="27"/>
      <c r="U27652" s="27"/>
    </row>
    <row r="27654">
      <c r="S27654" s="27"/>
      <c r="T27654" s="27"/>
      <c r="U27654" s="27"/>
    </row>
    <row r="27655">
      <c r="S27655" s="27"/>
      <c r="T27655" s="27"/>
      <c r="U27655" s="27"/>
    </row>
    <row r="27657">
      <c r="S27657" s="27"/>
      <c r="T27657" s="27"/>
      <c r="U27657" s="27"/>
    </row>
    <row r="27658">
      <c r="S27658" s="27"/>
      <c r="T27658" s="27"/>
      <c r="U27658" s="27"/>
    </row>
    <row r="27660">
      <c r="S27660" s="27"/>
      <c r="T27660" s="27"/>
      <c r="U27660" s="27"/>
    </row>
    <row r="27661">
      <c r="S27661" s="27"/>
      <c r="T27661" s="27"/>
      <c r="U27661" s="27"/>
    </row>
    <row r="27663">
      <c r="S27663" s="27"/>
      <c r="T27663" s="27"/>
      <c r="U27663" s="27"/>
    </row>
    <row r="27664">
      <c r="S27664" s="27"/>
      <c r="T27664" s="27"/>
      <c r="U27664" s="27"/>
    </row>
    <row r="27666">
      <c r="S27666" s="27"/>
      <c r="T27666" s="27"/>
      <c r="U27666" s="27"/>
    </row>
    <row r="27667">
      <c r="S27667" s="27"/>
      <c r="T27667" s="27"/>
      <c r="U27667" s="27"/>
    </row>
    <row r="27669">
      <c r="S27669" s="27"/>
      <c r="T27669" s="27"/>
      <c r="U27669" s="27"/>
    </row>
    <row r="27671">
      <c r="S27671" s="27"/>
      <c r="T27671" s="27"/>
      <c r="U27671" s="27"/>
    </row>
    <row r="27672">
      <c r="S27672" s="27"/>
      <c r="T27672" s="27"/>
      <c r="U27672" s="27"/>
    </row>
    <row r="27674">
      <c r="S27674" s="27"/>
      <c r="T27674" s="27"/>
      <c r="U27674" s="27"/>
    </row>
    <row r="27675">
      <c r="S27675" s="27"/>
      <c r="T27675" s="27"/>
      <c r="U27675" s="27"/>
    </row>
    <row r="27677">
      <c r="S27677" s="27"/>
      <c r="T27677" s="27"/>
      <c r="U27677" s="27"/>
    </row>
    <row r="27678">
      <c r="S27678" s="27"/>
      <c r="T27678" s="27"/>
      <c r="U27678" s="27"/>
    </row>
    <row r="27680">
      <c r="S27680" s="27"/>
      <c r="T27680" s="27"/>
      <c r="U27680" s="27"/>
    </row>
    <row r="27681">
      <c r="S27681" s="27"/>
      <c r="T27681" s="27"/>
      <c r="U27681" s="27"/>
    </row>
    <row r="27683">
      <c r="S27683" s="27"/>
      <c r="T27683" s="27"/>
      <c r="U27683" s="27"/>
    </row>
    <row r="27684">
      <c r="S27684" s="27"/>
      <c r="T27684" s="27"/>
      <c r="U27684" s="27"/>
    </row>
    <row r="27686">
      <c r="S27686" s="27"/>
      <c r="T27686" s="27"/>
      <c r="U27686" s="27"/>
    </row>
    <row r="27687">
      <c r="S27687" s="27"/>
      <c r="T27687" s="27"/>
      <c r="U27687" s="27"/>
    </row>
    <row r="27689">
      <c r="S27689" s="27"/>
      <c r="T27689" s="27"/>
      <c r="U27689" s="27"/>
    </row>
    <row r="27690">
      <c r="S27690" s="27"/>
      <c r="T27690" s="27"/>
      <c r="U27690" s="27"/>
    </row>
    <row r="27692">
      <c r="S27692" s="27"/>
      <c r="T27692" s="27"/>
      <c r="U27692" s="27"/>
    </row>
    <row r="27694">
      <c r="S27694" s="27"/>
      <c r="T27694" s="27"/>
      <c r="U27694" s="27"/>
    </row>
    <row r="27696">
      <c r="S27696" s="27"/>
      <c r="T27696" s="27"/>
      <c r="U27696" s="27"/>
    </row>
    <row r="27698">
      <c r="S27698" s="27"/>
      <c r="T27698" s="27"/>
      <c r="U27698" s="27"/>
    </row>
    <row r="27700">
      <c r="S27700" s="27"/>
      <c r="T27700" s="27"/>
      <c r="U27700" s="27"/>
    </row>
    <row r="27701">
      <c r="S27701" s="27"/>
      <c r="T27701" s="27"/>
      <c r="U27701" s="27"/>
    </row>
    <row r="27703">
      <c r="S27703" s="27"/>
      <c r="T27703" s="27"/>
      <c r="U27703" s="27"/>
    </row>
    <row r="27704">
      <c r="S27704" s="27"/>
      <c r="T27704" s="27"/>
      <c r="U27704" s="27"/>
    </row>
    <row r="27706">
      <c r="S27706" s="27"/>
      <c r="T27706" s="27"/>
      <c r="U27706" s="27"/>
    </row>
    <row r="27707">
      <c r="S27707" s="33"/>
      <c r="T27707" s="33"/>
      <c r="U27707" s="33"/>
    </row>
    <row r="27709">
      <c r="S27709" s="27"/>
      <c r="T27709" s="27"/>
      <c r="U27709" s="27"/>
    </row>
    <row r="27710">
      <c r="S27710" s="27"/>
      <c r="T27710" s="27"/>
      <c r="U27710" s="27"/>
    </row>
    <row r="27712">
      <c r="S27712" s="27"/>
      <c r="T27712" s="27"/>
      <c r="U27712" s="27"/>
    </row>
    <row r="27713">
      <c r="S27713" s="27"/>
      <c r="T27713" s="27"/>
      <c r="U27713" s="27"/>
    </row>
    <row r="27715">
      <c r="S27715" s="27"/>
      <c r="T27715" s="27"/>
      <c r="U27715" s="27"/>
    </row>
    <row r="27716">
      <c r="S27716" s="27"/>
      <c r="T27716" s="27"/>
      <c r="U27716" s="27"/>
    </row>
    <row r="27718">
      <c r="S27718" s="27"/>
      <c r="T27718" s="27"/>
      <c r="U27718" s="27"/>
    </row>
    <row r="27719">
      <c r="S27719" s="27"/>
      <c r="T27719" s="27"/>
      <c r="U27719" s="27"/>
    </row>
    <row r="27721">
      <c r="S27721" s="26"/>
      <c r="T27721" s="26"/>
    </row>
    <row r="27724">
      <c r="S27724" s="26"/>
      <c r="T27724" s="27"/>
      <c r="U27724" s="27"/>
    </row>
    <row r="27727">
      <c r="S27727" s="27"/>
      <c r="T27727" s="27"/>
      <c r="U27727" s="27"/>
    </row>
    <row r="27728">
      <c r="S27728" s="27"/>
      <c r="T27728" s="27"/>
      <c r="U27728" s="27"/>
    </row>
    <row r="27730">
      <c r="S27730" s="27"/>
      <c r="T27730" s="27"/>
      <c r="U27730" s="27"/>
    </row>
    <row r="27731">
      <c r="S27731" s="27"/>
      <c r="T27731" s="27"/>
      <c r="U27731" s="27"/>
    </row>
    <row r="27733">
      <c r="S27733" s="27"/>
      <c r="T27733" s="27"/>
      <c r="U27733" s="27"/>
    </row>
    <row r="27734">
      <c r="S27734" s="27"/>
      <c r="T27734" s="27"/>
      <c r="U27734" s="27"/>
    </row>
    <row r="27736">
      <c r="S27736" s="27"/>
      <c r="T27736" s="27"/>
      <c r="U27736" s="26"/>
    </row>
    <row r="27739">
      <c r="S27739" s="27"/>
      <c r="T27739" s="27"/>
      <c r="U27739" s="27"/>
    </row>
    <row r="27740">
      <c r="S27740" s="27"/>
      <c r="T27740" s="27"/>
      <c r="U27740" s="27"/>
    </row>
    <row r="27742">
      <c r="S27742" s="27"/>
      <c r="T27742" s="27"/>
      <c r="U27742" s="27"/>
    </row>
    <row r="27743">
      <c r="S27743" s="27"/>
      <c r="T27743" s="27"/>
      <c r="U27743" s="27"/>
    </row>
    <row r="27745">
      <c r="S27745" s="26"/>
    </row>
    <row r="27746">
      <c r="T27746" s="27"/>
      <c r="U27746" s="27"/>
    </row>
    <row r="27751">
      <c r="S27751" s="26"/>
      <c r="T27751" s="26"/>
      <c r="U27751" s="26"/>
    </row>
    <row r="27754">
      <c r="S27754" s="27"/>
      <c r="T27754" s="27"/>
      <c r="U27754" s="27"/>
    </row>
    <row r="27755">
      <c r="S27755" s="27"/>
      <c r="T27755" s="27"/>
      <c r="U27755" s="27"/>
    </row>
    <row r="27757">
      <c r="S27757" s="27"/>
      <c r="T27757" s="27"/>
      <c r="U27757" s="27"/>
    </row>
    <row r="27758">
      <c r="S27758" s="27"/>
      <c r="T27758" s="27"/>
      <c r="U27758" s="27"/>
    </row>
    <row r="27760">
      <c r="S27760" s="26"/>
      <c r="T27760" s="26"/>
      <c r="U27760" s="26"/>
    </row>
    <row r="27763">
      <c r="S27763" s="27"/>
      <c r="T27763" s="27"/>
      <c r="U27763" s="27"/>
    </row>
    <row r="27766">
      <c r="S27766" s="27"/>
      <c r="T27766" s="27"/>
      <c r="U27766" s="27"/>
    </row>
    <row r="27767">
      <c r="S27767" s="27"/>
      <c r="T27767" s="27"/>
      <c r="U27767" s="27"/>
    </row>
    <row r="27769">
      <c r="S27769" s="27"/>
      <c r="T27769" s="27"/>
      <c r="U27769" s="27"/>
    </row>
    <row r="27770">
      <c r="S27770" s="27"/>
      <c r="T27770" s="27"/>
      <c r="U27770" s="27"/>
    </row>
    <row r="27772">
      <c r="S27772" s="27"/>
      <c r="T27772" s="27"/>
      <c r="U27772" s="27"/>
    </row>
    <row r="27773">
      <c r="S27773" s="27"/>
      <c r="T27773" s="27"/>
      <c r="U27773" s="27"/>
    </row>
    <row r="27775">
      <c r="S27775" s="27"/>
      <c r="T27775" s="27"/>
      <c r="U27775" s="27"/>
    </row>
    <row r="27776">
      <c r="S27776" s="27"/>
      <c r="T27776" s="27"/>
      <c r="U27776" s="27"/>
    </row>
    <row r="27778">
      <c r="S27778" s="27"/>
      <c r="T27778" s="27"/>
      <c r="U27778" s="27"/>
    </row>
    <row r="27779">
      <c r="S27779" s="27"/>
      <c r="T27779" s="27"/>
      <c r="U27779" s="27"/>
    </row>
    <row r="27781">
      <c r="S27781" s="27"/>
      <c r="T27781" s="27"/>
      <c r="U27781" s="27"/>
    </row>
    <row r="27782">
      <c r="S27782" s="27"/>
      <c r="T27782" s="27"/>
      <c r="U27782" s="27"/>
    </row>
    <row r="27784">
      <c r="S27784" s="27"/>
      <c r="T27784" s="27"/>
      <c r="U27784" s="27"/>
    </row>
    <row r="27785">
      <c r="S27785" s="27"/>
      <c r="T27785" s="27"/>
      <c r="U27785" s="27"/>
    </row>
    <row r="27787">
      <c r="S27787" s="27"/>
      <c r="T27787" s="27"/>
      <c r="U27787" s="27"/>
    </row>
    <row r="27788">
      <c r="S27788" s="27"/>
      <c r="T27788" s="27"/>
      <c r="U27788" s="27"/>
    </row>
    <row r="27790">
      <c r="S27790" s="27"/>
      <c r="T27790" s="27"/>
      <c r="U27790" s="27"/>
    </row>
    <row r="27791">
      <c r="S27791" s="27"/>
      <c r="T27791" s="27"/>
      <c r="U27791" s="27"/>
    </row>
    <row r="27793">
      <c r="S27793" s="27"/>
      <c r="T27793" s="27"/>
      <c r="U27793" s="27"/>
    </row>
    <row r="27794">
      <c r="S27794" s="27"/>
      <c r="T27794" s="27"/>
      <c r="U27794" s="27"/>
    </row>
    <row r="27796">
      <c r="S27796" s="27"/>
      <c r="T27796" s="27"/>
      <c r="U27796" s="27"/>
    </row>
    <row r="27797">
      <c r="S27797" s="27"/>
      <c r="T27797" s="27"/>
      <c r="U27797" s="27"/>
    </row>
    <row r="27799">
      <c r="S27799" s="27"/>
      <c r="T27799" s="27"/>
      <c r="U27799" s="27"/>
    </row>
    <row r="27800">
      <c r="S27800" s="27"/>
      <c r="T27800" s="27"/>
      <c r="U27800" s="27"/>
    </row>
    <row r="27802">
      <c r="S27802" s="27"/>
      <c r="T27802" s="27"/>
      <c r="U27802" s="27"/>
    </row>
    <row r="27803">
      <c r="S27803" s="27"/>
      <c r="T27803" s="27"/>
      <c r="U27803" s="27"/>
    </row>
    <row r="27805">
      <c r="S27805" s="27"/>
      <c r="T27805" s="27"/>
      <c r="U27805" s="27"/>
    </row>
    <row r="27806">
      <c r="S27806" s="27"/>
      <c r="T27806" s="27"/>
      <c r="U27806" s="27"/>
    </row>
    <row r="27808">
      <c r="S27808" s="27"/>
      <c r="T27808" s="27"/>
      <c r="U27808" s="27"/>
    </row>
    <row r="27809">
      <c r="S27809" s="27"/>
      <c r="T27809" s="27"/>
      <c r="U27809" s="27"/>
    </row>
    <row r="27811">
      <c r="S27811" s="27"/>
      <c r="T27811" s="27"/>
      <c r="U27811" s="27"/>
    </row>
    <row r="27812">
      <c r="S27812" s="27"/>
      <c r="T27812" s="27"/>
      <c r="U27812" s="27"/>
    </row>
    <row r="27814">
      <c r="U27814" s="27"/>
    </row>
    <row r="27815">
      <c r="U27815" s="27"/>
    </row>
    <row r="27817">
      <c r="S27817" s="27"/>
      <c r="T27817" s="27"/>
      <c r="U27817" s="27"/>
    </row>
    <row r="27818">
      <c r="S27818" s="27"/>
      <c r="T27818" s="27"/>
      <c r="U27818" s="27"/>
    </row>
    <row r="27820">
      <c r="S27820" s="27"/>
      <c r="T27820" s="27"/>
      <c r="U27820" s="27"/>
    </row>
    <row r="27821">
      <c r="S27821" s="27"/>
      <c r="T27821" s="27"/>
      <c r="U27821" s="27"/>
    </row>
    <row r="27823">
      <c r="S27823" s="27"/>
      <c r="T27823" s="27"/>
      <c r="U27823" s="27"/>
    </row>
    <row r="27824">
      <c r="S27824" s="27"/>
      <c r="T27824" s="27"/>
      <c r="U27824" s="27"/>
    </row>
    <row r="27826">
      <c r="S27826" s="27"/>
      <c r="T27826" s="27"/>
      <c r="U27826" s="27"/>
    </row>
    <row r="27827">
      <c r="S27827" s="27"/>
      <c r="T27827" s="27"/>
      <c r="U27827" s="27"/>
    </row>
    <row r="27829">
      <c r="S27829" s="27"/>
      <c r="T27829" s="27"/>
      <c r="U27829" s="27"/>
    </row>
    <row r="27830">
      <c r="S27830" s="27"/>
      <c r="T27830" s="27"/>
      <c r="U27830" s="27"/>
    </row>
    <row r="27832">
      <c r="S27832" s="27"/>
      <c r="T27832" s="27"/>
      <c r="U27832" s="27"/>
    </row>
    <row r="27833">
      <c r="S27833" s="27"/>
      <c r="T27833" s="27"/>
      <c r="U27833" s="27"/>
    </row>
    <row r="27835">
      <c r="S27835" s="27"/>
      <c r="T27835" s="27"/>
      <c r="U27835" s="27"/>
    </row>
    <row r="27836">
      <c r="S27836" s="27"/>
      <c r="T27836" s="27"/>
      <c r="U27836" s="27"/>
    </row>
    <row r="27839">
      <c r="S27839" s="27"/>
      <c r="T27839" s="27"/>
      <c r="U27839" s="27"/>
    </row>
    <row r="27841">
      <c r="S27841" s="33"/>
      <c r="T27841" s="27"/>
      <c r="U27841" s="27"/>
    </row>
    <row r="27842">
      <c r="S27842" s="27"/>
      <c r="T27842" s="27"/>
      <c r="U27842" s="27"/>
    </row>
    <row r="27844">
      <c r="S27844" s="27"/>
      <c r="T27844" s="27"/>
      <c r="U27844" s="27"/>
    </row>
    <row r="27848">
      <c r="S27848" s="27"/>
      <c r="T27848" s="27"/>
      <c r="U27848" s="27"/>
    </row>
    <row r="27849">
      <c r="S27849" s="27"/>
      <c r="T27849" s="27"/>
      <c r="U27849" s="27"/>
    </row>
    <row r="27851">
      <c r="S27851" s="27"/>
      <c r="T27851" s="27"/>
      <c r="U27851" s="27"/>
    </row>
    <row r="27854">
      <c r="S27854" s="27"/>
      <c r="T27854" s="27"/>
      <c r="U27854" s="27"/>
    </row>
    <row r="27855">
      <c r="S27855" s="27"/>
      <c r="T27855" s="27"/>
      <c r="U27855" s="27"/>
    </row>
    <row r="27857">
      <c r="S27857" s="27"/>
      <c r="T27857" s="27"/>
      <c r="U27857" s="27"/>
    </row>
    <row r="27858">
      <c r="S27858" s="27"/>
      <c r="T27858" s="27"/>
      <c r="U27858" s="27"/>
    </row>
    <row r="27860">
      <c r="S27860" s="27"/>
      <c r="T27860" s="27"/>
      <c r="U27860" s="27"/>
    </row>
    <row r="27861">
      <c r="S27861" s="27"/>
      <c r="T27861" s="27"/>
      <c r="U27861" s="27"/>
    </row>
    <row r="27866">
      <c r="S27866" s="26"/>
      <c r="T27866" s="26"/>
      <c r="U27866" s="26"/>
    </row>
    <row r="27869">
      <c r="S27869" s="27"/>
      <c r="U27869" s="27"/>
    </row>
    <row r="27871">
      <c r="S27871" s="27"/>
      <c r="T27871" s="27"/>
      <c r="U27871" s="27"/>
    </row>
    <row r="27877">
      <c r="S27877" s="27"/>
      <c r="T27877" s="27"/>
      <c r="U27877" s="27"/>
    </row>
    <row r="27878">
      <c r="S27878" s="27"/>
      <c r="T27878" s="27"/>
      <c r="U27878" s="27"/>
    </row>
    <row r="27880">
      <c r="S27880" s="27"/>
    </row>
    <row r="27881">
      <c r="S27881" s="27"/>
      <c r="T27881" s="27"/>
      <c r="U27881" s="27"/>
    </row>
    <row r="27883">
      <c r="S27883" s="27"/>
      <c r="T27883" s="27"/>
      <c r="U27883" s="27"/>
    </row>
    <row r="27884">
      <c r="U27884" s="27"/>
    </row>
    <row r="27886">
      <c r="S27886" s="27"/>
      <c r="T27886" s="27"/>
      <c r="U27886" s="27"/>
    </row>
    <row r="27887">
      <c r="S27887" s="26"/>
      <c r="T27887" s="26"/>
      <c r="U27887" s="27"/>
    </row>
    <row r="27889">
      <c r="S27889" s="27"/>
      <c r="T27889" s="27"/>
      <c r="U27889" s="27"/>
    </row>
    <row r="27890">
      <c r="S27890" s="27"/>
      <c r="T27890" s="27"/>
      <c r="U27890" s="27"/>
    </row>
    <row r="27895">
      <c r="S27895" s="27"/>
      <c r="T27895" s="27"/>
      <c r="U27895" s="27"/>
    </row>
    <row r="27896">
      <c r="S27896" s="27"/>
      <c r="T27896" s="27"/>
      <c r="U27896" s="27"/>
    </row>
    <row r="27898">
      <c r="S27898" s="27"/>
      <c r="T27898" s="27"/>
      <c r="U27898" s="27"/>
    </row>
    <row r="27899">
      <c r="S27899" s="27"/>
      <c r="T27899" s="27"/>
      <c r="U27899" s="27"/>
    </row>
    <row r="27901">
      <c r="S27901" s="27"/>
      <c r="T27901" s="27"/>
      <c r="U27901" s="27"/>
    </row>
    <row r="27902">
      <c r="S27902" s="27"/>
      <c r="T27902" s="27"/>
      <c r="U27902" s="27"/>
    </row>
    <row r="27907">
      <c r="S27907" s="27"/>
      <c r="T27907" s="27"/>
      <c r="U27907" s="27"/>
    </row>
    <row r="27910">
      <c r="S27910" s="27"/>
      <c r="T27910" s="27"/>
      <c r="U27910" s="27"/>
    </row>
    <row r="27911">
      <c r="S27911" s="33"/>
      <c r="T27911" s="33"/>
      <c r="U27911" s="33"/>
    </row>
    <row r="27913">
      <c r="S27913" s="34"/>
    </row>
    <row r="27914">
      <c r="T27914" s="26"/>
      <c r="U27914" s="26"/>
    </row>
    <row r="27916">
      <c r="S27916" s="27"/>
      <c r="T27916" s="27"/>
      <c r="U27916" s="27"/>
    </row>
    <row r="27917">
      <c r="S27917" s="27"/>
      <c r="T27917" s="27"/>
      <c r="U27917" s="27"/>
    </row>
    <row r="27919">
      <c r="S27919" s="27"/>
      <c r="T27919" s="27"/>
      <c r="U27919" s="27"/>
    </row>
    <row r="27920">
      <c r="S27920" s="27"/>
      <c r="T27920" s="27"/>
      <c r="U27920" s="27"/>
    </row>
    <row r="27922">
      <c r="S27922" s="27"/>
      <c r="T27922" s="27"/>
      <c r="U27922" s="27"/>
    </row>
    <row r="27923">
      <c r="S27923" s="27"/>
      <c r="T27923" s="27"/>
      <c r="U27923" s="27"/>
    </row>
    <row r="27926">
      <c r="S27926" s="27"/>
      <c r="T27926" s="27"/>
      <c r="U27926" s="27"/>
    </row>
    <row r="27928">
      <c r="S27928" s="27"/>
      <c r="T27928" s="27"/>
      <c r="U27928" s="27"/>
    </row>
    <row r="27929">
      <c r="S27929" s="27"/>
      <c r="T27929" s="27"/>
      <c r="U27929" s="27"/>
    </row>
    <row r="27932">
      <c r="S27932" s="27"/>
      <c r="T27932" s="27"/>
      <c r="U27932" s="27"/>
    </row>
    <row r="27934">
      <c r="S27934" s="27"/>
      <c r="T27934" s="27"/>
      <c r="U27934" s="27"/>
    </row>
    <row r="27937">
      <c r="S27937" s="27"/>
      <c r="T27937" s="27"/>
      <c r="U27937" s="27"/>
    </row>
    <row r="27938">
      <c r="S27938" s="27"/>
      <c r="T27938" s="27"/>
      <c r="U27938" s="27"/>
    </row>
    <row r="27940">
      <c r="S27940" s="27"/>
      <c r="T27940" s="27"/>
      <c r="U27940" s="27"/>
    </row>
    <row r="27941">
      <c r="S27941" s="27"/>
      <c r="T27941" s="27"/>
      <c r="U27941" s="27"/>
    </row>
    <row r="27943">
      <c r="S27943" s="27"/>
      <c r="T27943" s="27"/>
      <c r="U27943" s="27"/>
    </row>
    <row r="27944">
      <c r="S27944" s="27"/>
      <c r="T27944" s="27"/>
      <c r="U27944" s="27"/>
    </row>
    <row r="27949">
      <c r="S27949" s="27"/>
      <c r="T27949" s="27"/>
      <c r="U27949" s="27"/>
    </row>
    <row r="27950">
      <c r="S27950" s="27"/>
      <c r="T27950" s="27"/>
      <c r="U27950" s="27"/>
    </row>
    <row r="27955">
      <c r="S27955" s="27"/>
      <c r="T27955" s="27"/>
      <c r="U27955" s="27"/>
    </row>
    <row r="27958">
      <c r="S27958" s="27"/>
      <c r="T27958" s="27"/>
      <c r="U27958" s="27"/>
    </row>
    <row r="27959">
      <c r="S27959" s="27"/>
      <c r="T27959" s="27"/>
      <c r="U27959" s="27"/>
    </row>
    <row r="27962">
      <c r="S27962" s="27"/>
      <c r="T27962" s="27"/>
      <c r="U27962" s="27"/>
    </row>
    <row r="27964">
      <c r="S27964" s="27"/>
      <c r="T27964" s="27"/>
      <c r="U27964" s="27"/>
    </row>
    <row r="27965">
      <c r="S27965" s="27"/>
      <c r="T27965" s="27"/>
      <c r="U27965" s="27"/>
    </row>
    <row r="27967">
      <c r="S27967" s="27"/>
    </row>
    <row r="27968">
      <c r="T27968" s="26"/>
      <c r="U27968" s="26"/>
    </row>
    <row r="27970">
      <c r="T27970" s="27"/>
      <c r="U27970" s="27"/>
    </row>
    <row r="27971">
      <c r="S27971" s="27"/>
      <c r="T27971" s="27"/>
      <c r="U27971" s="27"/>
    </row>
    <row r="27973">
      <c r="S27973" s="27"/>
      <c r="T27973" s="27"/>
      <c r="U27973" s="27"/>
    </row>
    <row r="27974">
      <c r="S27974" s="27"/>
      <c r="T27974" s="27"/>
      <c r="U27974" s="27"/>
    </row>
    <row r="27976">
      <c r="S27976" s="27"/>
      <c r="T27976" s="27"/>
      <c r="U27976" s="27"/>
    </row>
    <row r="27977">
      <c r="S27977" s="27"/>
      <c r="T27977" s="27"/>
      <c r="U27977" s="27"/>
    </row>
    <row r="27979">
      <c r="S27979" s="27"/>
      <c r="T27979" s="27"/>
      <c r="U27979" s="27"/>
    </row>
    <row r="27980">
      <c r="S27980" s="27"/>
      <c r="T27980" s="27"/>
      <c r="U27980" s="27"/>
    </row>
    <row r="27982">
      <c r="S27982" s="27"/>
      <c r="T27982" s="27"/>
      <c r="U27982" s="27"/>
    </row>
    <row r="27983">
      <c r="S27983" s="27"/>
      <c r="T27983" s="27"/>
      <c r="U27983" s="27"/>
    </row>
    <row r="27985">
      <c r="S27985" s="27"/>
      <c r="T27985" s="27"/>
      <c r="U27985" s="27"/>
    </row>
    <row r="27986">
      <c r="S27986" s="27"/>
      <c r="T27986" s="27"/>
      <c r="U27986" s="27"/>
    </row>
    <row r="27988">
      <c r="S27988" s="27"/>
      <c r="T27988" s="27"/>
      <c r="U27988" s="27"/>
    </row>
    <row r="27989">
      <c r="S27989" s="27"/>
      <c r="T27989" s="27"/>
      <c r="U27989" s="27"/>
    </row>
    <row r="27991">
      <c r="S27991" s="27"/>
      <c r="T27991" s="27"/>
      <c r="U27991" s="27"/>
    </row>
    <row r="27992">
      <c r="S27992" s="27"/>
      <c r="T27992" s="27"/>
      <c r="U27992" s="27"/>
    </row>
    <row r="27994">
      <c r="S27994" s="27"/>
      <c r="T27994" s="27"/>
      <c r="U27994" s="27"/>
    </row>
    <row r="27995">
      <c r="S27995" s="27"/>
      <c r="T27995" s="27"/>
      <c r="U27995" s="27"/>
    </row>
    <row r="27997">
      <c r="S27997" s="27"/>
      <c r="T27997" s="27"/>
      <c r="U27997" s="27"/>
    </row>
    <row r="27998">
      <c r="S27998" s="27"/>
      <c r="T27998" s="27"/>
      <c r="U27998" s="27"/>
    </row>
    <row r="28000">
      <c r="S28000" s="27"/>
      <c r="T28000" s="27"/>
      <c r="U28000" s="27"/>
    </row>
    <row r="28001">
      <c r="S28001" s="27"/>
      <c r="T28001" s="27"/>
      <c r="U28001" s="27"/>
    </row>
    <row r="28003">
      <c r="S28003" s="27"/>
      <c r="T28003" s="27"/>
      <c r="U28003" s="27"/>
    </row>
    <row r="28004">
      <c r="S28004" s="27"/>
      <c r="T28004" s="27"/>
      <c r="U28004" s="27"/>
    </row>
    <row r="28006">
      <c r="S28006" s="27"/>
      <c r="T28006" s="27"/>
      <c r="U28006" s="27"/>
    </row>
    <row r="28007">
      <c r="S28007" s="27"/>
      <c r="T28007" s="27"/>
      <c r="U28007" s="27"/>
    </row>
    <row r="28009">
      <c r="S28009" s="27"/>
      <c r="T28009" s="27"/>
      <c r="U28009" s="27"/>
    </row>
    <row r="28010">
      <c r="S28010" s="27"/>
      <c r="T28010" s="27"/>
      <c r="U28010" s="27"/>
    </row>
    <row r="28012">
      <c r="S28012" s="27"/>
      <c r="T28012" s="27"/>
      <c r="U28012" s="27"/>
    </row>
    <row r="28013">
      <c r="S28013" s="27"/>
      <c r="T28013" s="27"/>
      <c r="U28013" s="27"/>
    </row>
    <row r="28015">
      <c r="S28015" s="27"/>
      <c r="T28015" s="27"/>
      <c r="U28015" s="27"/>
    </row>
    <row r="28016">
      <c r="S28016" s="27"/>
      <c r="T28016" s="27"/>
      <c r="U28016" s="27"/>
    </row>
    <row r="28018">
      <c r="S28018" s="27"/>
      <c r="T28018" s="27"/>
      <c r="U28018" s="27"/>
    </row>
    <row r="28019">
      <c r="S28019" s="27"/>
      <c r="T28019" s="27"/>
      <c r="U28019" s="27"/>
    </row>
    <row r="28021">
      <c r="S28021" s="27"/>
      <c r="T28021" s="27"/>
      <c r="U28021" s="27"/>
    </row>
    <row r="28022">
      <c r="S28022" s="27"/>
      <c r="T28022" s="27"/>
      <c r="U28022" s="27"/>
    </row>
    <row r="28024">
      <c r="S28024" s="27"/>
      <c r="T28024" s="27"/>
      <c r="U28024" s="27"/>
    </row>
    <row r="28025">
      <c r="S28025" s="27"/>
      <c r="T28025" s="27"/>
      <c r="U28025" s="27"/>
    </row>
    <row r="28027">
      <c r="S28027" s="27"/>
      <c r="T28027" s="27"/>
      <c r="U28027" s="27"/>
    </row>
    <row r="28028">
      <c r="S28028" s="27"/>
      <c r="T28028" s="27"/>
      <c r="U28028" s="27"/>
    </row>
    <row r="28030">
      <c r="S28030" s="27"/>
      <c r="T28030" s="27"/>
      <c r="U28030" s="27"/>
    </row>
    <row r="28031">
      <c r="S28031" s="27"/>
      <c r="T28031" s="27"/>
      <c r="U28031" s="27"/>
    </row>
    <row r="28033">
      <c r="S28033" s="27"/>
      <c r="T28033" s="27"/>
      <c r="U28033" s="27"/>
    </row>
    <row r="28034">
      <c r="S28034" s="27"/>
      <c r="T28034" s="27"/>
      <c r="U28034" s="27"/>
    </row>
    <row r="28036">
      <c r="S28036" s="27"/>
      <c r="T28036" s="27"/>
      <c r="U28036" s="27"/>
    </row>
    <row r="28037">
      <c r="S28037" s="27"/>
      <c r="T28037" s="27"/>
      <c r="U28037" s="27"/>
    </row>
    <row r="28039">
      <c r="S28039" s="27"/>
      <c r="T28039" s="27"/>
      <c r="U28039" s="27"/>
    </row>
    <row r="28040">
      <c r="S28040" s="27"/>
      <c r="T28040" s="27"/>
      <c r="U28040" s="27"/>
    </row>
    <row r="28042">
      <c r="S28042" s="27"/>
      <c r="T28042" s="27"/>
      <c r="U28042" s="27"/>
    </row>
    <row r="28043">
      <c r="S28043" s="27"/>
      <c r="T28043" s="27"/>
      <c r="U28043" s="27"/>
    </row>
    <row r="28045">
      <c r="S28045" s="27"/>
      <c r="T28045" s="27"/>
      <c r="U28045" s="27"/>
    </row>
    <row r="28046">
      <c r="S28046" s="27"/>
      <c r="T28046" s="27"/>
      <c r="U28046" s="27"/>
    </row>
    <row r="28048">
      <c r="S28048" s="27"/>
      <c r="T28048" s="27"/>
      <c r="U28048" s="27"/>
    </row>
    <row r="28049">
      <c r="S28049" s="27"/>
      <c r="T28049" s="27"/>
      <c r="U28049" s="27"/>
    </row>
    <row r="28051">
      <c r="S28051" s="27"/>
      <c r="T28051" s="27"/>
      <c r="U28051" s="27"/>
    </row>
    <row r="28052">
      <c r="S28052" s="27"/>
      <c r="T28052" s="27"/>
      <c r="U28052" s="27"/>
    </row>
    <row r="28054">
      <c r="S28054" s="27"/>
      <c r="T28054" s="27"/>
      <c r="U28054" s="27"/>
    </row>
    <row r="28055">
      <c r="S28055" s="27"/>
      <c r="T28055" s="27"/>
      <c r="U28055" s="27"/>
    </row>
    <row r="28057">
      <c r="S28057" s="27"/>
      <c r="T28057" s="27"/>
      <c r="U28057" s="27"/>
    </row>
    <row r="28058">
      <c r="S28058" s="27"/>
      <c r="T28058" s="27"/>
      <c r="U28058" s="27"/>
    </row>
    <row r="28060">
      <c r="S28060" s="27"/>
      <c r="T28060" s="27"/>
      <c r="U28060" s="27"/>
    </row>
    <row r="28061">
      <c r="S28061" s="27"/>
      <c r="T28061" s="27"/>
      <c r="U28061" s="27"/>
    </row>
    <row r="28063">
      <c r="S28063" s="27"/>
      <c r="T28063" s="27"/>
      <c r="U28063" s="27"/>
    </row>
    <row r="28064">
      <c r="S28064" s="27"/>
      <c r="T28064" s="27"/>
      <c r="U28064" s="27"/>
    </row>
    <row r="28066">
      <c r="S28066" s="27"/>
      <c r="T28066" s="27"/>
      <c r="U28066" s="27"/>
    </row>
    <row r="28068">
      <c r="S28068" s="27"/>
      <c r="T28068" s="27"/>
      <c r="U28068" s="27"/>
    </row>
    <row r="28069">
      <c r="S28069" s="27"/>
      <c r="T28069" s="27"/>
      <c r="U28069" s="27"/>
    </row>
    <row r="28071">
      <c r="S28071" s="27"/>
      <c r="T28071" s="27"/>
      <c r="U28071" s="27"/>
    </row>
    <row r="28072">
      <c r="S28072" s="27"/>
      <c r="T28072" s="27"/>
      <c r="U28072" s="27"/>
    </row>
    <row r="28074">
      <c r="S28074" s="27"/>
      <c r="T28074" s="27"/>
      <c r="U28074" s="27"/>
    </row>
    <row r="28075">
      <c r="S28075" s="27"/>
      <c r="T28075" s="27"/>
      <c r="U28075" s="27"/>
    </row>
    <row r="28077">
      <c r="S28077" s="27"/>
      <c r="T28077" s="27"/>
      <c r="U28077" s="27"/>
    </row>
    <row r="28078">
      <c r="S28078" s="27"/>
      <c r="T28078" s="27"/>
      <c r="U28078" s="27"/>
    </row>
    <row r="28080">
      <c r="S28080" s="27"/>
      <c r="T28080" s="27"/>
      <c r="U28080" s="27"/>
    </row>
    <row r="28081">
      <c r="S28081" s="27"/>
      <c r="T28081" s="27"/>
      <c r="U28081" s="27"/>
    </row>
    <row r="28083">
      <c r="S28083" s="27"/>
      <c r="T28083" s="27"/>
      <c r="U28083" s="27"/>
    </row>
    <row r="28084">
      <c r="S28084" s="27"/>
      <c r="T28084" s="27"/>
      <c r="U28084" s="27"/>
    </row>
    <row r="28086">
      <c r="S28086" s="27"/>
      <c r="T28086" s="27"/>
      <c r="U28086" s="27"/>
    </row>
    <row r="28087">
      <c r="S28087" s="27"/>
      <c r="T28087" s="27"/>
      <c r="U28087" s="27"/>
    </row>
    <row r="28089">
      <c r="S28089" s="27"/>
      <c r="T28089" s="27"/>
      <c r="U28089" s="27"/>
    </row>
    <row r="28091">
      <c r="S28091" s="27"/>
      <c r="T28091" s="27"/>
      <c r="U28091" s="27"/>
    </row>
    <row r="28093">
      <c r="S28093" s="27"/>
      <c r="T28093" s="27"/>
      <c r="U28093" s="27"/>
    </row>
    <row r="28095">
      <c r="S28095" s="27"/>
      <c r="T28095" s="27"/>
      <c r="U28095" s="27"/>
    </row>
    <row r="28097">
      <c r="S28097" s="27"/>
      <c r="T28097" s="27"/>
      <c r="U28097" s="27"/>
    </row>
    <row r="28098">
      <c r="S28098" s="27"/>
      <c r="T28098" s="27"/>
      <c r="U28098" s="27"/>
    </row>
    <row r="28100">
      <c r="S28100" s="27"/>
      <c r="T28100" s="27"/>
      <c r="U28100" s="27"/>
    </row>
    <row r="28101">
      <c r="S28101" s="27"/>
      <c r="T28101" s="27"/>
      <c r="U28101" s="27"/>
    </row>
    <row r="28103">
      <c r="S28103" s="27"/>
      <c r="T28103" s="27"/>
      <c r="U28103" s="27"/>
    </row>
    <row r="28104">
      <c r="U28104" s="27"/>
    </row>
    <row r="28106">
      <c r="S28106" s="27"/>
      <c r="T28106" s="27"/>
      <c r="U28106" s="27"/>
    </row>
    <row r="28107">
      <c r="S28107" s="27"/>
      <c r="T28107" s="27"/>
      <c r="U28107" s="27"/>
    </row>
    <row r="28109">
      <c r="S28109" s="27"/>
      <c r="T28109" s="27"/>
      <c r="U28109" s="27"/>
    </row>
    <row r="28110">
      <c r="S28110" s="27"/>
      <c r="T28110" s="27"/>
      <c r="U28110" s="27"/>
    </row>
    <row r="28112">
      <c r="S28112" s="27"/>
      <c r="T28112" s="27"/>
      <c r="U28112" s="27"/>
    </row>
    <row r="28113">
      <c r="S28113" s="27"/>
      <c r="T28113" s="27"/>
      <c r="U28113" s="27"/>
    </row>
    <row r="28118">
      <c r="S28118" s="26"/>
      <c r="T28118" s="26"/>
      <c r="U28118" s="26"/>
    </row>
    <row r="28121">
      <c r="S28121" s="27"/>
      <c r="T28121" s="27"/>
      <c r="U28121" s="27"/>
    </row>
    <row r="28124">
      <c r="S28124" s="27"/>
      <c r="T28124" s="27"/>
      <c r="U28124" s="27"/>
    </row>
    <row r="28125">
      <c r="S28125" s="27"/>
      <c r="T28125" s="27"/>
      <c r="U28125" s="27"/>
    </row>
    <row r="28127">
      <c r="S28127" s="27"/>
      <c r="T28127" s="27"/>
      <c r="U28127" s="27"/>
    </row>
    <row r="28128">
      <c r="S28128" s="27"/>
      <c r="T28128" s="27"/>
      <c r="U28128" s="27"/>
    </row>
    <row r="28130">
      <c r="S28130" s="27"/>
      <c r="T28130" s="27"/>
      <c r="U28130" s="27"/>
    </row>
    <row r="28131">
      <c r="S28131" s="27"/>
      <c r="T28131" s="27"/>
      <c r="U28131" s="27"/>
    </row>
    <row r="28133">
      <c r="S28133" s="26"/>
      <c r="T28133" s="26"/>
      <c r="U28133" s="26"/>
    </row>
    <row r="28136">
      <c r="S28136" s="27"/>
      <c r="T28136" s="27"/>
      <c r="U28136" s="27"/>
    </row>
    <row r="28137">
      <c r="S28137" s="27"/>
      <c r="T28137" s="27"/>
      <c r="U28137" s="27"/>
    </row>
    <row r="28139">
      <c r="S28139" s="27"/>
      <c r="T28139" s="27"/>
      <c r="U28139" s="27"/>
    </row>
    <row r="28140">
      <c r="S28140" s="27"/>
      <c r="T28140" s="27"/>
      <c r="U28140" s="27"/>
    </row>
    <row r="28142">
      <c r="S28142" s="27"/>
      <c r="T28142" s="27"/>
      <c r="U28142" s="27"/>
    </row>
    <row r="28143">
      <c r="S28143" s="27"/>
      <c r="T28143" s="27"/>
      <c r="U28143" s="27"/>
    </row>
    <row r="28148">
      <c r="S28148" s="26"/>
      <c r="T28148" s="26"/>
      <c r="U28148" s="26"/>
    </row>
    <row r="28151">
      <c r="S28151" s="27"/>
      <c r="T28151" s="27"/>
      <c r="U28151" s="27"/>
    </row>
    <row r="28152">
      <c r="S28152" s="27"/>
      <c r="T28152" s="27"/>
      <c r="U28152" s="27"/>
    </row>
    <row r="28154">
      <c r="S28154" s="27"/>
      <c r="T28154" s="27"/>
      <c r="U28154" s="27"/>
    </row>
    <row r="28155">
      <c r="S28155" s="27"/>
      <c r="T28155" s="27"/>
      <c r="U28155" s="27"/>
    </row>
    <row r="28157">
      <c r="S28157" s="26"/>
      <c r="T28157" s="26"/>
      <c r="U28157" s="26"/>
    </row>
    <row r="28160">
      <c r="S28160" s="27"/>
      <c r="T28160" s="27"/>
      <c r="U28160" s="27"/>
    </row>
    <row r="28163">
      <c r="S28163" s="27"/>
      <c r="T28163" s="27"/>
      <c r="U28163" s="27"/>
    </row>
    <row r="28164">
      <c r="S28164" s="27"/>
      <c r="T28164" s="27"/>
      <c r="U28164" s="27"/>
    </row>
    <row r="28166">
      <c r="S28166" s="27"/>
      <c r="T28166" s="27"/>
      <c r="U28166" s="27"/>
    </row>
    <row r="28167">
      <c r="S28167" s="27"/>
      <c r="T28167" s="27"/>
      <c r="U28167" s="27"/>
    </row>
    <row r="28169">
      <c r="S28169" s="27"/>
      <c r="T28169" s="27"/>
      <c r="U28169" s="27"/>
    </row>
    <row r="28170">
      <c r="S28170" s="27"/>
      <c r="T28170" s="27"/>
      <c r="U28170" s="27"/>
    </row>
    <row r="28172">
      <c r="S28172" s="27"/>
      <c r="T28172" s="27"/>
      <c r="U28172" s="27"/>
    </row>
    <row r="28173">
      <c r="S28173" s="27"/>
      <c r="T28173" s="27"/>
      <c r="U28173" s="27"/>
    </row>
    <row r="28175">
      <c r="S28175" s="27"/>
      <c r="T28175" s="27"/>
      <c r="U28175" s="27"/>
    </row>
    <row r="28176">
      <c r="S28176" s="27"/>
      <c r="T28176" s="27"/>
      <c r="U28176" s="27"/>
    </row>
    <row r="28178">
      <c r="S28178" s="27"/>
      <c r="T28178" s="27"/>
      <c r="U28178" s="27"/>
    </row>
    <row r="28179">
      <c r="S28179" s="27"/>
      <c r="T28179" s="27"/>
      <c r="U28179" s="27"/>
    </row>
    <row r="28181">
      <c r="S28181" s="27"/>
      <c r="T28181" s="27"/>
      <c r="U28181" s="27"/>
    </row>
    <row r="28182">
      <c r="S28182" s="27"/>
      <c r="T28182" s="27"/>
      <c r="U28182" s="27"/>
    </row>
    <row r="28184">
      <c r="S28184" s="27"/>
      <c r="T28184" s="27"/>
      <c r="U28184" s="27"/>
    </row>
    <row r="28185">
      <c r="S28185" s="27"/>
      <c r="T28185" s="27"/>
      <c r="U28185" s="27"/>
    </row>
    <row r="28187">
      <c r="S28187" s="27"/>
      <c r="T28187" s="27"/>
      <c r="U28187" s="27"/>
    </row>
    <row r="28188">
      <c r="S28188" s="27"/>
      <c r="T28188" s="27"/>
      <c r="U28188" s="27"/>
    </row>
    <row r="28190">
      <c r="S28190" s="27"/>
      <c r="T28190" s="27"/>
      <c r="U28190" s="27"/>
    </row>
    <row r="28191">
      <c r="S28191" s="27"/>
      <c r="T28191" s="27"/>
      <c r="U28191" s="27"/>
    </row>
    <row r="28193">
      <c r="S28193" s="27"/>
      <c r="T28193" s="27"/>
      <c r="U28193" s="27"/>
    </row>
    <row r="28194">
      <c r="S28194" s="27"/>
      <c r="T28194" s="27"/>
      <c r="U28194" s="27"/>
    </row>
    <row r="28196">
      <c r="S28196" s="27"/>
      <c r="T28196" s="27"/>
      <c r="U28196" s="27"/>
    </row>
    <row r="28197">
      <c r="S28197" s="27"/>
      <c r="T28197" s="27"/>
      <c r="U28197" s="27"/>
    </row>
    <row r="28199">
      <c r="S28199" s="27"/>
      <c r="T28199" s="27"/>
      <c r="U28199" s="27"/>
    </row>
    <row r="28200">
      <c r="S28200" s="27"/>
      <c r="T28200" s="27"/>
      <c r="U28200" s="27"/>
    </row>
    <row r="28202">
      <c r="S28202" s="27"/>
      <c r="T28202" s="27"/>
      <c r="U28202" s="27"/>
    </row>
    <row r="28203">
      <c r="S28203" s="27"/>
      <c r="T28203" s="27"/>
      <c r="U28203" s="27"/>
    </row>
    <row r="28205">
      <c r="S28205" s="27"/>
      <c r="T28205" s="27"/>
      <c r="U28205" s="27"/>
    </row>
    <row r="28206">
      <c r="S28206" s="27"/>
      <c r="T28206" s="27"/>
      <c r="U28206" s="27"/>
    </row>
    <row r="28208">
      <c r="S28208" s="27"/>
      <c r="T28208" s="27"/>
      <c r="U28208" s="27"/>
    </row>
    <row r="28209">
      <c r="S28209" s="27"/>
      <c r="T28209" s="27"/>
      <c r="U28209" s="27"/>
    </row>
    <row r="28211">
      <c r="S28211" s="27"/>
      <c r="T28211" s="27"/>
      <c r="U28211" s="27"/>
    </row>
    <row r="28212">
      <c r="S28212" s="27"/>
      <c r="T28212" s="27"/>
      <c r="U28212" s="27"/>
    </row>
    <row r="28214">
      <c r="S28214" s="27"/>
      <c r="T28214" s="27"/>
      <c r="U28214" s="27"/>
    </row>
    <row r="28215">
      <c r="S28215" s="27"/>
      <c r="T28215" s="27"/>
      <c r="U28215" s="27"/>
    </row>
    <row r="28217">
      <c r="S28217" s="27"/>
      <c r="T28217" s="27"/>
      <c r="U28217" s="27"/>
    </row>
    <row r="28218">
      <c r="S28218" s="27"/>
      <c r="T28218" s="27"/>
      <c r="U28218" s="27"/>
    </row>
    <row r="28220">
      <c r="S28220" s="27"/>
      <c r="T28220" s="27"/>
      <c r="U28220" s="27"/>
    </row>
    <row r="28221">
      <c r="S28221" s="27"/>
      <c r="T28221" s="27"/>
      <c r="U28221" s="27"/>
    </row>
    <row r="28223">
      <c r="S28223" s="27"/>
      <c r="T28223" s="27"/>
      <c r="U28223" s="27"/>
    </row>
    <row r="28224">
      <c r="S28224" s="27"/>
      <c r="T28224" s="27"/>
      <c r="U28224" s="27"/>
    </row>
    <row r="28226">
      <c r="S28226" s="27"/>
      <c r="T28226" s="27"/>
      <c r="U28226" s="27"/>
    </row>
    <row r="28227">
      <c r="S28227" s="27"/>
      <c r="T28227" s="27"/>
      <c r="U28227" s="27"/>
    </row>
    <row r="28229">
      <c r="S28229" s="27"/>
      <c r="T28229" s="27"/>
      <c r="U28229" s="27"/>
    </row>
    <row r="28230">
      <c r="S28230" s="27"/>
      <c r="T28230" s="27"/>
      <c r="U28230" s="27"/>
    </row>
    <row r="28232">
      <c r="S28232" s="27"/>
      <c r="T28232" s="27"/>
      <c r="U28232" s="27"/>
    </row>
    <row r="28233">
      <c r="S28233" s="27"/>
      <c r="T28233" s="27"/>
      <c r="U28233" s="27"/>
    </row>
    <row r="28238">
      <c r="S28238" s="27"/>
      <c r="T28238" s="27"/>
      <c r="U28238" s="27"/>
    </row>
    <row r="28239">
      <c r="S28239" s="27"/>
      <c r="T28239" s="27"/>
      <c r="U28239" s="27"/>
    </row>
    <row r="28241">
      <c r="S28241" s="27"/>
      <c r="T28241" s="27"/>
      <c r="U28241" s="27"/>
    </row>
    <row r="28244">
      <c r="S28244" s="33"/>
      <c r="T28244" s="27"/>
    </row>
    <row r="28245">
      <c r="S28245" s="27"/>
      <c r="T28245" s="27"/>
    </row>
    <row r="28247">
      <c r="S28247" s="27"/>
      <c r="T28247" s="27"/>
      <c r="U28247" s="27"/>
    </row>
    <row r="28248">
      <c r="S28248" s="27"/>
      <c r="T28248" s="27"/>
      <c r="U28248" s="27"/>
    </row>
    <row r="28250">
      <c r="S28250" s="27"/>
      <c r="T28250" s="27"/>
      <c r="U28250" s="27"/>
    </row>
    <row r="28251">
      <c r="T28251" s="27"/>
      <c r="U28251" s="27"/>
    </row>
    <row r="28253">
      <c r="S28253" s="27"/>
      <c r="T28253" s="27"/>
      <c r="U28253" s="27"/>
    </row>
    <row r="28254">
      <c r="S28254" s="27"/>
      <c r="T28254" s="27"/>
      <c r="U28254" s="27"/>
    </row>
    <row r="28256">
      <c r="S28256" s="27"/>
      <c r="T28256" s="27"/>
      <c r="U28256" s="27"/>
    </row>
    <row r="28257">
      <c r="S28257" s="27"/>
      <c r="T28257" s="27"/>
      <c r="U28257" s="27"/>
    </row>
    <row r="28259">
      <c r="S28259" s="27"/>
      <c r="T28259" s="27"/>
      <c r="U28259" s="27"/>
    </row>
    <row r="28260">
      <c r="S28260" s="27"/>
      <c r="T28260" s="27"/>
      <c r="U28260" s="27"/>
    </row>
    <row r="28265">
      <c r="S28265" s="26"/>
      <c r="T28265" s="26"/>
      <c r="U28265" s="26"/>
    </row>
    <row r="28268">
      <c r="S28268" s="35"/>
    </row>
    <row r="28270">
      <c r="S28270" s="27"/>
      <c r="T28270" s="27"/>
      <c r="U28270" s="27"/>
    </row>
    <row r="28272">
      <c r="S28272" s="26"/>
      <c r="T28272" s="26"/>
      <c r="U28272" s="26"/>
    </row>
    <row r="28275">
      <c r="U28275" s="27"/>
    </row>
    <row r="28278">
      <c r="S28278" s="27"/>
      <c r="T28278" s="27"/>
      <c r="U28278" s="27"/>
    </row>
    <row r="28279">
      <c r="S28279" s="27"/>
      <c r="T28279" s="27"/>
      <c r="U28279" s="27"/>
    </row>
    <row r="28281">
      <c r="S28281" s="27"/>
      <c r="T28281" s="27"/>
      <c r="U28281" s="27"/>
    </row>
    <row r="28282">
      <c r="S28282" s="27"/>
      <c r="T28282" s="27"/>
      <c r="U28282" s="27"/>
    </row>
    <row r="28284">
      <c r="S28284" s="27"/>
      <c r="T28284" s="27"/>
      <c r="U28284" s="33"/>
    </row>
    <row r="28285">
      <c r="U28285" s="27"/>
    </row>
    <row r="28287">
      <c r="S28287" s="27"/>
      <c r="T28287" s="27"/>
      <c r="U28287" s="27"/>
    </row>
    <row r="28288">
      <c r="S28288" s="26"/>
      <c r="U28288" s="27"/>
    </row>
    <row r="28291">
      <c r="S28291" s="27"/>
      <c r="T28291" s="27"/>
      <c r="U28291" s="27"/>
    </row>
    <row r="28296">
      <c r="S28296" s="27"/>
      <c r="T28296" s="27"/>
      <c r="U28296" s="27"/>
    </row>
    <row r="28297">
      <c r="S28297" s="27"/>
      <c r="T28297" s="27"/>
      <c r="U28297" s="27"/>
    </row>
    <row r="28299">
      <c r="S28299" s="27"/>
      <c r="T28299" s="27"/>
      <c r="U28299" s="27"/>
    </row>
    <row r="28300">
      <c r="S28300" s="27"/>
      <c r="T28300" s="27"/>
      <c r="U28300" s="27"/>
    </row>
    <row r="28302">
      <c r="S28302" s="27"/>
      <c r="T28302" s="27"/>
      <c r="U28302" s="27"/>
    </row>
    <row r="28303">
      <c r="S28303" s="27"/>
      <c r="T28303" s="27"/>
      <c r="U28303" s="27"/>
    </row>
    <row r="28305">
      <c r="S28305" s="33"/>
      <c r="T28305" s="33"/>
      <c r="U28305" s="33"/>
    </row>
    <row r="28311">
      <c r="S28311" s="27"/>
      <c r="T28311" s="27"/>
      <c r="U28311" s="27"/>
    </row>
    <row r="28314">
      <c r="S28314" s="27"/>
      <c r="T28314" s="27"/>
      <c r="U28314" s="27"/>
    </row>
    <row r="28315">
      <c r="S28315" s="33"/>
      <c r="T28315" s="33"/>
      <c r="U28315" s="33"/>
    </row>
    <row r="28317">
      <c r="T28317" s="26"/>
      <c r="U28317" s="26"/>
    </row>
    <row r="28318">
      <c r="S28318" s="26"/>
    </row>
    <row r="28320">
      <c r="S28320" s="27"/>
      <c r="T28320" s="27"/>
      <c r="U28320" s="27"/>
    </row>
    <row r="28321">
      <c r="S28321" s="27"/>
      <c r="T28321" s="27"/>
      <c r="U28321" s="27"/>
    </row>
    <row r="28323">
      <c r="S28323" s="27"/>
      <c r="T28323" s="27"/>
      <c r="U28323" s="27"/>
    </row>
    <row r="28324">
      <c r="S28324" s="27"/>
      <c r="T28324" s="27"/>
      <c r="U28324" s="27"/>
    </row>
    <row r="28326">
      <c r="S28326" s="27"/>
      <c r="T28326" s="27"/>
      <c r="U28326" s="27"/>
    </row>
    <row r="28327">
      <c r="S28327" s="27"/>
      <c r="T28327" s="27"/>
      <c r="U28327" s="27"/>
    </row>
    <row r="28329">
      <c r="S28329" s="27"/>
      <c r="T28329" s="27"/>
      <c r="U28329" s="27"/>
    </row>
    <row r="28330">
      <c r="S28330" s="27"/>
      <c r="T28330" s="27"/>
      <c r="U28330" s="27"/>
    </row>
    <row r="28332">
      <c r="S28332" s="27"/>
      <c r="T28332" s="27"/>
      <c r="U28332" s="27"/>
    </row>
    <row r="28333">
      <c r="S28333" s="27"/>
      <c r="T28333" s="27"/>
      <c r="U28333" s="27"/>
    </row>
    <row r="28335">
      <c r="S28335" s="27"/>
      <c r="T28335" s="27"/>
      <c r="U28335" s="27"/>
    </row>
    <row r="28336">
      <c r="S28336" s="27"/>
      <c r="T28336" s="27"/>
      <c r="U28336" s="27"/>
    </row>
    <row r="28338">
      <c r="S28338" s="27"/>
      <c r="T28338" s="27"/>
      <c r="U28338" s="26"/>
    </row>
    <row r="28342">
      <c r="S28342" s="27"/>
      <c r="U28342" s="27"/>
    </row>
    <row r="28344">
      <c r="S28344" s="27"/>
      <c r="T28344" s="27"/>
      <c r="U28344" s="27"/>
    </row>
    <row r="28345">
      <c r="S28345" s="27"/>
      <c r="T28345" s="27"/>
      <c r="U28345" s="27"/>
    </row>
    <row r="28347">
      <c r="S28347" s="27"/>
      <c r="T28347" s="27"/>
      <c r="U28347" s="27"/>
    </row>
    <row r="28348">
      <c r="S28348" s="27"/>
      <c r="T28348" s="27"/>
      <c r="U28348" s="27"/>
    </row>
    <row r="28350">
      <c r="S28350" s="27"/>
      <c r="T28350" s="27"/>
      <c r="U28350" s="27"/>
    </row>
    <row r="28353">
      <c r="S28353" s="27"/>
      <c r="T28353" s="27"/>
      <c r="U28353" s="27"/>
    </row>
    <row r="28354">
      <c r="S28354" s="27"/>
      <c r="T28354" s="27"/>
      <c r="U28354" s="27"/>
    </row>
    <row r="28359">
      <c r="S28359" s="27"/>
      <c r="U28359" s="27"/>
    </row>
    <row r="28362">
      <c r="S28362" s="27"/>
      <c r="T28362" s="27"/>
      <c r="U28362" s="27"/>
    </row>
    <row r="28363">
      <c r="S28363" s="27"/>
      <c r="T28363" s="27"/>
      <c r="U28363" s="27"/>
    </row>
    <row r="28365">
      <c r="S28365" s="27"/>
      <c r="T28365" s="27"/>
      <c r="U28365" s="27"/>
    </row>
    <row r="28366">
      <c r="S28366" s="27"/>
      <c r="T28366" s="27"/>
      <c r="U28366" s="27"/>
    </row>
    <row r="28368">
      <c r="S28368" s="27"/>
      <c r="T28368" s="27"/>
      <c r="U28368" s="27"/>
    </row>
    <row r="28369">
      <c r="S28369" s="27"/>
      <c r="T28369" s="27"/>
      <c r="U28369" s="27"/>
    </row>
    <row r="28371">
      <c r="S28371" s="27"/>
    </row>
    <row r="28372">
      <c r="S28372" s="26"/>
      <c r="T28372" s="26"/>
      <c r="U28372" s="26"/>
    </row>
    <row r="28374">
      <c r="S28374" s="27"/>
      <c r="T28374" s="27"/>
      <c r="U28374" s="27"/>
    </row>
    <row r="28375">
      <c r="S28375" s="27"/>
      <c r="T28375" s="27"/>
      <c r="U28375" s="27"/>
    </row>
    <row r="28377">
      <c r="S28377" s="27"/>
      <c r="T28377" s="27"/>
      <c r="U28377" s="27"/>
    </row>
    <row r="28378">
      <c r="S28378" s="27"/>
      <c r="T28378" s="27"/>
      <c r="U28378" s="27"/>
    </row>
    <row r="28380">
      <c r="S28380" s="27"/>
      <c r="T28380" s="27"/>
      <c r="U28380" s="27"/>
    </row>
    <row r="28381">
      <c r="S28381" s="27"/>
      <c r="T28381" s="27"/>
      <c r="U28381" s="27"/>
    </row>
    <row r="28383">
      <c r="S28383" s="27"/>
      <c r="T28383" s="27"/>
      <c r="U28383" s="27"/>
    </row>
    <row r="28384">
      <c r="S28384" s="27"/>
      <c r="T28384" s="27"/>
      <c r="U28384" s="27"/>
    </row>
    <row r="28386">
      <c r="S28386" s="27"/>
      <c r="T28386" s="27"/>
      <c r="U28386" s="27"/>
    </row>
    <row r="28387">
      <c r="S28387" s="27"/>
      <c r="T28387" s="27"/>
      <c r="U28387" s="27"/>
    </row>
    <row r="28389">
      <c r="S28389" s="27"/>
      <c r="T28389" s="27"/>
      <c r="U28389" s="27"/>
    </row>
    <row r="28390">
      <c r="S28390" s="27"/>
      <c r="T28390" s="27"/>
      <c r="U28390" s="27"/>
    </row>
    <row r="28392">
      <c r="S28392" s="27"/>
      <c r="T28392" s="27"/>
      <c r="U28392" s="27"/>
    </row>
    <row r="28393">
      <c r="S28393" s="27"/>
      <c r="T28393" s="27"/>
      <c r="U28393" s="27"/>
    </row>
    <row r="28395">
      <c r="S28395" s="27"/>
      <c r="T28395" s="27"/>
      <c r="U28395" s="27"/>
    </row>
    <row r="28396">
      <c r="S28396" s="27"/>
      <c r="T28396" s="27"/>
      <c r="U28396" s="27"/>
    </row>
    <row r="28398">
      <c r="S28398" s="27"/>
      <c r="T28398" s="27"/>
      <c r="U28398" s="27"/>
    </row>
    <row r="28399">
      <c r="S28399" s="27"/>
      <c r="T28399" s="27"/>
      <c r="U28399" s="27"/>
    </row>
    <row r="28401">
      <c r="S28401" s="27"/>
      <c r="T28401" s="27"/>
      <c r="U28401" s="27"/>
    </row>
    <row r="28402">
      <c r="S28402" s="27"/>
      <c r="T28402" s="27"/>
      <c r="U28402" s="27"/>
    </row>
    <row r="28404">
      <c r="S28404" s="27"/>
      <c r="T28404" s="27"/>
      <c r="U28404" s="27"/>
    </row>
    <row r="28405">
      <c r="S28405" s="27"/>
      <c r="T28405" s="27"/>
      <c r="U28405" s="27"/>
    </row>
    <row r="28407">
      <c r="S28407" s="27"/>
      <c r="T28407" s="27"/>
      <c r="U28407" s="27"/>
    </row>
    <row r="28408">
      <c r="S28408" s="27"/>
      <c r="T28408" s="27"/>
      <c r="U28408" s="27"/>
    </row>
    <row r="28410">
      <c r="S28410" s="27"/>
      <c r="T28410" s="27"/>
      <c r="U28410" s="27"/>
    </row>
    <row r="28411">
      <c r="S28411" s="27"/>
      <c r="T28411" s="27"/>
      <c r="U28411" s="27"/>
    </row>
    <row r="28413">
      <c r="S28413" s="27"/>
      <c r="T28413" s="27"/>
      <c r="U28413" s="27"/>
    </row>
    <row r="28414">
      <c r="S28414" s="27"/>
      <c r="T28414" s="27"/>
      <c r="U28414" s="27"/>
    </row>
    <row r="28416">
      <c r="S28416" s="27"/>
      <c r="T28416" s="27"/>
      <c r="U28416" s="27"/>
    </row>
    <row r="28417">
      <c r="S28417" s="27"/>
      <c r="T28417" s="27"/>
      <c r="U28417" s="27"/>
    </row>
    <row r="28419">
      <c r="S28419" s="27"/>
      <c r="T28419" s="27"/>
      <c r="U28419" s="27"/>
    </row>
    <row r="28420">
      <c r="S28420" s="27"/>
      <c r="T28420" s="27"/>
      <c r="U28420" s="27"/>
    </row>
    <row r="28422">
      <c r="S28422" s="27"/>
      <c r="T28422" s="27"/>
      <c r="U28422" s="27"/>
    </row>
    <row r="28423">
      <c r="S28423" s="27"/>
      <c r="T28423" s="27"/>
      <c r="U28423" s="27"/>
    </row>
    <row r="28425">
      <c r="S28425" s="27"/>
      <c r="T28425" s="27"/>
      <c r="U28425" s="27"/>
    </row>
    <row r="28426">
      <c r="S28426" s="27"/>
      <c r="T28426" s="27"/>
      <c r="U28426" s="27"/>
    </row>
    <row r="28428">
      <c r="S28428" s="27"/>
      <c r="T28428" s="27"/>
      <c r="U28428" s="27"/>
    </row>
    <row r="28429">
      <c r="S28429" s="27"/>
      <c r="T28429" s="27"/>
      <c r="U28429" s="27"/>
    </row>
    <row r="28431">
      <c r="S28431" s="27"/>
      <c r="T28431" s="27"/>
      <c r="U28431" s="27"/>
    </row>
    <row r="28432">
      <c r="S28432" s="27"/>
      <c r="T28432" s="27"/>
      <c r="U28432" s="27"/>
    </row>
    <row r="28434">
      <c r="S28434" s="27"/>
      <c r="T28434" s="27"/>
      <c r="U28434" s="27"/>
    </row>
    <row r="28435">
      <c r="S28435" s="27"/>
      <c r="T28435" s="27"/>
      <c r="U28435" s="27"/>
    </row>
    <row r="28437">
      <c r="S28437" s="27"/>
      <c r="T28437" s="27"/>
      <c r="U28437" s="27"/>
    </row>
    <row r="28438">
      <c r="S28438" s="27"/>
      <c r="T28438" s="27"/>
      <c r="U28438" s="27"/>
    </row>
    <row r="28440">
      <c r="S28440" s="27"/>
      <c r="T28440" s="27"/>
      <c r="U28440" s="27"/>
    </row>
    <row r="28441">
      <c r="S28441" s="27"/>
      <c r="T28441" s="27"/>
      <c r="U28441" s="27"/>
    </row>
    <row r="28443">
      <c r="S28443" s="27"/>
      <c r="T28443" s="27"/>
      <c r="U28443" s="27"/>
    </row>
    <row r="28444">
      <c r="S28444" s="27"/>
      <c r="T28444" s="27"/>
      <c r="U28444" s="27"/>
    </row>
    <row r="28446">
      <c r="S28446" s="27"/>
      <c r="T28446" s="27"/>
      <c r="U28446" s="27"/>
    </row>
    <row r="28447">
      <c r="S28447" s="27"/>
      <c r="T28447" s="27"/>
      <c r="U28447" s="27"/>
    </row>
    <row r="28449">
      <c r="S28449" s="27"/>
      <c r="T28449" s="27"/>
      <c r="U28449" s="27"/>
    </row>
    <row r="28450">
      <c r="S28450" s="27"/>
      <c r="T28450" s="27"/>
      <c r="U28450" s="27"/>
    </row>
    <row r="28452">
      <c r="S28452" s="27"/>
      <c r="T28452" s="27"/>
      <c r="U28452" s="27"/>
    </row>
    <row r="28453">
      <c r="S28453" s="27"/>
      <c r="T28453" s="27"/>
      <c r="U28453" s="27"/>
    </row>
    <row r="28455">
      <c r="S28455" s="27"/>
      <c r="T28455" s="27"/>
      <c r="U28455" s="27"/>
    </row>
    <row r="28456">
      <c r="S28456" s="27"/>
      <c r="T28456" s="27"/>
      <c r="U28456" s="27"/>
    </row>
    <row r="28458">
      <c r="S28458" s="27"/>
      <c r="T28458" s="27"/>
      <c r="U28458" s="27"/>
    </row>
    <row r="28459">
      <c r="S28459" s="27"/>
      <c r="T28459" s="27"/>
      <c r="U28459" s="27"/>
    </row>
    <row r="28461">
      <c r="S28461" s="27"/>
      <c r="T28461" s="27"/>
      <c r="U28461" s="27"/>
    </row>
    <row r="28462">
      <c r="S28462" s="27"/>
      <c r="T28462" s="27"/>
      <c r="U28462" s="27"/>
    </row>
    <row r="28464">
      <c r="S28464" s="27"/>
      <c r="T28464" s="27"/>
      <c r="U28464" s="27"/>
    </row>
    <row r="28465">
      <c r="S28465" s="27"/>
      <c r="T28465" s="27"/>
      <c r="U28465" s="27"/>
    </row>
    <row r="28467">
      <c r="S28467" s="27"/>
      <c r="T28467" s="27"/>
      <c r="U28467" s="27"/>
    </row>
    <row r="28469">
      <c r="S28469" s="27"/>
      <c r="T28469" s="27"/>
      <c r="U28469" s="27"/>
    </row>
    <row r="28470">
      <c r="S28470" s="27"/>
      <c r="T28470" s="27"/>
      <c r="U28470" s="27"/>
    </row>
    <row r="28472">
      <c r="S28472" s="27"/>
      <c r="T28472" s="27"/>
      <c r="U28472" s="27"/>
    </row>
    <row r="28473">
      <c r="S28473" s="27"/>
      <c r="T28473" s="27"/>
      <c r="U28473" s="27"/>
    </row>
    <row r="28475">
      <c r="S28475" s="27"/>
      <c r="T28475" s="27"/>
      <c r="U28475" s="27"/>
    </row>
    <row r="28476">
      <c r="S28476" s="27"/>
      <c r="T28476" s="27"/>
      <c r="U28476" s="27"/>
    </row>
    <row r="28478">
      <c r="S28478" s="27"/>
      <c r="T28478" s="27"/>
      <c r="U28478" s="27"/>
    </row>
    <row r="28479">
      <c r="S28479" s="27"/>
      <c r="T28479" s="27"/>
      <c r="U28479" s="27"/>
    </row>
    <row r="28481">
      <c r="S28481" s="27"/>
      <c r="T28481" s="27"/>
      <c r="U28481" s="27"/>
    </row>
    <row r="28482">
      <c r="S28482" s="27"/>
      <c r="T28482" s="27"/>
      <c r="U28482" s="27"/>
    </row>
    <row r="28484">
      <c r="S28484" s="27"/>
      <c r="T28484" s="27"/>
      <c r="U28484" s="27"/>
    </row>
    <row r="28485">
      <c r="S28485" s="27"/>
      <c r="T28485" s="27"/>
      <c r="U28485" s="27"/>
    </row>
    <row r="28487">
      <c r="S28487" s="27"/>
      <c r="T28487" s="27"/>
      <c r="U28487" s="27"/>
    </row>
    <row r="28488">
      <c r="S28488" s="27"/>
      <c r="T28488" s="27"/>
      <c r="U28488" s="27"/>
    </row>
    <row r="28490">
      <c r="S28490" s="27"/>
      <c r="T28490" s="27"/>
      <c r="U28490" s="27"/>
    </row>
    <row r="28492">
      <c r="S28492" s="27"/>
      <c r="T28492" s="27"/>
      <c r="U28492" s="27"/>
    </row>
    <row r="28494">
      <c r="S28494" s="27"/>
      <c r="T28494" s="27"/>
      <c r="U28494" s="27"/>
    </row>
    <row r="28496">
      <c r="S28496" s="27"/>
      <c r="T28496" s="27"/>
      <c r="U28496" s="27"/>
    </row>
    <row r="28498">
      <c r="S28498" s="27"/>
      <c r="T28498" s="27"/>
      <c r="U28498" s="27"/>
    </row>
    <row r="28499">
      <c r="S28499" s="27"/>
      <c r="T28499" s="27"/>
      <c r="U28499" s="27"/>
    </row>
    <row r="28501">
      <c r="S28501" s="27"/>
      <c r="T28501" s="27"/>
      <c r="U28501" s="27"/>
    </row>
    <row r="28502">
      <c r="S28502" s="27"/>
      <c r="T28502" s="27"/>
      <c r="U28502" s="27"/>
    </row>
    <row r="28504">
      <c r="S28504" s="27"/>
      <c r="T28504" s="27"/>
      <c r="U28504" s="27"/>
    </row>
    <row r="28505">
      <c r="S28505" s="27"/>
      <c r="T28505" s="27"/>
    </row>
    <row r="28507">
      <c r="S28507" s="27"/>
      <c r="T28507" s="27"/>
      <c r="U28507" s="27"/>
    </row>
    <row r="28508">
      <c r="S28508" s="27"/>
      <c r="T28508" s="27"/>
      <c r="U28508" s="27"/>
    </row>
    <row r="28510">
      <c r="S28510" s="27"/>
      <c r="T28510" s="27"/>
      <c r="U28510" s="27"/>
    </row>
    <row r="28511">
      <c r="S28511" s="27"/>
      <c r="T28511" s="27"/>
      <c r="U28511" s="27"/>
    </row>
    <row r="28513">
      <c r="S28513" s="27"/>
      <c r="T28513" s="27"/>
      <c r="U28513" s="27"/>
    </row>
    <row r="28514">
      <c r="S28514" s="27"/>
      <c r="T28514" s="27"/>
      <c r="U28514" s="27"/>
    </row>
    <row r="28516">
      <c r="S28516" s="27"/>
      <c r="T28516" s="27"/>
      <c r="U28516" s="27"/>
    </row>
    <row r="28517">
      <c r="S28517" s="27"/>
      <c r="T28517" s="27"/>
      <c r="U28517" s="27"/>
    </row>
    <row r="28519">
      <c r="S28519" s="26"/>
      <c r="T28519" s="26"/>
    </row>
    <row r="28525">
      <c r="S28525" s="27"/>
      <c r="T28525" s="27"/>
      <c r="U28525" s="27"/>
    </row>
    <row r="28526">
      <c r="S28526" s="27"/>
      <c r="T28526" s="27"/>
      <c r="U28526" s="27"/>
    </row>
    <row r="28528">
      <c r="S28528" s="27"/>
      <c r="T28528" s="27"/>
      <c r="U28528" s="27"/>
    </row>
    <row r="28529">
      <c r="S28529" s="27"/>
      <c r="T28529" s="27"/>
      <c r="U28529" s="27"/>
    </row>
    <row r="28531">
      <c r="S28531" s="27"/>
      <c r="T28531" s="27"/>
      <c r="U28531" s="27"/>
    </row>
    <row r="28532">
      <c r="S28532" s="27"/>
      <c r="T28532" s="27"/>
      <c r="U28532" s="27"/>
    </row>
    <row r="28537">
      <c r="S28537" s="27"/>
      <c r="T28537" s="27"/>
      <c r="U28537" s="27"/>
    </row>
    <row r="28538">
      <c r="S28538" s="27"/>
      <c r="T28538" s="27"/>
      <c r="U28538" s="27"/>
    </row>
    <row r="28540">
      <c r="S28540" s="27"/>
      <c r="T28540" s="27"/>
      <c r="U28540" s="27"/>
    </row>
    <row r="28541">
      <c r="S28541" s="27"/>
      <c r="T28541" s="27"/>
      <c r="U28541" s="27"/>
    </row>
    <row r="28543">
      <c r="S28543" s="27"/>
      <c r="T28543" s="27"/>
      <c r="U28543" s="27"/>
    </row>
    <row r="28544">
      <c r="S28544" s="27"/>
      <c r="T28544" s="27"/>
      <c r="U28544" s="27"/>
    </row>
    <row r="28546">
      <c r="S28546" s="27"/>
      <c r="T28546" s="27"/>
      <c r="U28546" s="27"/>
    </row>
    <row r="28549">
      <c r="S28549" s="26"/>
      <c r="T28549" s="26"/>
      <c r="U28549" s="26"/>
    </row>
    <row r="28552">
      <c r="S28552" s="27"/>
      <c r="T28552" s="27"/>
      <c r="U28552" s="27"/>
    </row>
    <row r="28553">
      <c r="S28553" s="27"/>
      <c r="T28553" s="27"/>
      <c r="U28553" s="27"/>
    </row>
    <row r="28555">
      <c r="S28555" s="27"/>
      <c r="T28555" s="27"/>
      <c r="U28555" s="27"/>
    </row>
    <row r="28556">
      <c r="S28556" s="27"/>
      <c r="T28556" s="27"/>
      <c r="U28556" s="27"/>
    </row>
    <row r="28558">
      <c r="S28558" s="26"/>
      <c r="T28558" s="26"/>
      <c r="U28558" s="26"/>
    </row>
    <row r="28564">
      <c r="S28564" s="27"/>
      <c r="T28564" s="27"/>
      <c r="U28564" s="27"/>
    </row>
    <row r="28567">
      <c r="S28567" s="27"/>
      <c r="T28567" s="27"/>
      <c r="U28567" s="27"/>
    </row>
    <row r="28568">
      <c r="S28568" s="27"/>
      <c r="T28568" s="27"/>
      <c r="U28568" s="27"/>
    </row>
    <row r="28570">
      <c r="S28570" s="27"/>
      <c r="T28570" s="33"/>
      <c r="U28570" s="27"/>
    </row>
    <row r="28571">
      <c r="S28571" s="27"/>
      <c r="T28571" s="33"/>
      <c r="U28571" s="27"/>
    </row>
    <row r="28573">
      <c r="S28573" s="27"/>
      <c r="T28573" s="27"/>
      <c r="U28573" s="27"/>
    </row>
    <row r="28574">
      <c r="S28574" s="27"/>
      <c r="T28574" s="27"/>
      <c r="U28574" s="27"/>
    </row>
    <row r="28576">
      <c r="S28576" s="27"/>
      <c r="T28576" s="27"/>
      <c r="U28576" s="27"/>
    </row>
    <row r="28577">
      <c r="S28577" s="27"/>
      <c r="T28577" s="27"/>
      <c r="U28577" s="27"/>
    </row>
    <row r="28579">
      <c r="S28579" s="27"/>
      <c r="T28579" s="27"/>
      <c r="U28579" s="27"/>
    </row>
    <row r="28580">
      <c r="S28580" s="27"/>
      <c r="T28580" s="27"/>
      <c r="U28580" s="27"/>
    </row>
    <row r="28582">
      <c r="S28582" s="27"/>
      <c r="T28582" s="27"/>
      <c r="U28582" s="27"/>
    </row>
    <row r="28583">
      <c r="S28583" s="27"/>
      <c r="T28583" s="27"/>
      <c r="U28583" s="27"/>
    </row>
    <row r="28585">
      <c r="S28585" s="27"/>
      <c r="T28585" s="26"/>
      <c r="U28585" s="27"/>
    </row>
    <row r="28586">
      <c r="S28586" s="27"/>
      <c r="T28586" s="26"/>
      <c r="U28586" s="27"/>
    </row>
    <row r="28588">
      <c r="S28588" s="27"/>
      <c r="T28588" s="27"/>
      <c r="U28588" s="27"/>
    </row>
    <row r="28589">
      <c r="S28589" s="27"/>
      <c r="T28589" s="27"/>
      <c r="U28589" s="27"/>
    </row>
    <row r="28591">
      <c r="S28591" s="27"/>
      <c r="T28591" s="27"/>
      <c r="U28591" s="27"/>
    </row>
    <row r="28592">
      <c r="S28592" s="27"/>
      <c r="T28592" s="27"/>
      <c r="U28592" s="27"/>
    </row>
    <row r="28594">
      <c r="S28594" s="27"/>
      <c r="T28594" s="27"/>
      <c r="U28594" s="27"/>
    </row>
    <row r="28595">
      <c r="S28595" s="27"/>
      <c r="T28595" s="27"/>
      <c r="U28595" s="27"/>
    </row>
    <row r="28597">
      <c r="S28597" s="27"/>
      <c r="U28597" s="27"/>
    </row>
    <row r="28598">
      <c r="S28598" s="27"/>
      <c r="U28598" s="27"/>
    </row>
    <row r="28600">
      <c r="S28600" s="27"/>
      <c r="T28600" s="27"/>
      <c r="U28600" s="27"/>
    </row>
    <row r="28601">
      <c r="S28601" s="27"/>
      <c r="T28601" s="27"/>
      <c r="U28601" s="27"/>
    </row>
    <row r="28603">
      <c r="S28603" s="27"/>
      <c r="T28603" s="27"/>
      <c r="U28603" s="27"/>
    </row>
    <row r="28604">
      <c r="S28604" s="27"/>
      <c r="T28604" s="27"/>
      <c r="U28604" s="27"/>
    </row>
    <row r="28606">
      <c r="S28606" s="27"/>
      <c r="T28606" s="27"/>
      <c r="U28606" s="27"/>
    </row>
    <row r="28607">
      <c r="S28607" s="27"/>
      <c r="T28607" s="27"/>
      <c r="U28607" s="27"/>
    </row>
    <row r="28609">
      <c r="S28609" s="27"/>
      <c r="T28609" s="27"/>
      <c r="U28609" s="27"/>
    </row>
    <row r="28610">
      <c r="S28610" s="27"/>
      <c r="T28610" s="27"/>
      <c r="U28610" s="27"/>
    </row>
    <row r="28612">
      <c r="S28612" s="27"/>
      <c r="T28612" s="27"/>
      <c r="U28612" s="27"/>
    </row>
    <row r="28613">
      <c r="S28613" s="27"/>
      <c r="T28613" s="27"/>
      <c r="U28613" s="27"/>
    </row>
    <row r="28615">
      <c r="S28615" s="27"/>
      <c r="T28615" s="27"/>
      <c r="U28615" s="27"/>
    </row>
    <row r="28616">
      <c r="S28616" s="27"/>
      <c r="T28616" s="27"/>
      <c r="U28616" s="27"/>
    </row>
    <row r="28618">
      <c r="S28618" s="27"/>
      <c r="T28618" s="27"/>
      <c r="U28618" s="27"/>
    </row>
    <row r="28619">
      <c r="S28619" s="27"/>
      <c r="T28619" s="27"/>
      <c r="U28619" s="27"/>
    </row>
    <row r="28621">
      <c r="S28621" s="27"/>
      <c r="T28621" s="27"/>
      <c r="U28621" s="27"/>
    </row>
    <row r="28622">
      <c r="S28622" s="27"/>
      <c r="T28622" s="27"/>
      <c r="U28622" s="27"/>
    </row>
    <row r="28624">
      <c r="S28624" s="27"/>
      <c r="T28624" s="27"/>
      <c r="U28624" s="27"/>
    </row>
    <row r="28625">
      <c r="S28625" s="27"/>
      <c r="T28625" s="27"/>
      <c r="U28625" s="27"/>
    </row>
    <row r="28627">
      <c r="S28627" s="27"/>
      <c r="T28627" s="27"/>
      <c r="U28627" s="27"/>
    </row>
    <row r="28628">
      <c r="S28628" s="27"/>
      <c r="T28628" s="27"/>
      <c r="U28628" s="27"/>
    </row>
    <row r="28630">
      <c r="S28630" s="27"/>
      <c r="T28630" s="27"/>
      <c r="U28630" s="27"/>
    </row>
    <row r="28631">
      <c r="S28631" s="27"/>
      <c r="T28631" s="27"/>
      <c r="U28631" s="27"/>
    </row>
    <row r="28633">
      <c r="S28633" s="27"/>
      <c r="T28633" s="27"/>
      <c r="U28633" s="27"/>
    </row>
    <row r="28634">
      <c r="S28634" s="27"/>
      <c r="T28634" s="27"/>
      <c r="U28634" s="27"/>
    </row>
    <row r="28636">
      <c r="S28636" s="27"/>
      <c r="T28636" s="27"/>
      <c r="U28636" s="27"/>
    </row>
    <row r="28637">
      <c r="S28637" s="27"/>
      <c r="T28637" s="27"/>
      <c r="U28637" s="27"/>
    </row>
    <row r="28639">
      <c r="S28639" s="27"/>
      <c r="T28639" s="27"/>
      <c r="U28639" s="27"/>
    </row>
    <row r="28640">
      <c r="S28640" s="27"/>
      <c r="T28640" s="27"/>
      <c r="U28640" s="27"/>
    </row>
    <row r="28642">
      <c r="S28642" s="27"/>
      <c r="T28642" s="27"/>
      <c r="U28642" s="27"/>
    </row>
    <row r="28643">
      <c r="U28643" s="27"/>
    </row>
    <row r="28645">
      <c r="S28645" s="27"/>
      <c r="T28645" s="27"/>
      <c r="U28645" s="27"/>
    </row>
    <row r="28648">
      <c r="S28648" s="33"/>
      <c r="T28648" s="27"/>
      <c r="U28648" s="33"/>
    </row>
    <row r="28649">
      <c r="S28649" s="27"/>
      <c r="T28649" s="27"/>
      <c r="U28649" s="27"/>
    </row>
    <row r="28651">
      <c r="S28651" s="27"/>
      <c r="T28651" s="27"/>
      <c r="U28651" s="27"/>
    </row>
    <row r="28652">
      <c r="S28652" s="27"/>
      <c r="T28652" s="27"/>
      <c r="U28652" s="27"/>
    </row>
    <row r="28654">
      <c r="S28654" s="27"/>
      <c r="T28654" s="27"/>
      <c r="U28654" s="27"/>
    </row>
    <row r="28657">
      <c r="S28657" s="27"/>
      <c r="T28657" s="27"/>
      <c r="U28657" s="27"/>
    </row>
    <row r="28658">
      <c r="S28658" s="27"/>
      <c r="T28658" s="27"/>
      <c r="U28658" s="27"/>
    </row>
    <row r="28660">
      <c r="S28660" s="27"/>
      <c r="T28660" s="27"/>
      <c r="U28660" s="27"/>
    </row>
    <row r="28661">
      <c r="S28661" s="27"/>
      <c r="T28661" s="27"/>
      <c r="U28661" s="27"/>
    </row>
    <row r="28663">
      <c r="S28663" s="27"/>
      <c r="T28663" s="27"/>
      <c r="U28663" s="27"/>
    </row>
    <row r="28664">
      <c r="S28664" s="27"/>
      <c r="T28664" s="27"/>
      <c r="U28664" s="27"/>
    </row>
    <row r="28666">
      <c r="T28666" s="27"/>
    </row>
    <row r="28669">
      <c r="S28669" s="26"/>
      <c r="U28669" s="27"/>
    </row>
    <row r="28672">
      <c r="S28672" s="27"/>
      <c r="T28672" s="27"/>
      <c r="U28672" s="27"/>
    </row>
    <row r="28674">
      <c r="S28674" s="27"/>
      <c r="T28674" s="27"/>
      <c r="U28674" s="27"/>
    </row>
    <row r="28676">
      <c r="S28676" s="26"/>
      <c r="T28676" s="26"/>
      <c r="U28676" s="26"/>
    </row>
    <row r="28679">
      <c r="S28679" s="27"/>
      <c r="T28679" s="27"/>
      <c r="U28679" s="27"/>
    </row>
    <row r="28682">
      <c r="S28682" s="26"/>
      <c r="T28682" s="26"/>
      <c r="U28682" s="26"/>
    </row>
    <row r="28683">
      <c r="S28683" s="26"/>
      <c r="T28683" s="26"/>
      <c r="U28683" s="26"/>
    </row>
    <row r="28685">
      <c r="S28685" s="27"/>
      <c r="T28685" s="27"/>
      <c r="U28685" s="27"/>
    </row>
    <row r="28686">
      <c r="S28686" s="26"/>
      <c r="T28686" s="26"/>
      <c r="U28686" s="26"/>
    </row>
    <row r="28688">
      <c r="S28688" s="27"/>
      <c r="T28688" s="27"/>
      <c r="U28688" s="27"/>
    </row>
    <row r="28689">
      <c r="S28689" s="27"/>
      <c r="T28689" s="27"/>
      <c r="U28689" s="27"/>
    </row>
    <row r="28691">
      <c r="S28691" s="27"/>
      <c r="T28691" s="26"/>
      <c r="U28691" s="27"/>
    </row>
    <row r="28692">
      <c r="S28692" s="27"/>
      <c r="T28692" s="27"/>
      <c r="U28692" s="27"/>
    </row>
    <row r="28694">
      <c r="S28694" s="27"/>
      <c r="T28694" s="27"/>
      <c r="U28694" s="27"/>
    </row>
    <row r="28695">
      <c r="S28695" s="27"/>
      <c r="T28695" s="27"/>
      <c r="U28695" s="27"/>
    </row>
    <row r="28700">
      <c r="S28700" s="27"/>
      <c r="T28700" s="27"/>
      <c r="U28700" s="27"/>
    </row>
    <row r="28701">
      <c r="S28701" s="27"/>
      <c r="T28701" s="27"/>
      <c r="U28701" s="27"/>
    </row>
    <row r="28703">
      <c r="S28703" s="27"/>
      <c r="T28703" s="27"/>
      <c r="U28703" s="27"/>
    </row>
    <row r="28704">
      <c r="S28704" s="27"/>
      <c r="T28704" s="27"/>
      <c r="U28704" s="27"/>
    </row>
    <row r="28706">
      <c r="S28706" s="27"/>
      <c r="T28706" s="27"/>
      <c r="U28706" s="27"/>
    </row>
    <row r="28707">
      <c r="S28707" s="27"/>
      <c r="T28707" s="27"/>
      <c r="U28707" s="27"/>
    </row>
    <row r="28709">
      <c r="S28709" s="27"/>
      <c r="T28709" s="33"/>
      <c r="U28709" s="33"/>
    </row>
    <row r="28712">
      <c r="T28712" s="27"/>
      <c r="U28712" s="27"/>
    </row>
    <row r="28713">
      <c r="T28713" s="27"/>
      <c r="U28713" s="27"/>
    </row>
    <row r="28715">
      <c r="S28715" s="27"/>
      <c r="T28715" s="27"/>
      <c r="U28715" s="27"/>
    </row>
    <row r="28718">
      <c r="S28718" s="27"/>
      <c r="T28718" s="27"/>
      <c r="U28718" s="27"/>
    </row>
    <row r="28719">
      <c r="S28719" s="27"/>
      <c r="T28719" s="27"/>
      <c r="U28719" s="27"/>
    </row>
    <row r="28721">
      <c r="S28721" s="27"/>
    </row>
    <row r="28724">
      <c r="S28724" s="27"/>
      <c r="T28724" s="27"/>
      <c r="U28724" s="27"/>
    </row>
    <row r="28725">
      <c r="S28725" s="27"/>
      <c r="T28725" s="27"/>
      <c r="U28725" s="27"/>
    </row>
    <row r="28727">
      <c r="S28727" s="27"/>
      <c r="T28727" s="27"/>
      <c r="U28727" s="27"/>
    </row>
    <row r="28728">
      <c r="S28728" s="27"/>
      <c r="T28728" s="27"/>
      <c r="U28728" s="27"/>
    </row>
    <row r="28730">
      <c r="S28730" s="27"/>
      <c r="T28730" s="27"/>
      <c r="U28730" s="27"/>
    </row>
    <row r="28731">
      <c r="S28731" s="27"/>
      <c r="T28731" s="27"/>
      <c r="U28731" s="27"/>
    </row>
    <row r="28733">
      <c r="S28733" s="27"/>
      <c r="T28733" s="27"/>
      <c r="U28733" s="27"/>
    </row>
    <row r="28734">
      <c r="S28734" s="27"/>
      <c r="T28734" s="27"/>
      <c r="U28734" s="27"/>
    </row>
    <row r="28736">
      <c r="S28736" s="34"/>
      <c r="T28736" s="27"/>
      <c r="U28736" s="27"/>
    </row>
    <row r="28739">
      <c r="S28739" s="33"/>
      <c r="T28739" s="27"/>
      <c r="U28739" s="27"/>
    </row>
    <row r="28740">
      <c r="S28740" s="27"/>
      <c r="T28740" s="27"/>
      <c r="U28740" s="27"/>
    </row>
    <row r="28742">
      <c r="S28742" s="27"/>
      <c r="T28742" s="27"/>
      <c r="U28742" s="27"/>
    </row>
    <row r="28743">
      <c r="S28743" s="27"/>
      <c r="T28743" s="27"/>
      <c r="U28743" s="27"/>
    </row>
    <row r="28745">
      <c r="S28745" s="27"/>
      <c r="T28745" s="27"/>
      <c r="U28745" s="27"/>
    </row>
    <row r="28748">
      <c r="S28748" s="27"/>
      <c r="T28748" s="27"/>
      <c r="U28748" s="27"/>
    </row>
    <row r="28749">
      <c r="S28749" s="27"/>
      <c r="T28749" s="27"/>
      <c r="U28749" s="27"/>
    </row>
    <row r="28751">
      <c r="S28751" s="27"/>
      <c r="T28751" s="27"/>
      <c r="U28751" s="27"/>
    </row>
    <row r="28752">
      <c r="S28752" s="27"/>
      <c r="T28752" s="27"/>
      <c r="U28752" s="27"/>
    </row>
    <row r="28754">
      <c r="S28754" s="27"/>
      <c r="T28754" s="27"/>
      <c r="U28754" s="27"/>
    </row>
    <row r="28755">
      <c r="S28755" s="27"/>
      <c r="T28755" s="27"/>
      <c r="U28755" s="27"/>
    </row>
    <row r="28758">
      <c r="S28758" s="27"/>
      <c r="T28758" s="27"/>
      <c r="U28758" s="27"/>
    </row>
    <row r="28759">
      <c r="S28759" s="27"/>
      <c r="T28759" s="27"/>
      <c r="U28759" s="27"/>
    </row>
    <row r="28761">
      <c r="S28761" s="26"/>
      <c r="T28761" s="26"/>
      <c r="U28761" s="26"/>
    </row>
    <row r="28764">
      <c r="S28764" s="27"/>
      <c r="T28764" s="27"/>
      <c r="U28764" s="27"/>
    </row>
    <row r="28767">
      <c r="S28767" s="27"/>
      <c r="T28767" s="27"/>
      <c r="U28767" s="27"/>
    </row>
    <row r="28768">
      <c r="S28768" s="27"/>
      <c r="T28768" s="27"/>
      <c r="U28768" s="27"/>
    </row>
    <row r="28770">
      <c r="S28770" s="27"/>
      <c r="T28770" s="27"/>
      <c r="U28770" s="27"/>
    </row>
    <row r="28771">
      <c r="S28771" s="27"/>
      <c r="T28771" s="27"/>
      <c r="U28771" s="27"/>
    </row>
    <row r="28773">
      <c r="S28773" s="27"/>
      <c r="T28773" s="27"/>
      <c r="U28773" s="27"/>
    </row>
    <row r="28774">
      <c r="S28774" s="27"/>
      <c r="T28774" s="27"/>
      <c r="U28774" s="27"/>
    </row>
    <row r="28776">
      <c r="S28776" s="26"/>
    </row>
    <row r="28777">
      <c r="T28777" s="26"/>
      <c r="U28777" s="26"/>
    </row>
    <row r="28779">
      <c r="S28779" s="27"/>
      <c r="T28779" s="27"/>
      <c r="U28779" s="27"/>
    </row>
    <row r="28780">
      <c r="S28780" s="27"/>
      <c r="T28780" s="27"/>
      <c r="U28780" s="27"/>
    </row>
    <row r="28782">
      <c r="S28782" s="27"/>
      <c r="T28782" s="27"/>
      <c r="U28782" s="27"/>
    </row>
    <row r="28783">
      <c r="S28783" s="27"/>
      <c r="T28783" s="27"/>
      <c r="U28783" s="27"/>
    </row>
    <row r="28785">
      <c r="S28785" s="27"/>
      <c r="T28785" s="27"/>
      <c r="U28785" s="27"/>
    </row>
    <row r="28788">
      <c r="S28788" s="27"/>
      <c r="T28788" s="27"/>
      <c r="U28788" s="27"/>
    </row>
    <row r="28789">
      <c r="S28789" s="27"/>
      <c r="T28789" s="27"/>
      <c r="U28789" s="27"/>
    </row>
    <row r="28791">
      <c r="S28791" s="27"/>
      <c r="T28791" s="27"/>
      <c r="U28791" s="27"/>
    </row>
    <row r="28792">
      <c r="S28792" s="27"/>
      <c r="T28792" s="27"/>
      <c r="U28792" s="27"/>
    </row>
    <row r="28794">
      <c r="S28794" s="27"/>
      <c r="T28794" s="27"/>
      <c r="U28794" s="27"/>
    </row>
    <row r="28795">
      <c r="S28795" s="27"/>
      <c r="T28795" s="27"/>
      <c r="U28795" s="27"/>
    </row>
    <row r="28797">
      <c r="S28797" s="27"/>
      <c r="T28797" s="27"/>
      <c r="U28797" s="27"/>
    </row>
    <row r="28798">
      <c r="S28798" s="27"/>
      <c r="T28798" s="27"/>
      <c r="U28798" s="27"/>
    </row>
    <row r="28800">
      <c r="S28800" s="27"/>
      <c r="T28800" s="27"/>
      <c r="U28800" s="27"/>
    </row>
    <row r="28801">
      <c r="S28801" s="27"/>
      <c r="T28801" s="27"/>
      <c r="U28801" s="27"/>
    </row>
    <row r="28803">
      <c r="S28803" s="27"/>
      <c r="T28803" s="27"/>
      <c r="U28803" s="27"/>
    </row>
    <row r="28804">
      <c r="S28804" s="27"/>
      <c r="T28804" s="27"/>
      <c r="U28804" s="27"/>
    </row>
    <row r="28806">
      <c r="S28806" s="27"/>
      <c r="T28806" s="27"/>
      <c r="U28806" s="27"/>
    </row>
    <row r="28807">
      <c r="S28807" s="27"/>
      <c r="T28807" s="27"/>
      <c r="U28807" s="27"/>
    </row>
    <row r="28809">
      <c r="S28809" s="27"/>
      <c r="T28809" s="27"/>
      <c r="U28809" s="27"/>
    </row>
    <row r="28810">
      <c r="S28810" s="27"/>
      <c r="T28810" s="27"/>
      <c r="U28810" s="27"/>
    </row>
    <row r="28812">
      <c r="S28812" s="27"/>
      <c r="T28812" s="27"/>
      <c r="U28812" s="27"/>
    </row>
    <row r="28813">
      <c r="S28813" s="27"/>
      <c r="T28813" s="27"/>
      <c r="U28813" s="27"/>
    </row>
    <row r="28815">
      <c r="S28815" s="27"/>
      <c r="T28815" s="27"/>
      <c r="U28815" s="27"/>
    </row>
    <row r="28816">
      <c r="S28816" s="27"/>
      <c r="T28816" s="27"/>
      <c r="U28816" s="27"/>
    </row>
    <row r="28818">
      <c r="S28818" s="27"/>
      <c r="T28818" s="27"/>
      <c r="U28818" s="27"/>
    </row>
    <row r="28819">
      <c r="S28819" s="27"/>
      <c r="T28819" s="27"/>
      <c r="U28819" s="27"/>
    </row>
    <row r="28821">
      <c r="S28821" s="27"/>
      <c r="T28821" s="27"/>
      <c r="U28821" s="27"/>
    </row>
    <row r="28822">
      <c r="S28822" s="27"/>
      <c r="T28822" s="27"/>
      <c r="U28822" s="27"/>
    </row>
    <row r="28824">
      <c r="S28824" s="27"/>
      <c r="T28824" s="27"/>
      <c r="U28824" s="27"/>
    </row>
    <row r="28825">
      <c r="S28825" s="27"/>
      <c r="T28825" s="27"/>
      <c r="U28825" s="27"/>
    </row>
    <row r="28827">
      <c r="S28827" s="27"/>
      <c r="T28827" s="27"/>
      <c r="U28827" s="27"/>
    </row>
    <row r="28828">
      <c r="S28828" s="27"/>
      <c r="T28828" s="27"/>
      <c r="U28828" s="27"/>
    </row>
    <row r="28830">
      <c r="S28830" s="27"/>
      <c r="T28830" s="27"/>
      <c r="U28830" s="27"/>
    </row>
    <row r="28831">
      <c r="S28831" s="27"/>
      <c r="T28831" s="27"/>
      <c r="U28831" s="27"/>
    </row>
    <row r="28833">
      <c r="S28833" s="27"/>
      <c r="T28833" s="27"/>
      <c r="U28833" s="27"/>
    </row>
    <row r="28834">
      <c r="S28834" s="27"/>
      <c r="T28834" s="27"/>
      <c r="U28834" s="27"/>
    </row>
    <row r="28836">
      <c r="S28836" s="27"/>
      <c r="T28836" s="27"/>
      <c r="U28836" s="27"/>
    </row>
    <row r="28837">
      <c r="S28837" s="27"/>
      <c r="T28837" s="27"/>
      <c r="U28837" s="27"/>
    </row>
    <row r="28839">
      <c r="S28839" s="27"/>
      <c r="T28839" s="27"/>
      <c r="U28839" s="27"/>
    </row>
    <row r="28840">
      <c r="S28840" s="27"/>
      <c r="T28840" s="27"/>
      <c r="U28840" s="27"/>
    </row>
    <row r="28842">
      <c r="S28842" s="27"/>
      <c r="T28842" s="27"/>
      <c r="U28842" s="27"/>
    </row>
    <row r="28843">
      <c r="S28843" s="27"/>
      <c r="T28843" s="27"/>
      <c r="U28843" s="27"/>
    </row>
    <row r="28845">
      <c r="S28845" s="27"/>
      <c r="T28845" s="27"/>
      <c r="U28845" s="27"/>
    </row>
    <row r="28846">
      <c r="S28846" s="27"/>
      <c r="T28846" s="27"/>
      <c r="U28846" s="27"/>
    </row>
    <row r="28848">
      <c r="S28848" s="27"/>
      <c r="T28848" s="27"/>
      <c r="U28848" s="27"/>
    </row>
    <row r="28849">
      <c r="S28849" s="27"/>
      <c r="T28849" s="27"/>
      <c r="U28849" s="27"/>
    </row>
    <row r="28851">
      <c r="S28851" s="27"/>
      <c r="T28851" s="27"/>
      <c r="U28851" s="27"/>
    </row>
    <row r="28852">
      <c r="S28852" s="27"/>
      <c r="T28852" s="27"/>
      <c r="U28852" s="27"/>
    </row>
    <row r="28854">
      <c r="S28854" s="27"/>
      <c r="T28854" s="27"/>
      <c r="U28854" s="27"/>
    </row>
    <row r="28855">
      <c r="S28855" s="27"/>
      <c r="T28855" s="27"/>
      <c r="U28855" s="27"/>
    </row>
    <row r="28857">
      <c r="S28857" s="27"/>
      <c r="T28857" s="27"/>
      <c r="U28857" s="27"/>
    </row>
    <row r="28858">
      <c r="S28858" s="27"/>
      <c r="T28858" s="27"/>
      <c r="U28858" s="27"/>
    </row>
    <row r="28860">
      <c r="S28860" s="27"/>
      <c r="T28860" s="27"/>
      <c r="U28860" s="27"/>
    </row>
    <row r="28861">
      <c r="S28861" s="27"/>
      <c r="T28861" s="27"/>
      <c r="U28861" s="27"/>
    </row>
    <row r="28863">
      <c r="S28863" s="27"/>
      <c r="T28863" s="27"/>
      <c r="U28863" s="27"/>
    </row>
    <row r="28864">
      <c r="S28864" s="27"/>
      <c r="T28864" s="27"/>
      <c r="U28864" s="27"/>
    </row>
    <row r="28866">
      <c r="S28866" s="27"/>
      <c r="T28866" s="27"/>
      <c r="U28866" s="27"/>
    </row>
    <row r="28867">
      <c r="S28867" s="27"/>
      <c r="T28867" s="27"/>
      <c r="U28867" s="27"/>
    </row>
    <row r="28869">
      <c r="S28869" s="27"/>
      <c r="T28869" s="27"/>
      <c r="U28869" s="27"/>
    </row>
    <row r="28870">
      <c r="S28870" s="27"/>
      <c r="T28870" s="27"/>
      <c r="U28870" s="27"/>
    </row>
    <row r="28872">
      <c r="S28872" s="27"/>
      <c r="T28872" s="27"/>
      <c r="U28872" s="27"/>
    </row>
    <row r="28873">
      <c r="S28873" s="27"/>
      <c r="T28873" s="27"/>
      <c r="U28873" s="27"/>
    </row>
    <row r="28875">
      <c r="S28875" s="27"/>
      <c r="T28875" s="27"/>
      <c r="U28875" s="27"/>
    </row>
    <row r="28877">
      <c r="S28877" s="27"/>
      <c r="T28877" s="27"/>
      <c r="U28877" s="27"/>
    </row>
    <row r="28878">
      <c r="S28878" s="27"/>
      <c r="T28878" s="27"/>
      <c r="U28878" s="27"/>
    </row>
    <row r="28880">
      <c r="S28880" s="27"/>
      <c r="T28880" s="27"/>
      <c r="U28880" s="27"/>
    </row>
    <row r="28881">
      <c r="S28881" s="27"/>
      <c r="T28881" s="27"/>
      <c r="U28881" s="27"/>
    </row>
    <row r="28883">
      <c r="S28883" s="27"/>
      <c r="T28883" s="27"/>
      <c r="U28883" s="27"/>
    </row>
    <row r="28884">
      <c r="S28884" s="27"/>
      <c r="T28884" s="27"/>
      <c r="U28884" s="27"/>
    </row>
    <row r="28886">
      <c r="S28886" s="27"/>
      <c r="T28886" s="27"/>
      <c r="U28886" s="27"/>
    </row>
    <row r="28887">
      <c r="S28887" s="27"/>
      <c r="T28887" s="27"/>
      <c r="U28887" s="27"/>
    </row>
    <row r="28889">
      <c r="S28889" s="27"/>
      <c r="T28889" s="27"/>
      <c r="U28889" s="27"/>
    </row>
    <row r="28890">
      <c r="S28890" s="27"/>
      <c r="T28890" s="27"/>
      <c r="U28890" s="27"/>
    </row>
    <row r="28892">
      <c r="S28892" s="27"/>
      <c r="T28892" s="27"/>
      <c r="U28892" s="27"/>
    </row>
    <row r="28893">
      <c r="S28893" s="27"/>
      <c r="T28893" s="27"/>
      <c r="U28893" s="27"/>
    </row>
    <row r="28895">
      <c r="S28895" s="27"/>
      <c r="T28895" s="27"/>
      <c r="U28895" s="27"/>
    </row>
    <row r="28896">
      <c r="S28896" s="27"/>
      <c r="T28896" s="27"/>
      <c r="U28896" s="27"/>
    </row>
    <row r="28898">
      <c r="S28898" s="27"/>
      <c r="T28898" s="27"/>
      <c r="U28898" s="27"/>
    </row>
    <row r="28900">
      <c r="S28900" s="27"/>
      <c r="T28900" s="27"/>
      <c r="U28900" s="27"/>
    </row>
    <row r="28902">
      <c r="S28902" s="27"/>
      <c r="T28902" s="27"/>
      <c r="U28902" s="27"/>
    </row>
    <row r="28904">
      <c r="S28904" s="27"/>
      <c r="T28904" s="27"/>
      <c r="U28904" s="27"/>
    </row>
    <row r="28906">
      <c r="S28906" s="27"/>
      <c r="T28906" s="27"/>
      <c r="U28906" s="27"/>
    </row>
    <row r="28907">
      <c r="S28907" s="27"/>
      <c r="T28907" s="27"/>
      <c r="U28907" s="27"/>
    </row>
    <row r="28909">
      <c r="S28909" s="27"/>
      <c r="T28909" s="27"/>
      <c r="U28909" s="27"/>
    </row>
    <row r="28910">
      <c r="S28910" s="27"/>
      <c r="T28910" s="27"/>
      <c r="U28910" s="27"/>
    </row>
    <row r="28912">
      <c r="S28912" s="27"/>
      <c r="T28912" s="27"/>
      <c r="U28912" s="27"/>
    </row>
    <row r="28915">
      <c r="S28915" s="27"/>
      <c r="T28915" s="27"/>
      <c r="U28915" s="27"/>
    </row>
    <row r="28916">
      <c r="S28916" s="27"/>
      <c r="T28916" s="27"/>
      <c r="U28916" s="27"/>
    </row>
    <row r="28918">
      <c r="S28918" s="27"/>
      <c r="T28918" s="27"/>
      <c r="U28918" s="27"/>
    </row>
    <row r="28919">
      <c r="S28919" s="27"/>
      <c r="T28919" s="27"/>
      <c r="U28919" s="27"/>
    </row>
    <row r="28921">
      <c r="S28921" s="27"/>
      <c r="T28921" s="27"/>
      <c r="U28921" s="27"/>
    </row>
    <row r="28922">
      <c r="S28922" s="27"/>
      <c r="T28922" s="27"/>
      <c r="U28922" s="27"/>
    </row>
    <row r="28924">
      <c r="S28924" s="27"/>
      <c r="T28924" s="27"/>
      <c r="U28924" s="27"/>
    </row>
    <row r="28925">
      <c r="S28925" s="27"/>
      <c r="T28925" s="27"/>
      <c r="U28925" s="27"/>
    </row>
    <row r="28930">
      <c r="S28930" s="26"/>
      <c r="T28930" s="26"/>
      <c r="U28930" s="26"/>
    </row>
    <row r="28933">
      <c r="S28933" s="27"/>
      <c r="T28933" s="27"/>
      <c r="U28933" s="27"/>
    </row>
    <row r="28934">
      <c r="S28934" s="27"/>
      <c r="T28934" s="27"/>
      <c r="U28934" s="27"/>
    </row>
    <row r="28936">
      <c r="S28936" s="27"/>
      <c r="T28936" s="27"/>
      <c r="U28936" s="27"/>
    </row>
    <row r="28937">
      <c r="S28937" s="27"/>
      <c r="T28937" s="27"/>
      <c r="U28937" s="27"/>
    </row>
    <row r="28939">
      <c r="S28939" s="27"/>
      <c r="T28939" s="27"/>
      <c r="U28939" s="27"/>
    </row>
    <row r="28940">
      <c r="S28940" s="27"/>
      <c r="T28940" s="27"/>
      <c r="U28940" s="27"/>
    </row>
    <row r="28942">
      <c r="U28942" s="26"/>
    </row>
    <row r="28945">
      <c r="S28945" s="27"/>
      <c r="T28945" s="27"/>
      <c r="U28945" s="27"/>
    </row>
    <row r="28946">
      <c r="S28946" s="27"/>
      <c r="T28946" s="27"/>
      <c r="U28946" s="27"/>
    </row>
    <row r="28948">
      <c r="S28948" s="27"/>
      <c r="T28948" s="27"/>
      <c r="U28948" s="27"/>
    </row>
    <row r="28949">
      <c r="S28949" s="27"/>
      <c r="T28949" s="27"/>
      <c r="U28949" s="27"/>
    </row>
    <row r="28951">
      <c r="S28951" s="27"/>
      <c r="U28951" s="27"/>
    </row>
    <row r="28952">
      <c r="S28952" s="27"/>
      <c r="U28952" s="27"/>
    </row>
    <row r="28957">
      <c r="S28957" s="26"/>
      <c r="T28957" s="26"/>
      <c r="U28957" s="26"/>
    </row>
    <row r="28960">
      <c r="S28960" s="27"/>
      <c r="T28960" s="27"/>
      <c r="U28960" s="27"/>
    </row>
    <row r="28961">
      <c r="S28961" s="27"/>
      <c r="T28961" s="27"/>
      <c r="U28961" s="27"/>
    </row>
    <row r="28963">
      <c r="S28963" s="27"/>
      <c r="T28963" s="27"/>
      <c r="U28963" s="27"/>
    </row>
    <row r="28964">
      <c r="S28964" s="27"/>
      <c r="T28964" s="27"/>
      <c r="U28964" s="27"/>
    </row>
    <row r="28966">
      <c r="S28966" s="26"/>
      <c r="T28966" s="26"/>
      <c r="U28966" s="26"/>
    </row>
    <row r="28969">
      <c r="T28969" s="26"/>
      <c r="U28969" s="26"/>
    </row>
    <row r="28972">
      <c r="S28972" s="27"/>
      <c r="T28972" s="27"/>
      <c r="U28972" s="27"/>
    </row>
    <row r="28975">
      <c r="S28975" s="27"/>
      <c r="T28975" s="27"/>
      <c r="U28975" s="27"/>
    </row>
    <row r="28976">
      <c r="S28976" s="27"/>
      <c r="T28976" s="27"/>
      <c r="U28976" s="27"/>
    </row>
    <row r="28978">
      <c r="S28978" s="27"/>
      <c r="T28978" s="27"/>
      <c r="U28978" s="27"/>
    </row>
    <row r="28979">
      <c r="S28979" s="27"/>
      <c r="T28979" s="27"/>
      <c r="U28979" s="27"/>
    </row>
    <row r="28981">
      <c r="S28981" s="27"/>
      <c r="T28981" s="27"/>
      <c r="U28981" s="27"/>
    </row>
    <row r="28982">
      <c r="S28982" s="27"/>
      <c r="T28982" s="27"/>
      <c r="U28982" s="27"/>
    </row>
    <row r="28984">
      <c r="S28984" s="27"/>
      <c r="T28984" s="27"/>
      <c r="U28984" s="27"/>
    </row>
    <row r="28985">
      <c r="S28985" s="27"/>
      <c r="T28985" s="27"/>
      <c r="U28985" s="27"/>
    </row>
    <row r="28987">
      <c r="S28987" s="27"/>
      <c r="T28987" s="27"/>
      <c r="U28987" s="27"/>
    </row>
    <row r="28988">
      <c r="S28988" s="27"/>
      <c r="T28988" s="27"/>
      <c r="U28988" s="27"/>
    </row>
    <row r="28990">
      <c r="S28990" s="27"/>
      <c r="T28990" s="27"/>
      <c r="U28990" s="27"/>
    </row>
    <row r="28991">
      <c r="S28991" s="27"/>
      <c r="T28991" s="27"/>
      <c r="U28991" s="27"/>
    </row>
    <row r="28993">
      <c r="S28993" s="27"/>
      <c r="T28993" s="27"/>
      <c r="U28993" s="27"/>
    </row>
    <row r="28994">
      <c r="S28994" s="27"/>
      <c r="T28994" s="27"/>
      <c r="U28994" s="27"/>
    </row>
    <row r="28996">
      <c r="S28996" s="27"/>
      <c r="T28996" s="27"/>
      <c r="U28996" s="27"/>
    </row>
    <row r="28997">
      <c r="S28997" s="27"/>
      <c r="T28997" s="27"/>
      <c r="U28997" s="27"/>
    </row>
    <row r="28999">
      <c r="S28999" s="27"/>
      <c r="T28999" s="27"/>
      <c r="U28999" s="27"/>
    </row>
    <row r="29000">
      <c r="S29000" s="27"/>
      <c r="T29000" s="27"/>
      <c r="U29000" s="27"/>
    </row>
    <row r="29002">
      <c r="S29002" s="27"/>
      <c r="T29002" s="27"/>
      <c r="U29002" s="27"/>
    </row>
    <row r="29003">
      <c r="S29003" s="27"/>
      <c r="T29003" s="27"/>
      <c r="U29003" s="27"/>
    </row>
    <row r="29005">
      <c r="S29005" s="27"/>
      <c r="T29005" s="27"/>
      <c r="U29005" s="27"/>
    </row>
    <row r="29006">
      <c r="S29006" s="27"/>
      <c r="T29006" s="27"/>
      <c r="U29006" s="27"/>
    </row>
    <row r="29008">
      <c r="S29008" s="27"/>
      <c r="T29008" s="27"/>
      <c r="U29008" s="27"/>
    </row>
    <row r="29009">
      <c r="S29009" s="27"/>
      <c r="T29009" s="27"/>
      <c r="U29009" s="27"/>
    </row>
    <row r="29011">
      <c r="S29011" s="27"/>
      <c r="T29011" s="27"/>
      <c r="U29011" s="27"/>
    </row>
    <row r="29012">
      <c r="S29012" s="27"/>
      <c r="T29012" s="27"/>
      <c r="U29012" s="27"/>
    </row>
    <row r="29014">
      <c r="S29014" s="27"/>
      <c r="T29014" s="27"/>
      <c r="U29014" s="27"/>
    </row>
    <row r="29015">
      <c r="S29015" s="27"/>
      <c r="T29015" s="27"/>
      <c r="U29015" s="27"/>
    </row>
    <row r="29017">
      <c r="S29017" s="27"/>
      <c r="T29017" s="27"/>
      <c r="U29017" s="27"/>
    </row>
    <row r="29018">
      <c r="S29018" s="27"/>
      <c r="T29018" s="27"/>
      <c r="U29018" s="27"/>
    </row>
    <row r="29020">
      <c r="S29020" s="27"/>
      <c r="T29020" s="27"/>
      <c r="U29020" s="27"/>
    </row>
    <row r="29021">
      <c r="S29021" s="27"/>
      <c r="T29021" s="27"/>
      <c r="U29021" s="27"/>
    </row>
    <row r="29023">
      <c r="S29023" s="27"/>
      <c r="T29023" s="27"/>
      <c r="U29023" s="27"/>
    </row>
    <row r="29024">
      <c r="S29024" s="27"/>
      <c r="T29024" s="27"/>
      <c r="U29024" s="27"/>
    </row>
    <row r="29026">
      <c r="S29026" s="27"/>
      <c r="T29026" s="27"/>
      <c r="U29026" s="27"/>
    </row>
    <row r="29027">
      <c r="S29027" s="27"/>
      <c r="T29027" s="27"/>
      <c r="U29027" s="27"/>
    </row>
    <row r="29029">
      <c r="S29029" s="27"/>
      <c r="T29029" s="27"/>
      <c r="U29029" s="27"/>
    </row>
    <row r="29030">
      <c r="S29030" s="27"/>
      <c r="T29030" s="27"/>
      <c r="U29030" s="27"/>
    </row>
    <row r="29032">
      <c r="S29032" s="27"/>
      <c r="T29032" s="27"/>
      <c r="U29032" s="27"/>
    </row>
    <row r="29033">
      <c r="S29033" s="27"/>
      <c r="T29033" s="27"/>
      <c r="U29033" s="27"/>
    </row>
    <row r="29035">
      <c r="S29035" s="27"/>
      <c r="T29035" s="27"/>
      <c r="U29035" s="27"/>
    </row>
    <row r="29036">
      <c r="S29036" s="27"/>
      <c r="T29036" s="27"/>
      <c r="U29036" s="27"/>
    </row>
    <row r="29038">
      <c r="S29038" s="27"/>
      <c r="T29038" s="27"/>
      <c r="U29038" s="27"/>
    </row>
    <row r="29039">
      <c r="S29039" s="27"/>
      <c r="T29039" s="27"/>
      <c r="U29039" s="27"/>
    </row>
    <row r="29041">
      <c r="S29041" s="27"/>
      <c r="T29041" s="27"/>
      <c r="U29041" s="27"/>
    </row>
    <row r="29042">
      <c r="S29042" s="27"/>
      <c r="T29042" s="27"/>
      <c r="U29042" s="27"/>
    </row>
    <row r="29044">
      <c r="S29044" s="27"/>
      <c r="T29044" s="27"/>
      <c r="U29044" s="27"/>
    </row>
    <row r="29045">
      <c r="S29045" s="27"/>
      <c r="T29045" s="27"/>
      <c r="U29045" s="27"/>
    </row>
    <row r="29050">
      <c r="S29050" s="27"/>
      <c r="T29050" s="27"/>
      <c r="U29050" s="27"/>
    </row>
    <row r="29051">
      <c r="S29051" s="27"/>
      <c r="T29051" s="27"/>
      <c r="U29051" s="27"/>
    </row>
    <row r="29053">
      <c r="S29053" s="27"/>
      <c r="T29053" s="27"/>
      <c r="U29053" s="27"/>
    </row>
    <row r="29056">
      <c r="S29056" s="33"/>
      <c r="T29056" s="33"/>
    </row>
    <row r="29057">
      <c r="S29057" s="27"/>
      <c r="T29057" s="27"/>
    </row>
    <row r="29059">
      <c r="S29059" s="27"/>
      <c r="T29059" s="27"/>
      <c r="U29059" s="27"/>
    </row>
    <row r="29060">
      <c r="S29060" s="27"/>
      <c r="T29060" s="27"/>
      <c r="U29060" s="27"/>
    </row>
    <row r="29062">
      <c r="S29062" s="27"/>
      <c r="T29062" s="27"/>
      <c r="U29062" s="27"/>
    </row>
    <row r="29066">
      <c r="S29066" s="27"/>
      <c r="T29066" s="27"/>
      <c r="U29066" s="27"/>
    </row>
    <row r="29067">
      <c r="S29067" s="27"/>
      <c r="T29067" s="27"/>
      <c r="U29067" s="27"/>
    </row>
    <row r="29069">
      <c r="S29069" s="27"/>
      <c r="T29069" s="27"/>
      <c r="U29069" s="27"/>
    </row>
    <row r="29070">
      <c r="S29070" s="27"/>
      <c r="T29070" s="27"/>
      <c r="U29070" s="27"/>
    </row>
    <row r="29072">
      <c r="S29072" s="26"/>
      <c r="T29072" s="26"/>
      <c r="U29072" s="26"/>
    </row>
    <row r="29075">
      <c r="S29075" s="26"/>
      <c r="T29075" s="26"/>
      <c r="U29075" s="26"/>
    </row>
    <row r="29078">
      <c r="S29078" s="27"/>
      <c r="T29078" s="27"/>
      <c r="U29078" s="27"/>
    </row>
    <row r="29080">
      <c r="S29080" s="27"/>
    </row>
    <row r="29082">
      <c r="S29082" s="26"/>
      <c r="T29082" s="26"/>
      <c r="U29082" s="26"/>
    </row>
    <row r="29088">
      <c r="S29088" s="27"/>
      <c r="T29088" s="27"/>
      <c r="U29088" s="27"/>
    </row>
    <row r="29089">
      <c r="S29089" s="27"/>
      <c r="T29089" s="27"/>
      <c r="U29089" s="27"/>
    </row>
    <row r="29091">
      <c r="S29091" s="27"/>
      <c r="T29091" s="27"/>
      <c r="U29091" s="27"/>
    </row>
    <row r="29092">
      <c r="S29092" s="27"/>
      <c r="T29092" s="27"/>
      <c r="U29092" s="27"/>
    </row>
    <row r="29094">
      <c r="S29094" s="27"/>
      <c r="T29094" s="27"/>
      <c r="U29094" s="27"/>
    </row>
    <row r="29095">
      <c r="S29095" s="27"/>
      <c r="U29095" s="27"/>
    </row>
    <row r="29097">
      <c r="S29097" s="27"/>
      <c r="T29097" s="27"/>
      <c r="U29097" s="27"/>
    </row>
    <row r="29098">
      <c r="S29098" s="27"/>
      <c r="T29098" s="27"/>
      <c r="U29098" s="27"/>
    </row>
    <row r="29100">
      <c r="S29100" s="27"/>
      <c r="T29100" s="27"/>
      <c r="U29100" s="27"/>
    </row>
    <row r="29101">
      <c r="S29101" s="27"/>
      <c r="T29101" s="27"/>
      <c r="U29101" s="27"/>
    </row>
    <row r="29106">
      <c r="S29106" s="27"/>
      <c r="T29106" s="27"/>
      <c r="U29106" s="27"/>
    </row>
    <row r="29107">
      <c r="S29107" s="27"/>
      <c r="T29107" s="27"/>
      <c r="U29107" s="27"/>
    </row>
    <row r="29109">
      <c r="S29109" s="27"/>
      <c r="T29109" s="27"/>
      <c r="U29109" s="27"/>
    </row>
    <row r="29110">
      <c r="U29110" s="27"/>
    </row>
    <row r="29112">
      <c r="S29112" s="27"/>
      <c r="T29112" s="27"/>
      <c r="U29112" s="27"/>
    </row>
    <row r="29113">
      <c r="S29113" s="27"/>
      <c r="T29113" s="27"/>
      <c r="U29113" s="27"/>
    </row>
    <row r="29118">
      <c r="S29118" s="27"/>
      <c r="T29118" s="27"/>
      <c r="U29118" s="27"/>
    </row>
    <row r="29121">
      <c r="S29121" s="27"/>
      <c r="T29121" s="27"/>
      <c r="U29121" s="27"/>
    </row>
    <row r="29122">
      <c r="S29122" s="33"/>
      <c r="T29122" s="33"/>
      <c r="U29122" s="33"/>
    </row>
    <row r="29125">
      <c r="S29125" s="26"/>
      <c r="T29125" s="26"/>
      <c r="U29125" s="26"/>
    </row>
    <row r="29127">
      <c r="S29127" s="27"/>
      <c r="T29127" s="27"/>
      <c r="U29127" s="27"/>
    </row>
    <row r="29128">
      <c r="S29128" s="27"/>
      <c r="T29128" s="27"/>
      <c r="U29128" s="27"/>
    </row>
    <row r="29130">
      <c r="S29130" s="27"/>
      <c r="T29130" s="27"/>
      <c r="U29130" s="27"/>
    </row>
    <row r="29131">
      <c r="S29131" s="27"/>
      <c r="T29131" s="27"/>
      <c r="U29131" s="27"/>
    </row>
    <row r="29133">
      <c r="S29133" s="27"/>
      <c r="T29133" s="27"/>
      <c r="U29133" s="27"/>
    </row>
    <row r="29134">
      <c r="S29134" s="27"/>
      <c r="T29134" s="27"/>
      <c r="U29134" s="27"/>
    </row>
    <row r="29136">
      <c r="S29136" s="27"/>
      <c r="T29136" s="27"/>
      <c r="U29136" s="27"/>
    </row>
    <row r="29137">
      <c r="S29137" s="27"/>
      <c r="T29137" s="27"/>
      <c r="U29137" s="27"/>
    </row>
    <row r="29139">
      <c r="S29139" s="26"/>
    </row>
    <row r="29142">
      <c r="S29142" s="27"/>
      <c r="T29142" s="27"/>
      <c r="U29142" s="27"/>
    </row>
    <row r="29143">
      <c r="S29143" s="27"/>
      <c r="T29143" s="27"/>
      <c r="U29143" s="27"/>
    </row>
    <row r="29145">
      <c r="S29145" s="27"/>
      <c r="T29145" s="27"/>
      <c r="U29145" s="27"/>
    </row>
    <row r="29146">
      <c r="S29146" s="27"/>
      <c r="T29146" s="27"/>
      <c r="U29146" s="27"/>
    </row>
    <row r="29148">
      <c r="S29148" s="27"/>
      <c r="T29148" s="27"/>
      <c r="U29148" s="27"/>
    </row>
    <row r="29151">
      <c r="S29151" s="27"/>
      <c r="T29151" s="27"/>
      <c r="U29151" s="27"/>
    </row>
    <row r="29152">
      <c r="S29152" s="27"/>
      <c r="T29152" s="27"/>
      <c r="U29152" s="27"/>
    </row>
    <row r="29154">
      <c r="S29154" s="27"/>
      <c r="T29154" s="27"/>
      <c r="U29154" s="27"/>
    </row>
    <row r="29155">
      <c r="S29155" s="27"/>
      <c r="T29155" s="27"/>
      <c r="U29155" s="27"/>
    </row>
    <row r="29157">
      <c r="S29157" s="27"/>
      <c r="T29157" s="27"/>
      <c r="U29157" s="27"/>
    </row>
    <row r="29158">
      <c r="S29158" s="27"/>
      <c r="T29158" s="27"/>
      <c r="U29158" s="27"/>
    </row>
    <row r="29163">
      <c r="S29163" s="27"/>
      <c r="T29163" s="27"/>
      <c r="U29163" s="27"/>
    </row>
    <row r="29164">
      <c r="S29164" s="27"/>
      <c r="T29164" s="27"/>
      <c r="U29164" s="27"/>
    </row>
    <row r="29169">
      <c r="S29169" s="27"/>
      <c r="T29169" s="27"/>
      <c r="U29169" s="27"/>
    </row>
    <row r="29172">
      <c r="S29172" s="27"/>
      <c r="T29172" s="27"/>
      <c r="U29172" s="27"/>
    </row>
    <row r="29173">
      <c r="S29173" s="27"/>
      <c r="T29173" s="27"/>
      <c r="U29173" s="27"/>
    </row>
    <row r="29175">
      <c r="S29175" s="27"/>
      <c r="T29175" s="27"/>
      <c r="U29175" s="27"/>
    </row>
    <row r="29176">
      <c r="T29176" s="27"/>
      <c r="U29176" s="27"/>
    </row>
    <row r="29178">
      <c r="S29178" s="27"/>
      <c r="T29178" s="27"/>
      <c r="U29178" s="27"/>
    </row>
    <row r="29179">
      <c r="S29179" s="27"/>
      <c r="T29179" s="27"/>
      <c r="U29179" s="27"/>
    </row>
    <row r="29181">
      <c r="S29181" s="27"/>
    </row>
    <row r="29182">
      <c r="T29182" s="26"/>
      <c r="U29182" s="26"/>
    </row>
    <row r="29184">
      <c r="S29184" s="27"/>
      <c r="T29184" s="27"/>
      <c r="U29184" s="27"/>
    </row>
    <row r="29185">
      <c r="S29185" s="27"/>
      <c r="T29185" s="27"/>
      <c r="U29185" s="27"/>
    </row>
    <row r="29187">
      <c r="S29187" s="27"/>
      <c r="T29187" s="27"/>
      <c r="U29187" s="27"/>
    </row>
    <row r="29188">
      <c r="S29188" s="27"/>
      <c r="T29188" s="27"/>
      <c r="U29188" s="27"/>
    </row>
    <row r="29190">
      <c r="S29190" s="27"/>
      <c r="T29190" s="27"/>
      <c r="U29190" s="27"/>
    </row>
    <row r="29191">
      <c r="S29191" s="27"/>
      <c r="T29191" s="27"/>
      <c r="U29191" s="27"/>
    </row>
    <row r="29193">
      <c r="S29193" s="27"/>
      <c r="T29193" s="27"/>
      <c r="U29193" s="27"/>
    </row>
    <row r="29194">
      <c r="S29194" s="27"/>
      <c r="T29194" s="27"/>
      <c r="U29194" s="27"/>
    </row>
    <row r="29196">
      <c r="S29196" s="27"/>
      <c r="T29196" s="27"/>
      <c r="U29196" s="27"/>
    </row>
    <row r="29197">
      <c r="S29197" s="27"/>
      <c r="T29197" s="27"/>
      <c r="U29197" s="27"/>
    </row>
    <row r="29199">
      <c r="S29199" s="27"/>
      <c r="T29199" s="27"/>
      <c r="U29199" s="27"/>
    </row>
    <row r="29200">
      <c r="S29200" s="27"/>
      <c r="T29200" s="27"/>
      <c r="U29200" s="27"/>
    </row>
    <row r="29202">
      <c r="S29202" s="27"/>
      <c r="T29202" s="27"/>
      <c r="U29202" s="27"/>
    </row>
    <row r="29203">
      <c r="S29203" s="27"/>
      <c r="T29203" s="27"/>
      <c r="U29203" s="27"/>
    </row>
    <row r="29205">
      <c r="S29205" s="27"/>
      <c r="T29205" s="27"/>
      <c r="U29205" s="27"/>
    </row>
    <row r="29206">
      <c r="S29206" s="27"/>
      <c r="T29206" s="27"/>
      <c r="U29206" s="27"/>
    </row>
    <row r="29208">
      <c r="S29208" s="27"/>
      <c r="T29208" s="27"/>
      <c r="U29208" s="27"/>
    </row>
    <row r="29209">
      <c r="S29209" s="27"/>
      <c r="T29209" s="27"/>
      <c r="U29209" s="27"/>
    </row>
    <row r="29211">
      <c r="S29211" s="27"/>
      <c r="T29211" s="27"/>
      <c r="U29211" s="27"/>
    </row>
    <row r="29212">
      <c r="S29212" s="27"/>
      <c r="T29212" s="27"/>
      <c r="U29212" s="27"/>
    </row>
    <row r="29214">
      <c r="S29214" s="27"/>
      <c r="T29214" s="27"/>
      <c r="U29214" s="27"/>
    </row>
    <row r="29215">
      <c r="S29215" s="27"/>
      <c r="T29215" s="27"/>
      <c r="U29215" s="27"/>
    </row>
    <row r="29217">
      <c r="S29217" s="27"/>
      <c r="T29217" s="27"/>
      <c r="U29217" s="27"/>
    </row>
    <row r="29218">
      <c r="S29218" s="27"/>
      <c r="T29218" s="27"/>
      <c r="U29218" s="27"/>
    </row>
    <row r="29220">
      <c r="S29220" s="27"/>
      <c r="T29220" s="27"/>
      <c r="U29220" s="27"/>
    </row>
    <row r="29221">
      <c r="S29221" s="27"/>
      <c r="T29221" s="27"/>
      <c r="U29221" s="27"/>
    </row>
    <row r="29223">
      <c r="S29223" s="27"/>
      <c r="T29223" s="27"/>
      <c r="U29223" s="27"/>
    </row>
    <row r="29224">
      <c r="S29224" s="27"/>
      <c r="T29224" s="27"/>
      <c r="U29224" s="27"/>
    </row>
    <row r="29226">
      <c r="S29226" s="27"/>
      <c r="T29226" s="27"/>
      <c r="U29226" s="27"/>
    </row>
    <row r="29227">
      <c r="S29227" s="27"/>
      <c r="T29227" s="27"/>
      <c r="U29227" s="27"/>
    </row>
    <row r="29229">
      <c r="S29229" s="27"/>
      <c r="T29229" s="27"/>
      <c r="U29229" s="27"/>
    </row>
    <row r="29230">
      <c r="S29230" s="27"/>
      <c r="T29230" s="27"/>
      <c r="U29230" s="27"/>
    </row>
    <row r="29232">
      <c r="S29232" s="27"/>
      <c r="T29232" s="27"/>
      <c r="U29232" s="27"/>
    </row>
    <row r="29233">
      <c r="S29233" s="27"/>
      <c r="T29233" s="27"/>
      <c r="U29233" s="27"/>
    </row>
    <row r="29235">
      <c r="S29235" s="27"/>
      <c r="T29235" s="27"/>
      <c r="U29235" s="27"/>
    </row>
    <row r="29236">
      <c r="S29236" s="27"/>
      <c r="T29236" s="27"/>
      <c r="U29236" s="27"/>
    </row>
    <row r="29238">
      <c r="S29238" s="27"/>
      <c r="T29238" s="27"/>
      <c r="U29238" s="27"/>
    </row>
    <row r="29239">
      <c r="S29239" s="27"/>
      <c r="T29239" s="27"/>
      <c r="U29239" s="27"/>
    </row>
    <row r="29241">
      <c r="S29241" s="27"/>
      <c r="T29241" s="27"/>
      <c r="U29241" s="27"/>
    </row>
    <row r="29242">
      <c r="S29242" s="27"/>
      <c r="T29242" s="27"/>
      <c r="U29242" s="27"/>
    </row>
    <row r="29244">
      <c r="S29244" s="27"/>
      <c r="T29244" s="27"/>
      <c r="U29244" s="27"/>
    </row>
    <row r="29245">
      <c r="S29245" s="27"/>
      <c r="T29245" s="27"/>
      <c r="U29245" s="27"/>
    </row>
    <row r="29247">
      <c r="S29247" s="27"/>
      <c r="T29247" s="27"/>
      <c r="U29247" s="27"/>
    </row>
    <row r="29248">
      <c r="S29248" s="27"/>
      <c r="T29248" s="27"/>
      <c r="U29248" s="27"/>
    </row>
    <row r="29250">
      <c r="S29250" s="27"/>
      <c r="T29250" s="27"/>
      <c r="U29250" s="27"/>
    </row>
    <row r="29251">
      <c r="S29251" s="27"/>
      <c r="T29251" s="27"/>
      <c r="U29251" s="27"/>
    </row>
    <row r="29253">
      <c r="S29253" s="27"/>
      <c r="T29253" s="27"/>
      <c r="U29253" s="27"/>
    </row>
    <row r="29254">
      <c r="S29254" s="27"/>
      <c r="T29254" s="27"/>
      <c r="U29254" s="27"/>
    </row>
    <row r="29256">
      <c r="S29256" s="27"/>
      <c r="T29256" s="27"/>
      <c r="U29256" s="27"/>
    </row>
    <row r="29257">
      <c r="S29257" s="27"/>
      <c r="T29257" s="27"/>
      <c r="U29257" s="27"/>
    </row>
    <row r="29259">
      <c r="S29259" s="27"/>
      <c r="T29259" s="27"/>
      <c r="U29259" s="27"/>
    </row>
    <row r="29260">
      <c r="S29260" s="27"/>
      <c r="T29260" s="27"/>
      <c r="U29260" s="27"/>
    </row>
    <row r="29262">
      <c r="S29262" s="27"/>
      <c r="T29262" s="27"/>
      <c r="U29262" s="27"/>
    </row>
    <row r="29263">
      <c r="S29263" s="27"/>
      <c r="T29263" s="27"/>
      <c r="U29263" s="27"/>
    </row>
    <row r="29265">
      <c r="S29265" s="27"/>
      <c r="T29265" s="27"/>
      <c r="U29265" s="27"/>
    </row>
    <row r="29266">
      <c r="S29266" s="27"/>
      <c r="T29266" s="27"/>
      <c r="U29266" s="27"/>
    </row>
    <row r="29268">
      <c r="S29268" s="27"/>
      <c r="T29268" s="27"/>
      <c r="U29268" s="27"/>
    </row>
    <row r="29269">
      <c r="S29269" s="27"/>
      <c r="T29269" s="27"/>
      <c r="U29269" s="27"/>
    </row>
    <row r="29271">
      <c r="S29271" s="27"/>
      <c r="T29271" s="27"/>
      <c r="U29271" s="27"/>
    </row>
    <row r="29272">
      <c r="S29272" s="27"/>
      <c r="T29272" s="27"/>
      <c r="U29272" s="27"/>
    </row>
    <row r="29274">
      <c r="S29274" s="27"/>
      <c r="T29274" s="27"/>
      <c r="U29274" s="27"/>
    </row>
    <row r="29275">
      <c r="S29275" s="27"/>
      <c r="T29275" s="27"/>
      <c r="U29275" s="27"/>
    </row>
    <row r="29277">
      <c r="S29277" s="27"/>
      <c r="T29277" s="27"/>
      <c r="U29277" s="27"/>
    </row>
    <row r="29278">
      <c r="S29278" s="27"/>
      <c r="T29278" s="27"/>
      <c r="U29278" s="27"/>
    </row>
    <row r="29280">
      <c r="S29280" s="27"/>
      <c r="T29280" s="27"/>
      <c r="U29280" s="27"/>
    </row>
    <row r="29282">
      <c r="S29282" s="27"/>
      <c r="T29282" s="27"/>
      <c r="U29282" s="27"/>
    </row>
    <row r="29283">
      <c r="S29283" s="27"/>
      <c r="T29283" s="27"/>
      <c r="U29283" s="27"/>
    </row>
    <row r="29285">
      <c r="S29285" s="27"/>
      <c r="T29285" s="27"/>
      <c r="U29285" s="27"/>
    </row>
    <row r="29286">
      <c r="S29286" s="27"/>
      <c r="T29286" s="27"/>
      <c r="U29286" s="27"/>
    </row>
    <row r="29288">
      <c r="S29288" s="27"/>
      <c r="T29288" s="27"/>
      <c r="U29288" s="27"/>
    </row>
    <row r="29289">
      <c r="S29289" s="27"/>
      <c r="T29289" s="27"/>
      <c r="U29289" s="27"/>
    </row>
    <row r="29291">
      <c r="S29291" s="27"/>
      <c r="T29291" s="27"/>
      <c r="U29291" s="27"/>
    </row>
    <row r="29292">
      <c r="S29292" s="27"/>
      <c r="T29292" s="27"/>
      <c r="U29292" s="27"/>
    </row>
    <row r="29294">
      <c r="S29294" s="27"/>
      <c r="T29294" s="27"/>
      <c r="U29294" s="27"/>
    </row>
    <row r="29295">
      <c r="S29295" s="27"/>
      <c r="T29295" s="27"/>
      <c r="U29295" s="27"/>
    </row>
    <row r="29297">
      <c r="S29297" s="27"/>
      <c r="T29297" s="27"/>
      <c r="U29297" s="27"/>
    </row>
    <row r="29298">
      <c r="S29298" s="27"/>
      <c r="T29298" s="27"/>
      <c r="U29298" s="27"/>
    </row>
    <row r="29300">
      <c r="S29300" s="27"/>
      <c r="T29300" s="27"/>
      <c r="U29300" s="27"/>
    </row>
    <row r="29301">
      <c r="S29301" s="27"/>
      <c r="T29301" s="27"/>
      <c r="U29301" s="27"/>
    </row>
    <row r="29303">
      <c r="S29303" s="27"/>
      <c r="T29303" s="27"/>
      <c r="U29303" s="27"/>
    </row>
    <row r="29305">
      <c r="S29305" s="27"/>
      <c r="T29305" s="27"/>
      <c r="U29305" s="27"/>
    </row>
    <row r="29307">
      <c r="S29307" s="27"/>
      <c r="T29307" s="27"/>
      <c r="U29307" s="27"/>
    </row>
    <row r="29309">
      <c r="S29309" s="27"/>
      <c r="T29309" s="27"/>
      <c r="U29309" s="27"/>
    </row>
    <row r="29311">
      <c r="S29311" s="27"/>
      <c r="T29311" s="27"/>
      <c r="U29311" s="27"/>
    </row>
    <row r="29312">
      <c r="S29312" s="27"/>
      <c r="T29312" s="27"/>
      <c r="U29312" s="27"/>
    </row>
    <row r="29314">
      <c r="S29314" s="27"/>
      <c r="T29314" s="27"/>
      <c r="U29314" s="27"/>
    </row>
    <row r="29315">
      <c r="S29315" s="27"/>
      <c r="T29315" s="27"/>
      <c r="U29315" s="27"/>
    </row>
    <row r="29317">
      <c r="S29317" s="27"/>
      <c r="T29317" s="27"/>
      <c r="U29317" s="27"/>
    </row>
    <row r="29318">
      <c r="S29318" s="27"/>
      <c r="T29318" s="27"/>
      <c r="U29318" s="27"/>
    </row>
    <row r="29320">
      <c r="S29320" s="27"/>
      <c r="T29320" s="27"/>
      <c r="U29320" s="27"/>
    </row>
    <row r="29321">
      <c r="S29321" s="27"/>
      <c r="T29321" s="27"/>
      <c r="U29321" s="27"/>
    </row>
    <row r="29323">
      <c r="S29323" s="27"/>
      <c r="T29323" s="27"/>
      <c r="U29323" s="27"/>
    </row>
    <row r="29324">
      <c r="S29324" s="27"/>
      <c r="T29324" s="27"/>
      <c r="U29324" s="27"/>
    </row>
    <row r="29326">
      <c r="S29326" s="27"/>
      <c r="T29326" s="27"/>
      <c r="U29326" s="27"/>
    </row>
    <row r="29327">
      <c r="S29327" s="27"/>
      <c r="T29327" s="27"/>
      <c r="U29327" s="27"/>
    </row>
    <row r="29329">
      <c r="S29329" s="27"/>
      <c r="T29329" s="27"/>
      <c r="U29329" s="27"/>
    </row>
    <row r="29330">
      <c r="S29330" s="27"/>
      <c r="T29330" s="27"/>
      <c r="U29330" s="27"/>
    </row>
    <row r="29332">
      <c r="S29332" s="27"/>
      <c r="T29332" s="27"/>
      <c r="U29332" s="27"/>
    </row>
    <row r="29335">
      <c r="S29335" s="27"/>
      <c r="T29335" s="27"/>
      <c r="U29335" s="27"/>
    </row>
    <row r="29338">
      <c r="S29338" s="27"/>
      <c r="T29338" s="27"/>
      <c r="U29338" s="27"/>
    </row>
    <row r="29339">
      <c r="S29339" s="27"/>
      <c r="T29339" s="27"/>
      <c r="U29339" s="27"/>
    </row>
    <row r="29341">
      <c r="S29341" s="27"/>
      <c r="T29341" s="27"/>
      <c r="U29341" s="27"/>
    </row>
    <row r="29342">
      <c r="S29342" s="27"/>
      <c r="T29342" s="27"/>
      <c r="U29342" s="27"/>
    </row>
    <row r="29344">
      <c r="S29344" s="27"/>
      <c r="T29344" s="27"/>
      <c r="U29344" s="27"/>
    </row>
    <row r="29345">
      <c r="S29345" s="27"/>
      <c r="T29345" s="27"/>
      <c r="U29345" s="27"/>
    </row>
    <row r="29347">
      <c r="S29347" s="26"/>
      <c r="T29347" s="26"/>
      <c r="U29347" s="26"/>
    </row>
    <row r="29350">
      <c r="S29350" s="27"/>
      <c r="T29350" s="27"/>
      <c r="U29350" s="27"/>
    </row>
    <row r="29351">
      <c r="S29351" s="27"/>
      <c r="T29351" s="27"/>
      <c r="U29351" s="27"/>
    </row>
    <row r="29353">
      <c r="S29353" s="27"/>
      <c r="T29353" s="27"/>
      <c r="U29353" s="27"/>
    </row>
    <row r="29354">
      <c r="S29354" s="27"/>
      <c r="T29354" s="27"/>
      <c r="U29354" s="27"/>
    </row>
    <row r="29356">
      <c r="T29356" s="26"/>
      <c r="U29356" s="26"/>
    </row>
    <row r="29357">
      <c r="S29357" s="27"/>
    </row>
    <row r="29359">
      <c r="T29359" s="27"/>
    </row>
    <row r="29362">
      <c r="S29362" s="26"/>
      <c r="T29362" s="26"/>
      <c r="U29362" s="26"/>
    </row>
    <row r="29366">
      <c r="S29366" s="27"/>
      <c r="T29366" s="27"/>
      <c r="U29366" s="27"/>
    </row>
    <row r="29368">
      <c r="S29368" s="27"/>
      <c r="T29368" s="27"/>
      <c r="U29368" s="27"/>
    </row>
    <row r="29369">
      <c r="S29369" s="27"/>
      <c r="T29369" s="27"/>
      <c r="U29369" s="27"/>
    </row>
    <row r="29374">
      <c r="T29374" s="26"/>
    </row>
    <row r="29377">
      <c r="S29377" s="27"/>
      <c r="T29377" s="27"/>
      <c r="U29377" s="27"/>
    </row>
    <row r="29380">
      <c r="S29380" s="27"/>
      <c r="T29380" s="27"/>
      <c r="U29380" s="27"/>
    </row>
    <row r="29381">
      <c r="S29381" s="27"/>
      <c r="T29381" s="27"/>
      <c r="U29381" s="27"/>
    </row>
    <row r="29383">
      <c r="S29383" s="27"/>
      <c r="T29383" s="27"/>
      <c r="U29383" s="27"/>
    </row>
    <row r="29384">
      <c r="S29384" s="27"/>
      <c r="T29384" s="27"/>
      <c r="U29384" s="27"/>
    </row>
    <row r="29386">
      <c r="S29386" s="27"/>
      <c r="T29386" s="27"/>
      <c r="U29386" s="27"/>
    </row>
    <row r="29387">
      <c r="S29387" s="27"/>
      <c r="T29387" s="27"/>
      <c r="U29387" s="27"/>
    </row>
    <row r="29389">
      <c r="S29389" s="27"/>
      <c r="T29389" s="27"/>
      <c r="U29389" s="27"/>
    </row>
    <row r="29390">
      <c r="S29390" s="27"/>
      <c r="T29390" s="27"/>
      <c r="U29390" s="27"/>
    </row>
    <row r="29392">
      <c r="S29392" s="27"/>
      <c r="T29392" s="27"/>
      <c r="U29392" s="27"/>
    </row>
    <row r="29393">
      <c r="S29393" s="27"/>
      <c r="T29393" s="27"/>
      <c r="U29393" s="27"/>
    </row>
    <row r="29395">
      <c r="S29395" s="27"/>
      <c r="T29395" s="27"/>
      <c r="U29395" s="27"/>
    </row>
    <row r="29396">
      <c r="S29396" s="27"/>
      <c r="T29396" s="27"/>
      <c r="U29396" s="27"/>
    </row>
    <row r="29398">
      <c r="S29398" s="27"/>
      <c r="T29398" s="27"/>
      <c r="U29398" s="27"/>
    </row>
    <row r="29399">
      <c r="S29399" s="27"/>
      <c r="T29399" s="27"/>
      <c r="U29399" s="27"/>
    </row>
    <row r="29401">
      <c r="S29401" s="27"/>
      <c r="T29401" s="27"/>
      <c r="U29401" s="27"/>
    </row>
    <row r="29402">
      <c r="S29402" s="27"/>
      <c r="T29402" s="27"/>
      <c r="U29402" s="27"/>
    </row>
    <row r="29404">
      <c r="S29404" s="27"/>
      <c r="T29404" s="27"/>
      <c r="U29404" s="27"/>
    </row>
    <row r="29405">
      <c r="S29405" s="27"/>
      <c r="T29405" s="27"/>
      <c r="U29405" s="27"/>
    </row>
    <row r="29407">
      <c r="S29407" s="27"/>
      <c r="T29407" s="27"/>
      <c r="U29407" s="27"/>
    </row>
    <row r="29408">
      <c r="S29408" s="27"/>
      <c r="T29408" s="27"/>
      <c r="U29408" s="27"/>
    </row>
    <row r="29410">
      <c r="S29410" s="27"/>
      <c r="T29410" s="27"/>
      <c r="U29410" s="27"/>
    </row>
    <row r="29411">
      <c r="S29411" s="27"/>
      <c r="T29411" s="27"/>
      <c r="U29411" s="27"/>
    </row>
    <row r="29413">
      <c r="S29413" s="27"/>
      <c r="T29413" s="27"/>
      <c r="U29413" s="27"/>
    </row>
    <row r="29414">
      <c r="S29414" s="27"/>
      <c r="T29414" s="27"/>
      <c r="U29414" s="27"/>
    </row>
    <row r="29416">
      <c r="S29416" s="27"/>
      <c r="T29416" s="27"/>
      <c r="U29416" s="27"/>
    </row>
    <row r="29417">
      <c r="S29417" s="27"/>
      <c r="T29417" s="27"/>
      <c r="U29417" s="27"/>
    </row>
    <row r="29419">
      <c r="S29419" s="27"/>
      <c r="T29419" s="27"/>
      <c r="U29419" s="27"/>
    </row>
    <row r="29420">
      <c r="S29420" s="27"/>
      <c r="T29420" s="27"/>
      <c r="U29420" s="27"/>
    </row>
    <row r="29422">
      <c r="S29422" s="27"/>
      <c r="T29422" s="27"/>
      <c r="U29422" s="27"/>
    </row>
    <row r="29423">
      <c r="S29423" s="27"/>
      <c r="T29423" s="27"/>
      <c r="U29423" s="27"/>
    </row>
    <row r="29425">
      <c r="S29425" s="27"/>
      <c r="T29425" s="27"/>
      <c r="U29425" s="27"/>
    </row>
    <row r="29426">
      <c r="S29426" s="27"/>
      <c r="T29426" s="27"/>
      <c r="U29426" s="27"/>
    </row>
    <row r="29428">
      <c r="S29428" s="27"/>
      <c r="T29428" s="27"/>
      <c r="U29428" s="27"/>
    </row>
    <row r="29429">
      <c r="S29429" s="27"/>
      <c r="T29429" s="27"/>
      <c r="U29429" s="27"/>
    </row>
    <row r="29431">
      <c r="S29431" s="27"/>
      <c r="T29431" s="27"/>
      <c r="U29431" s="27"/>
    </row>
    <row r="29432">
      <c r="S29432" s="27"/>
      <c r="T29432" s="27"/>
      <c r="U29432" s="27"/>
    </row>
    <row r="29434">
      <c r="S29434" s="27"/>
      <c r="T29434" s="27"/>
      <c r="U29434" s="27"/>
    </row>
    <row r="29435">
      <c r="S29435" s="27"/>
      <c r="T29435" s="27"/>
      <c r="U29435" s="27"/>
    </row>
    <row r="29437">
      <c r="S29437" s="27"/>
      <c r="T29437" s="27"/>
      <c r="U29437" s="27"/>
    </row>
    <row r="29438">
      <c r="S29438" s="27"/>
      <c r="T29438" s="27"/>
      <c r="U29438" s="27"/>
    </row>
    <row r="29440">
      <c r="S29440" s="27"/>
      <c r="T29440" s="27"/>
      <c r="U29440" s="27"/>
    </row>
    <row r="29441">
      <c r="S29441" s="27"/>
      <c r="T29441" s="27"/>
      <c r="U29441" s="27"/>
    </row>
    <row r="29443">
      <c r="S29443" s="27"/>
      <c r="T29443" s="27"/>
      <c r="U29443" s="27"/>
    </row>
    <row r="29444">
      <c r="S29444" s="27"/>
      <c r="T29444" s="27"/>
      <c r="U29444" s="27"/>
    </row>
    <row r="29446">
      <c r="S29446" s="27"/>
      <c r="T29446" s="27"/>
      <c r="U29446" s="27"/>
    </row>
    <row r="29447">
      <c r="S29447" s="27"/>
      <c r="T29447" s="27"/>
      <c r="U29447" s="27"/>
    </row>
    <row r="29449">
      <c r="S29449" s="27"/>
      <c r="T29449" s="27"/>
      <c r="U29449" s="27"/>
    </row>
    <row r="29450">
      <c r="S29450" s="27"/>
      <c r="T29450" s="27"/>
      <c r="U29450" s="27"/>
    </row>
    <row r="29452">
      <c r="S29452" s="27"/>
      <c r="T29452" s="27"/>
      <c r="U29452" s="27"/>
    </row>
    <row r="29453">
      <c r="S29453" s="27"/>
      <c r="T29453" s="27"/>
      <c r="U29453" s="27"/>
    </row>
    <row r="29455">
      <c r="S29455" s="27"/>
      <c r="T29455" s="27"/>
      <c r="U29455" s="27"/>
    </row>
    <row r="29456">
      <c r="S29456" s="27"/>
      <c r="T29456" s="27"/>
      <c r="U29456" s="27"/>
    </row>
    <row r="29458">
      <c r="S29458" s="27"/>
      <c r="T29458" s="27"/>
      <c r="U29458" s="27"/>
    </row>
    <row r="29459">
      <c r="S29459" s="27"/>
    </row>
    <row r="29461">
      <c r="S29461" s="33"/>
      <c r="T29461" s="33"/>
      <c r="U29461" s="33"/>
    </row>
    <row r="29462">
      <c r="S29462" s="27"/>
      <c r="T29462" s="27"/>
      <c r="U29462" s="27"/>
    </row>
    <row r="29464">
      <c r="S29464" s="27"/>
      <c r="T29464" s="27"/>
      <c r="U29464" s="27"/>
    </row>
    <row r="29465">
      <c r="S29465" s="27"/>
      <c r="T29465" s="27"/>
      <c r="U29465" s="27"/>
    </row>
    <row r="29467">
      <c r="S29467" s="27"/>
      <c r="T29467" s="27"/>
      <c r="U29467" s="27"/>
    </row>
    <row r="29468">
      <c r="T29468" s="26"/>
      <c r="U29468" s="26"/>
    </row>
    <row r="29470">
      <c r="S29470" s="27"/>
      <c r="T29470" s="27"/>
      <c r="U29470" s="27"/>
    </row>
    <row r="29471">
      <c r="S29471" s="27"/>
      <c r="T29471" s="27"/>
      <c r="U29471" s="27"/>
    </row>
    <row r="29473">
      <c r="S29473" s="27"/>
      <c r="T29473" s="27"/>
      <c r="U29473" s="27"/>
    </row>
    <row r="29474">
      <c r="S29474" s="27"/>
      <c r="T29474" s="27"/>
      <c r="U29474" s="27"/>
    </row>
    <row r="29476">
      <c r="S29476" s="27"/>
      <c r="T29476" s="27"/>
      <c r="U29476" s="27"/>
    </row>
    <row r="29477">
      <c r="S29477" s="27"/>
      <c r="T29477" s="27"/>
      <c r="U29477" s="27"/>
    </row>
    <row r="29479">
      <c r="S29479" s="26"/>
      <c r="T29479" s="26"/>
      <c r="U29479" s="26"/>
    </row>
    <row r="29482">
      <c r="T29482" s="26"/>
      <c r="U29482" s="26"/>
    </row>
    <row r="29485">
      <c r="T29485" s="27"/>
      <c r="U29485" s="27"/>
    </row>
    <row r="29487">
      <c r="S29487" s="27"/>
      <c r="T29487" s="27"/>
      <c r="U29487" s="27"/>
    </row>
    <row r="29489">
      <c r="S29489" s="27"/>
      <c r="T29489" s="26"/>
      <c r="U29489" s="26"/>
    </row>
    <row r="29495">
      <c r="S29495" s="27"/>
      <c r="T29495" s="27"/>
      <c r="U29495" s="27"/>
    </row>
    <row r="29496">
      <c r="S29496" s="27"/>
      <c r="T29496" s="27"/>
      <c r="U29496" s="27"/>
    </row>
    <row r="29498">
      <c r="S29498" s="27"/>
      <c r="T29498" s="27"/>
      <c r="U29498" s="27"/>
    </row>
    <row r="29499">
      <c r="S29499" s="27"/>
      <c r="T29499" s="27"/>
      <c r="U29499" s="27"/>
    </row>
    <row r="29501">
      <c r="S29501" s="33"/>
      <c r="T29501" s="27"/>
      <c r="U29501" s="27"/>
    </row>
    <row r="29502">
      <c r="S29502" s="27"/>
      <c r="T29502" s="27"/>
      <c r="U29502" s="27"/>
    </row>
    <row r="29504">
      <c r="S29504" s="27"/>
      <c r="T29504" s="27"/>
      <c r="U29504" s="27"/>
    </row>
    <row r="29505">
      <c r="S29505" s="27"/>
      <c r="T29505" s="27"/>
      <c r="U29505" s="27"/>
    </row>
    <row r="29507">
      <c r="S29507" s="27"/>
      <c r="T29507" s="27"/>
      <c r="U29507" s="27"/>
    </row>
    <row r="29508">
      <c r="S29508" s="27"/>
      <c r="T29508" s="27"/>
      <c r="U29508" s="27"/>
    </row>
    <row r="29513">
      <c r="S29513" s="27"/>
      <c r="T29513" s="27"/>
      <c r="U29513" s="27"/>
    </row>
    <row r="29514">
      <c r="S29514" s="27"/>
      <c r="T29514" s="27"/>
      <c r="U29514" s="27"/>
    </row>
    <row r="29516">
      <c r="S29516" s="27"/>
      <c r="T29516" s="27"/>
      <c r="U29516" s="27"/>
    </row>
    <row r="29517">
      <c r="S29517" s="27"/>
      <c r="T29517" s="27"/>
      <c r="U29517" s="27"/>
    </row>
    <row r="29519">
      <c r="S29519" s="27"/>
      <c r="T29519" s="27"/>
      <c r="U29519" s="27"/>
    </row>
    <row r="29520">
      <c r="S29520" s="27"/>
      <c r="T29520" s="27"/>
      <c r="U29520" s="27"/>
    </row>
    <row r="29522">
      <c r="S29522" s="33"/>
      <c r="T29522" s="33"/>
      <c r="U29522" s="27"/>
    </row>
    <row r="29525">
      <c r="S29525" s="27"/>
    </row>
    <row r="29526">
      <c r="S29526" s="27"/>
      <c r="T29526" s="27"/>
      <c r="U29526" s="27"/>
    </row>
    <row r="29528">
      <c r="S29528" s="27"/>
      <c r="T29528" s="27"/>
      <c r="U29528" s="27"/>
    </row>
    <row r="29531">
      <c r="S29531" s="27"/>
      <c r="T29531" s="27"/>
      <c r="U29531" s="33"/>
    </row>
    <row r="29532">
      <c r="S29532" s="33"/>
      <c r="T29532" s="33"/>
      <c r="U29532" s="33"/>
    </row>
    <row r="29535">
      <c r="S29535" s="26"/>
      <c r="T29535" s="26"/>
      <c r="U29535" s="26"/>
    </row>
    <row r="29537">
      <c r="S29537" s="27"/>
      <c r="T29537" s="27"/>
      <c r="U29537" s="27"/>
    </row>
    <row r="29538">
      <c r="S29538" s="27"/>
      <c r="T29538" s="27"/>
      <c r="U29538" s="27"/>
    </row>
    <row r="29540">
      <c r="S29540" s="27"/>
      <c r="T29540" s="27"/>
      <c r="U29540" s="27"/>
    </row>
    <row r="29541">
      <c r="S29541" s="27"/>
      <c r="T29541" s="27"/>
      <c r="U29541" s="27"/>
    </row>
    <row r="29543">
      <c r="S29543" s="27"/>
      <c r="T29543" s="27"/>
      <c r="U29543" s="27"/>
    </row>
    <row r="29544">
      <c r="S29544" s="27"/>
      <c r="T29544" s="27"/>
      <c r="U29544" s="27"/>
    </row>
    <row r="29546">
      <c r="S29546" s="27"/>
      <c r="T29546" s="27"/>
      <c r="U29546" s="27"/>
    </row>
    <row r="29547">
      <c r="S29547" s="27"/>
      <c r="T29547" s="27"/>
      <c r="U29547" s="27"/>
    </row>
    <row r="29552">
      <c r="S29552" s="27"/>
      <c r="T29552" s="27"/>
      <c r="U29552" s="27"/>
    </row>
    <row r="29553">
      <c r="S29553" s="27"/>
      <c r="T29553" s="27"/>
      <c r="U29553" s="27"/>
    </row>
    <row r="29555">
      <c r="S29555" s="27"/>
      <c r="T29555" s="27"/>
      <c r="U29555" s="27"/>
    </row>
    <row r="29556">
      <c r="S29556" s="27"/>
      <c r="T29556" s="27"/>
      <c r="U29556" s="27"/>
    </row>
    <row r="29558">
      <c r="S29558" s="27"/>
    </row>
    <row r="29561">
      <c r="S29561" s="26"/>
      <c r="T29561" s="27"/>
    </row>
    <row r="29562">
      <c r="T29562" s="27"/>
      <c r="U29562" s="27"/>
    </row>
    <row r="29564">
      <c r="S29564" s="27"/>
      <c r="T29564" s="27"/>
      <c r="U29564" s="27"/>
    </row>
    <row r="29565">
      <c r="S29565" s="27"/>
      <c r="T29565" s="27"/>
      <c r="U29565" s="27"/>
    </row>
    <row r="29567">
      <c r="S29567" s="27"/>
      <c r="T29567" s="27"/>
      <c r="U29567" s="27"/>
    </row>
    <row r="29568">
      <c r="S29568" s="27"/>
      <c r="T29568" s="27"/>
      <c r="U29568" s="27"/>
    </row>
    <row r="29570">
      <c r="S29570" s="27"/>
      <c r="T29570" s="27"/>
      <c r="U29570" s="27"/>
    </row>
    <row r="29573">
      <c r="S29573" s="27"/>
      <c r="T29573" s="27"/>
      <c r="U29573" s="27"/>
    </row>
    <row r="29574">
      <c r="S29574" s="27"/>
      <c r="T29574" s="27"/>
      <c r="U29574" s="27"/>
    </row>
    <row r="29576">
      <c r="S29576" s="26"/>
      <c r="T29576" s="26"/>
      <c r="U29576" s="26"/>
    </row>
    <row r="29579">
      <c r="S29579" s="27"/>
      <c r="T29579" s="27"/>
      <c r="U29579" s="27"/>
    </row>
    <row r="29582">
      <c r="S29582" s="27"/>
      <c r="T29582" s="27"/>
      <c r="U29582" s="27"/>
    </row>
    <row r="29583">
      <c r="S29583" s="27"/>
      <c r="T29583" s="27"/>
      <c r="U29583" s="27"/>
    </row>
    <row r="29585">
      <c r="S29585" s="27"/>
      <c r="T29585" s="27"/>
      <c r="U29585" s="27"/>
    </row>
    <row r="29586">
      <c r="S29586" s="27"/>
      <c r="T29586" s="27"/>
      <c r="U29586" s="27"/>
    </row>
    <row r="29588">
      <c r="S29588" s="27"/>
      <c r="T29588" s="27"/>
      <c r="U29588" s="27"/>
    </row>
    <row r="29589">
      <c r="S29589" s="27"/>
      <c r="T29589" s="27"/>
      <c r="U29589" s="27"/>
    </row>
    <row r="29591">
      <c r="S29591" s="26"/>
    </row>
    <row r="29592">
      <c r="T29592" s="26"/>
      <c r="U29592" s="26"/>
    </row>
    <row r="29594">
      <c r="S29594" s="27"/>
      <c r="T29594" s="27"/>
      <c r="U29594" s="27"/>
    </row>
    <row r="29595">
      <c r="S29595" s="27"/>
      <c r="T29595" s="27"/>
      <c r="U29595" s="27"/>
    </row>
    <row r="29597">
      <c r="S29597" s="27"/>
      <c r="T29597" s="27"/>
      <c r="U29597" s="27"/>
    </row>
    <row r="29598">
      <c r="S29598" s="27"/>
      <c r="T29598" s="27"/>
      <c r="U29598" s="27"/>
    </row>
    <row r="29600">
      <c r="S29600" s="27"/>
      <c r="T29600" s="27"/>
      <c r="U29600" s="27"/>
    </row>
    <row r="29601">
      <c r="S29601" s="27"/>
      <c r="T29601" s="27"/>
      <c r="U29601" s="27"/>
    </row>
    <row r="29603">
      <c r="S29603" s="27"/>
      <c r="T29603" s="27"/>
      <c r="U29603" s="27"/>
    </row>
    <row r="29604">
      <c r="S29604" s="27"/>
      <c r="T29604" s="27"/>
      <c r="U29604" s="27"/>
    </row>
    <row r="29606">
      <c r="S29606" s="27"/>
      <c r="T29606" s="27"/>
      <c r="U29606" s="27"/>
    </row>
    <row r="29607">
      <c r="S29607" s="27"/>
      <c r="T29607" s="27"/>
      <c r="U29607" s="27"/>
    </row>
    <row r="29609">
      <c r="S29609" s="27"/>
      <c r="T29609" s="27"/>
      <c r="U29609" s="27"/>
    </row>
    <row r="29610">
      <c r="S29610" s="27"/>
      <c r="T29610" s="27"/>
      <c r="U29610" s="27"/>
    </row>
    <row r="29612">
      <c r="S29612" s="27"/>
      <c r="T29612" s="27"/>
      <c r="U29612" s="27"/>
    </row>
    <row r="29613">
      <c r="S29613" s="27"/>
      <c r="T29613" s="27"/>
      <c r="U29613" s="27"/>
    </row>
    <row r="29615">
      <c r="S29615" s="27"/>
      <c r="T29615" s="27"/>
      <c r="U29615" s="27"/>
    </row>
    <row r="29616">
      <c r="S29616" s="27"/>
      <c r="T29616" s="27"/>
      <c r="U29616" s="27"/>
    </row>
    <row r="29618">
      <c r="S29618" s="27"/>
      <c r="T29618" s="27"/>
      <c r="U29618" s="27"/>
    </row>
    <row r="29619">
      <c r="S29619" s="27"/>
      <c r="T29619" s="27"/>
      <c r="U29619" s="27"/>
    </row>
    <row r="29621">
      <c r="S29621" s="27"/>
      <c r="T29621" s="27"/>
      <c r="U29621" s="27"/>
    </row>
    <row r="29622">
      <c r="S29622" s="27"/>
      <c r="T29622" s="27"/>
      <c r="U29622" s="27"/>
    </row>
    <row r="29624">
      <c r="S29624" s="27"/>
      <c r="T29624" s="27"/>
      <c r="U29624" s="27"/>
    </row>
    <row r="29625">
      <c r="S29625" s="27"/>
      <c r="T29625" s="27"/>
      <c r="U29625" s="27"/>
    </row>
    <row r="29627">
      <c r="S29627" s="27"/>
      <c r="T29627" s="27"/>
      <c r="U29627" s="27"/>
    </row>
    <row r="29628">
      <c r="S29628" s="27"/>
      <c r="T29628" s="27"/>
      <c r="U29628" s="27"/>
    </row>
    <row r="29630">
      <c r="S29630" s="27"/>
      <c r="T29630" s="27"/>
      <c r="U29630" s="27"/>
    </row>
    <row r="29631">
      <c r="S29631" s="27"/>
      <c r="T29631" s="27"/>
      <c r="U29631" s="27"/>
    </row>
    <row r="29633">
      <c r="S29633" s="27"/>
      <c r="T29633" s="27"/>
      <c r="U29633" s="27"/>
    </row>
    <row r="29634">
      <c r="S29634" s="27"/>
      <c r="T29634" s="27"/>
      <c r="U29634" s="27"/>
    </row>
    <row r="29636">
      <c r="S29636" s="27"/>
      <c r="T29636" s="27"/>
      <c r="U29636" s="27"/>
    </row>
    <row r="29637">
      <c r="S29637" s="27"/>
      <c r="T29637" s="27"/>
      <c r="U29637" s="27"/>
    </row>
    <row r="29639">
      <c r="S29639" s="27"/>
      <c r="T29639" s="27"/>
      <c r="U29639" s="27"/>
    </row>
    <row r="29640">
      <c r="S29640" s="27"/>
      <c r="T29640" s="27"/>
      <c r="U29640" s="27"/>
    </row>
    <row r="29642">
      <c r="S29642" s="27"/>
      <c r="T29642" s="27"/>
      <c r="U29642" s="27"/>
    </row>
    <row r="29643">
      <c r="S29643" s="27"/>
      <c r="T29643" s="27"/>
      <c r="U29643" s="27"/>
    </row>
    <row r="29645">
      <c r="S29645" s="27"/>
      <c r="T29645" s="27"/>
      <c r="U29645" s="27"/>
    </row>
    <row r="29646">
      <c r="S29646" s="27"/>
      <c r="T29646" s="27"/>
      <c r="U29646" s="27"/>
    </row>
    <row r="29648">
      <c r="S29648" s="27"/>
      <c r="T29648" s="27"/>
      <c r="U29648" s="27"/>
    </row>
    <row r="29649">
      <c r="S29649" s="27"/>
      <c r="T29649" s="27"/>
      <c r="U29649" s="27"/>
    </row>
    <row r="29651">
      <c r="S29651" s="27"/>
      <c r="T29651" s="27"/>
      <c r="U29651" s="27"/>
    </row>
    <row r="29652">
      <c r="S29652" s="27"/>
      <c r="T29652" s="27"/>
      <c r="U29652" s="27"/>
    </row>
    <row r="29654">
      <c r="S29654" s="27"/>
      <c r="T29654" s="27"/>
      <c r="U29654" s="27"/>
    </row>
    <row r="29655">
      <c r="S29655" s="27"/>
      <c r="T29655" s="27"/>
      <c r="U29655" s="27"/>
    </row>
    <row r="29657">
      <c r="S29657" s="27"/>
      <c r="T29657" s="27"/>
      <c r="U29657" s="27"/>
    </row>
    <row r="29658">
      <c r="S29658" s="27"/>
      <c r="T29658" s="27"/>
      <c r="U29658" s="27"/>
    </row>
    <row r="29660">
      <c r="S29660" s="27"/>
      <c r="T29660" s="27"/>
      <c r="U29660" s="27"/>
    </row>
    <row r="29661">
      <c r="S29661" s="27"/>
      <c r="T29661" s="27"/>
      <c r="U29661" s="27"/>
    </row>
    <row r="29663">
      <c r="S29663" s="26"/>
      <c r="T29663" s="27"/>
    </row>
    <row r="29664">
      <c r="S29664" s="26"/>
      <c r="T29664" s="27"/>
    </row>
    <row r="29666">
      <c r="S29666" s="27"/>
      <c r="T29666" s="27"/>
      <c r="U29666" s="27"/>
    </row>
    <row r="29667">
      <c r="S29667" s="27"/>
      <c r="T29667" s="27"/>
      <c r="U29667" s="27"/>
    </row>
    <row r="29669">
      <c r="S29669" s="27"/>
      <c r="T29669" s="27"/>
      <c r="U29669" s="27"/>
    </row>
    <row r="29670">
      <c r="S29670" s="27"/>
      <c r="T29670" s="27"/>
      <c r="U29670" s="27"/>
    </row>
    <row r="29672">
      <c r="S29672" s="27"/>
      <c r="T29672" s="27"/>
      <c r="U29672" s="27"/>
    </row>
    <row r="29673">
      <c r="S29673" s="27"/>
      <c r="T29673" s="27"/>
      <c r="U29673" s="27"/>
    </row>
    <row r="29675">
      <c r="S29675" s="27"/>
      <c r="T29675" s="27"/>
      <c r="U29675" s="27"/>
    </row>
    <row r="29676">
      <c r="S29676" s="27"/>
      <c r="T29676" s="27"/>
      <c r="U29676" s="27"/>
    </row>
    <row r="29678">
      <c r="S29678" s="27"/>
      <c r="T29678" s="27"/>
      <c r="U29678" s="27"/>
    </row>
    <row r="29679">
      <c r="S29679" s="27"/>
      <c r="T29679" s="27"/>
      <c r="U29679" s="27"/>
    </row>
    <row r="29681">
      <c r="S29681" s="27"/>
      <c r="T29681" s="27"/>
      <c r="U29681" s="27"/>
    </row>
    <row r="29682">
      <c r="S29682" s="27"/>
      <c r="T29682" s="27"/>
      <c r="U29682" s="27"/>
    </row>
    <row r="29684">
      <c r="S29684" s="27"/>
      <c r="T29684" s="27"/>
      <c r="U29684" s="27"/>
    </row>
    <row r="29685">
      <c r="S29685" s="27"/>
      <c r="T29685" s="27"/>
      <c r="U29685" s="27"/>
    </row>
    <row r="29687">
      <c r="S29687" s="27"/>
      <c r="T29687" s="27"/>
      <c r="U29687" s="27"/>
    </row>
    <row r="29688">
      <c r="S29688" s="27"/>
      <c r="T29688" s="27"/>
      <c r="U29688" s="27"/>
    </row>
    <row r="29690">
      <c r="S29690" s="27"/>
      <c r="T29690" s="27"/>
      <c r="U29690" s="27"/>
    </row>
    <row r="29692">
      <c r="S29692" s="27"/>
      <c r="T29692" s="27"/>
      <c r="U29692" s="27"/>
    </row>
    <row r="29693">
      <c r="S29693" s="27"/>
      <c r="T29693" s="27"/>
      <c r="U29693" s="27"/>
    </row>
    <row r="29695">
      <c r="S29695" s="27"/>
      <c r="T29695" s="27"/>
      <c r="U29695" s="27"/>
    </row>
    <row r="29696">
      <c r="S29696" s="27"/>
      <c r="T29696" s="27"/>
      <c r="U29696" s="27"/>
    </row>
    <row r="29698">
      <c r="S29698" s="27"/>
      <c r="T29698" s="27"/>
      <c r="U29698" s="27"/>
    </row>
    <row r="29699">
      <c r="S29699" s="27"/>
      <c r="T29699" s="27"/>
      <c r="U29699" s="27"/>
    </row>
    <row r="29701">
      <c r="S29701" s="27"/>
      <c r="T29701" s="27"/>
      <c r="U29701" s="27"/>
    </row>
    <row r="29702">
      <c r="S29702" s="27"/>
      <c r="T29702" s="27"/>
      <c r="U29702" s="27"/>
    </row>
    <row r="29704">
      <c r="S29704" s="27"/>
      <c r="T29704" s="27"/>
      <c r="U29704" s="27"/>
    </row>
    <row r="29705">
      <c r="S29705" s="27"/>
      <c r="T29705" s="27"/>
      <c r="U29705" s="27"/>
    </row>
    <row r="29707">
      <c r="S29707" s="27"/>
      <c r="T29707" s="27"/>
      <c r="U29707" s="27"/>
    </row>
    <row r="29708">
      <c r="S29708" s="27"/>
      <c r="T29708" s="27"/>
      <c r="U29708" s="27"/>
    </row>
    <row r="29710">
      <c r="S29710" s="27"/>
      <c r="T29710" s="27"/>
      <c r="U29710" s="27"/>
    </row>
    <row r="29711">
      <c r="S29711" s="27"/>
      <c r="T29711" s="27"/>
      <c r="U29711" s="27"/>
    </row>
    <row r="29713">
      <c r="S29713" s="27"/>
      <c r="T29713" s="27"/>
      <c r="U29713" s="27"/>
    </row>
    <row r="29715">
      <c r="S29715" s="27"/>
      <c r="T29715" s="27"/>
      <c r="U29715" s="27"/>
    </row>
    <row r="29717">
      <c r="T29717" s="27"/>
      <c r="U29717" s="27"/>
    </row>
    <row r="29719">
      <c r="S29719" s="27"/>
      <c r="T29719" s="27"/>
      <c r="U29719" s="27"/>
    </row>
    <row r="29721">
      <c r="S29721" s="27"/>
      <c r="T29721" s="27"/>
      <c r="U29721" s="27"/>
    </row>
    <row r="29722">
      <c r="S29722" s="27"/>
      <c r="T29722" s="27"/>
      <c r="U29722" s="27"/>
    </row>
    <row r="29724">
      <c r="S29724" s="27"/>
      <c r="T29724" s="27"/>
      <c r="U29724" s="27"/>
    </row>
    <row r="29725">
      <c r="S29725" s="27"/>
      <c r="T29725" s="27"/>
      <c r="U29725" s="27"/>
    </row>
    <row r="29727">
      <c r="S29727" s="27"/>
      <c r="T29727" s="27"/>
      <c r="U29727" s="27"/>
    </row>
    <row r="29728">
      <c r="S29728" s="33"/>
      <c r="T29728" s="33"/>
      <c r="U29728" s="26"/>
    </row>
    <row r="29730">
      <c r="S29730" s="27"/>
      <c r="T29730" s="27"/>
      <c r="U29730" s="27"/>
    </row>
    <row r="29731">
      <c r="S29731" s="27"/>
      <c r="T29731" s="27"/>
      <c r="U29731" s="27"/>
    </row>
    <row r="29733">
      <c r="S29733" s="27"/>
      <c r="T29733" s="27"/>
      <c r="U29733" s="27"/>
    </row>
    <row r="29734">
      <c r="S29734" s="27"/>
      <c r="T29734" s="27"/>
      <c r="U29734" s="27"/>
    </row>
    <row r="29736">
      <c r="S29736" s="27"/>
      <c r="T29736" s="27"/>
      <c r="U29736" s="27"/>
    </row>
    <row r="29737">
      <c r="S29737" s="27"/>
      <c r="T29737" s="27"/>
      <c r="U29737" s="27"/>
    </row>
    <row r="29739">
      <c r="S29739" s="27"/>
    </row>
    <row r="29740">
      <c r="S29740" s="27"/>
    </row>
    <row r="29742">
      <c r="S29742" s="27"/>
      <c r="T29742" s="27"/>
      <c r="U29742" s="27"/>
    </row>
    <row r="29745">
      <c r="S29745" s="27"/>
      <c r="T29745" s="27"/>
      <c r="U29745" s="27"/>
    </row>
    <row r="29748">
      <c r="S29748" s="27"/>
      <c r="T29748" s="27"/>
      <c r="U29748" s="27"/>
    </row>
    <row r="29749">
      <c r="S29749" s="27"/>
      <c r="T29749" s="27"/>
      <c r="U29749" s="27"/>
    </row>
    <row r="29751">
      <c r="S29751" s="27"/>
      <c r="T29751" s="27"/>
      <c r="U29751" s="27"/>
    </row>
    <row r="29752">
      <c r="S29752" s="27"/>
      <c r="T29752" s="27"/>
      <c r="U29752" s="27"/>
    </row>
    <row r="29754">
      <c r="S29754" s="27"/>
      <c r="T29754" s="27"/>
      <c r="U29754" s="27"/>
    </row>
    <row r="29755">
      <c r="S29755" s="27"/>
      <c r="T29755" s="27"/>
      <c r="U29755" s="27"/>
    </row>
    <row r="29757">
      <c r="S29757" s="26"/>
      <c r="T29757" s="26"/>
    </row>
    <row r="29760">
      <c r="S29760" s="27"/>
      <c r="T29760" s="27"/>
      <c r="U29760" s="27"/>
    </row>
    <row r="29761">
      <c r="S29761" s="27"/>
      <c r="T29761" s="27"/>
      <c r="U29761" s="27"/>
    </row>
    <row r="29763">
      <c r="S29763" s="27"/>
      <c r="T29763" s="27"/>
      <c r="U29763" s="27"/>
    </row>
    <row r="29764">
      <c r="S29764" s="27"/>
      <c r="T29764" s="27"/>
      <c r="U29764" s="27"/>
    </row>
    <row r="29766">
      <c r="S29766" s="27"/>
      <c r="T29766" s="27"/>
    </row>
    <row r="29767">
      <c r="S29767" s="27"/>
      <c r="T29767" s="27"/>
    </row>
    <row r="29769">
      <c r="S29769" s="27"/>
      <c r="T29769" s="27"/>
      <c r="U29769" s="27"/>
    </row>
    <row r="29772">
      <c r="S29772" s="26"/>
      <c r="T29772" s="26"/>
      <c r="U29772" s="26"/>
    </row>
    <row r="29775">
      <c r="S29775" s="27"/>
      <c r="T29775" s="27"/>
      <c r="U29775" s="27"/>
    </row>
    <row r="29776">
      <c r="S29776" s="27"/>
      <c r="T29776" s="27"/>
      <c r="U29776" s="27"/>
    </row>
    <row r="29778">
      <c r="S29778" s="27"/>
      <c r="T29778" s="27"/>
      <c r="U29778" s="27"/>
    </row>
    <row r="29779">
      <c r="S29779" s="27"/>
      <c r="T29779" s="27"/>
      <c r="U29779" s="27"/>
    </row>
    <row r="29781">
      <c r="S29781" s="34"/>
      <c r="T29781" s="34"/>
      <c r="U29781" s="34"/>
    </row>
    <row r="29784">
      <c r="S29784" s="26"/>
      <c r="T29784" s="26"/>
    </row>
    <row r="29787">
      <c r="S29787" s="27"/>
      <c r="T29787" s="27"/>
      <c r="U29787" s="27"/>
    </row>
    <row r="29790">
      <c r="S29790" s="27"/>
      <c r="T29790" s="27"/>
      <c r="U29790" s="27"/>
    </row>
    <row r="29791">
      <c r="S29791" s="27"/>
      <c r="T29791" s="27"/>
      <c r="U29791" s="27"/>
    </row>
    <row r="29793">
      <c r="S29793" s="27"/>
      <c r="T29793" s="27"/>
      <c r="U29793" s="27"/>
    </row>
    <row r="29794">
      <c r="S29794" s="27"/>
      <c r="T29794" s="27"/>
      <c r="U29794" s="27"/>
    </row>
    <row r="29796">
      <c r="S29796" s="27"/>
      <c r="T29796" s="27"/>
      <c r="U29796" s="27"/>
    </row>
    <row r="29797">
      <c r="S29797" s="27"/>
      <c r="T29797" s="27"/>
      <c r="U29797" s="27"/>
    </row>
    <row r="29799">
      <c r="S29799" s="27"/>
      <c r="T29799" s="27"/>
      <c r="U29799" s="27"/>
    </row>
    <row r="29800">
      <c r="S29800" s="27"/>
      <c r="T29800" s="27"/>
      <c r="U29800" s="27"/>
    </row>
    <row r="29802">
      <c r="S29802" s="27"/>
      <c r="T29802" s="27"/>
      <c r="U29802" s="27"/>
    </row>
    <row r="29803">
      <c r="S29803" s="27"/>
      <c r="T29803" s="27"/>
      <c r="U29803" s="27"/>
    </row>
    <row r="29805">
      <c r="S29805" s="27"/>
      <c r="T29805" s="27"/>
      <c r="U29805" s="27"/>
    </row>
    <row r="29806">
      <c r="S29806" s="27"/>
      <c r="T29806" s="27"/>
      <c r="U29806" s="27"/>
    </row>
    <row r="29808">
      <c r="S29808" s="27"/>
      <c r="T29808" s="27"/>
      <c r="U29808" s="27"/>
    </row>
    <row r="29809">
      <c r="S29809" s="27"/>
      <c r="T29809" s="27"/>
      <c r="U29809" s="27"/>
    </row>
    <row r="29811">
      <c r="S29811" s="27"/>
      <c r="T29811" s="27"/>
      <c r="U29811" s="27"/>
    </row>
    <row r="29812">
      <c r="S29812" s="27"/>
      <c r="T29812" s="27"/>
      <c r="U29812" s="27"/>
    </row>
    <row r="29814">
      <c r="S29814" s="27"/>
      <c r="T29814" s="27"/>
      <c r="U29814" s="27"/>
    </row>
    <row r="29815">
      <c r="S29815" s="27"/>
      <c r="T29815" s="27"/>
      <c r="U29815" s="27"/>
    </row>
    <row r="29817">
      <c r="S29817" s="27"/>
      <c r="T29817" s="27"/>
      <c r="U29817" s="27"/>
    </row>
    <row r="29818">
      <c r="S29818" s="27"/>
      <c r="T29818" s="27"/>
      <c r="U29818" s="27"/>
    </row>
    <row r="29820">
      <c r="S29820" s="27"/>
      <c r="T29820" s="27"/>
      <c r="U29820" s="27"/>
    </row>
    <row r="29821">
      <c r="S29821" s="27"/>
      <c r="T29821" s="27"/>
      <c r="U29821" s="27"/>
    </row>
    <row r="29823">
      <c r="S29823" s="27"/>
      <c r="T29823" s="27"/>
      <c r="U29823" s="27"/>
    </row>
    <row r="29824">
      <c r="S29824" s="27"/>
      <c r="T29824" s="27"/>
      <c r="U29824" s="27"/>
    </row>
    <row r="29826">
      <c r="S29826" s="27"/>
      <c r="T29826" s="27"/>
      <c r="U29826" s="27"/>
    </row>
    <row r="29827">
      <c r="S29827" s="27"/>
      <c r="T29827" s="27"/>
      <c r="U29827" s="27"/>
    </row>
    <row r="29829">
      <c r="S29829" s="27"/>
      <c r="T29829" s="27"/>
      <c r="U29829" s="27"/>
    </row>
    <row r="29830">
      <c r="S29830" s="27"/>
      <c r="T29830" s="27"/>
      <c r="U29830" s="27"/>
    </row>
    <row r="29832">
      <c r="S29832" s="27"/>
      <c r="T29832" s="27"/>
      <c r="U29832" s="27"/>
    </row>
    <row r="29833">
      <c r="S29833" s="27"/>
      <c r="T29833" s="27"/>
      <c r="U29833" s="27"/>
    </row>
    <row r="29835">
      <c r="S29835" s="27"/>
      <c r="T29835" s="27"/>
      <c r="U29835" s="27"/>
    </row>
    <row r="29836">
      <c r="S29836" s="27"/>
      <c r="T29836" s="27"/>
      <c r="U29836" s="27"/>
    </row>
    <row r="29838">
      <c r="S29838" s="33"/>
      <c r="T29838" s="33"/>
      <c r="U29838" s="27"/>
    </row>
    <row r="29839">
      <c r="S29839" s="33"/>
      <c r="T29839" s="33"/>
      <c r="U29839" s="27"/>
    </row>
    <row r="29841">
      <c r="S29841" s="27"/>
      <c r="T29841" s="27"/>
      <c r="U29841" s="27"/>
    </row>
    <row r="29842">
      <c r="S29842" s="27"/>
      <c r="T29842" s="27"/>
      <c r="U29842" s="27"/>
    </row>
    <row r="29844">
      <c r="S29844" s="27"/>
      <c r="T29844" s="27"/>
      <c r="U29844" s="27"/>
    </row>
    <row r="29845">
      <c r="S29845" s="27"/>
      <c r="T29845" s="27"/>
      <c r="U29845" s="27"/>
    </row>
    <row r="29847">
      <c r="S29847" s="27"/>
      <c r="T29847" s="27"/>
      <c r="U29847" s="27"/>
    </row>
    <row r="29848">
      <c r="S29848" s="27"/>
      <c r="T29848" s="27"/>
      <c r="U29848" s="27"/>
    </row>
    <row r="29850">
      <c r="S29850" s="27"/>
      <c r="T29850" s="27"/>
      <c r="U29850" s="27"/>
    </row>
    <row r="29851">
      <c r="S29851" s="27"/>
      <c r="T29851" s="27"/>
      <c r="U29851" s="27"/>
    </row>
    <row r="29853">
      <c r="S29853" s="27"/>
      <c r="T29853" s="27"/>
      <c r="U29853" s="27"/>
    </row>
    <row r="29854">
      <c r="S29854" s="27"/>
      <c r="T29854" s="27"/>
      <c r="U29854" s="27"/>
    </row>
    <row r="29856">
      <c r="S29856" s="27"/>
      <c r="T29856" s="27"/>
      <c r="U29856" s="27"/>
    </row>
    <row r="29857">
      <c r="S29857" s="27"/>
      <c r="T29857" s="27"/>
      <c r="U29857" s="27"/>
    </row>
    <row r="29859">
      <c r="S29859" s="27"/>
      <c r="T29859" s="27"/>
      <c r="U29859" s="27"/>
    </row>
    <row r="29860">
      <c r="S29860" s="27"/>
      <c r="T29860" s="27"/>
      <c r="U29860" s="27"/>
    </row>
    <row r="29865">
      <c r="S29865" s="27"/>
      <c r="T29865" s="27"/>
      <c r="U29865" s="27"/>
    </row>
    <row r="29866">
      <c r="S29866" s="27"/>
      <c r="T29866" s="27"/>
      <c r="U29866" s="27"/>
    </row>
    <row r="29868">
      <c r="S29868" s="27"/>
      <c r="T29868" s="27"/>
      <c r="U29868" s="27"/>
    </row>
    <row r="29871">
      <c r="S29871" s="33"/>
      <c r="T29871" s="27"/>
    </row>
    <row r="29872">
      <c r="S29872" s="27"/>
      <c r="T29872" s="27"/>
    </row>
    <row r="29874">
      <c r="S29874" s="27"/>
      <c r="T29874" s="27"/>
      <c r="U29874" s="27"/>
    </row>
    <row r="29875">
      <c r="S29875" s="27"/>
      <c r="T29875" s="27"/>
      <c r="U29875" s="27"/>
    </row>
    <row r="29877">
      <c r="S29877" s="27"/>
      <c r="T29877" s="27"/>
      <c r="U29877" s="27"/>
    </row>
    <row r="29880">
      <c r="S29880" s="27"/>
      <c r="T29880" s="27"/>
      <c r="U29880" s="27"/>
    </row>
    <row r="29881">
      <c r="S29881" s="27"/>
      <c r="T29881" s="27"/>
      <c r="U29881" s="27"/>
    </row>
    <row r="29883">
      <c r="S29883" s="27"/>
      <c r="T29883" s="27"/>
      <c r="U29883" s="27"/>
    </row>
    <row r="29884">
      <c r="S29884" s="27"/>
      <c r="T29884" s="27"/>
      <c r="U29884" s="27"/>
    </row>
    <row r="29886">
      <c r="S29886" s="27"/>
      <c r="T29886" s="27"/>
      <c r="U29886" s="27"/>
    </row>
    <row r="29887">
      <c r="S29887" s="27"/>
      <c r="T29887" s="27"/>
      <c r="U29887" s="27"/>
    </row>
    <row r="29889">
      <c r="T29889" s="26"/>
      <c r="U29889" s="26"/>
    </row>
    <row r="29895">
      <c r="S29895" s="27"/>
      <c r="T29895" s="27"/>
      <c r="U29895" s="27"/>
    </row>
    <row r="29899">
      <c r="S29899" s="27"/>
      <c r="T29899" s="26"/>
      <c r="U29899" s="27"/>
    </row>
    <row r="29902">
      <c r="S29902" s="27"/>
      <c r="T29902" s="27"/>
      <c r="U29902" s="27"/>
    </row>
    <row r="29905">
      <c r="S29905" s="27"/>
      <c r="T29905" s="27"/>
      <c r="U29905" s="27"/>
    </row>
    <row r="29906">
      <c r="S29906" s="27"/>
      <c r="T29906" s="27"/>
      <c r="U29906" s="27"/>
    </row>
    <row r="29908">
      <c r="S29908" s="27"/>
      <c r="T29908" s="27"/>
      <c r="U29908" s="27"/>
    </row>
    <row r="29909">
      <c r="S29909" s="27"/>
      <c r="T29909" s="27"/>
      <c r="U29909" s="27"/>
    </row>
    <row r="29911">
      <c r="S29911" s="27"/>
      <c r="T29911" s="27"/>
      <c r="U29911" s="33"/>
    </row>
    <row r="29912">
      <c r="U29912" s="27"/>
    </row>
    <row r="29914">
      <c r="S29914" s="27"/>
      <c r="T29914" s="27"/>
      <c r="U29914" s="27"/>
    </row>
    <row r="29915">
      <c r="S29915" s="26"/>
      <c r="T29915" s="26"/>
      <c r="U29915" s="27"/>
    </row>
    <row r="29917">
      <c r="S29917" s="27"/>
      <c r="T29917" s="27"/>
      <c r="U29917" s="27"/>
    </row>
    <row r="29918">
      <c r="S29918" s="27"/>
      <c r="T29918" s="27"/>
      <c r="U29918" s="27"/>
    </row>
    <row r="29920">
      <c r="S29920" s="26"/>
      <c r="T29920" s="26"/>
      <c r="U29920" s="26"/>
    </row>
    <row r="29921">
      <c r="T29921" s="26"/>
      <c r="U29921" s="26"/>
    </row>
    <row r="29923">
      <c r="S29923" s="27"/>
      <c r="T29923" s="27"/>
      <c r="U29923" s="27"/>
    </row>
    <row r="29924">
      <c r="S29924" s="27"/>
      <c r="T29924" s="27"/>
      <c r="U29924" s="27"/>
    </row>
    <row r="29926">
      <c r="S29926" s="27"/>
      <c r="T29926" s="27"/>
      <c r="U29926" s="27"/>
    </row>
    <row r="29927">
      <c r="S29927" s="27"/>
      <c r="T29927" s="27"/>
      <c r="U29927" s="27"/>
    </row>
    <row r="29929">
      <c r="S29929" s="27"/>
      <c r="T29929" s="27"/>
      <c r="U29929" s="27"/>
    </row>
    <row r="29930">
      <c r="S29930" s="27"/>
      <c r="T29930" s="27"/>
      <c r="U29930" s="27"/>
    </row>
    <row r="29935">
      <c r="S29935" s="27"/>
      <c r="T29935" s="27"/>
      <c r="U29935" s="27"/>
    </row>
    <row r="29938">
      <c r="S29938" s="27"/>
      <c r="T29938" s="27"/>
      <c r="U29938" s="27"/>
    </row>
    <row r="29939">
      <c r="S29939" s="33"/>
      <c r="T29939" s="33"/>
      <c r="U29939" s="33"/>
    </row>
    <row r="29941">
      <c r="S29941" s="27"/>
      <c r="T29941" s="27"/>
      <c r="U29941" s="27"/>
    </row>
    <row r="29942">
      <c r="T29942" s="26"/>
      <c r="U29942" s="26"/>
    </row>
    <row r="29944">
      <c r="S29944" s="27"/>
      <c r="T29944" s="27"/>
      <c r="U29944" s="27"/>
    </row>
    <row r="29945">
      <c r="S29945" s="27"/>
      <c r="T29945" s="27"/>
      <c r="U29945" s="27"/>
    </row>
    <row r="29947">
      <c r="S29947" s="27"/>
      <c r="T29947" s="27"/>
      <c r="U29947" s="27"/>
    </row>
    <row r="29948">
      <c r="S29948" s="27"/>
      <c r="T29948" s="27"/>
      <c r="U29948" s="27"/>
    </row>
    <row r="29950">
      <c r="S29950" s="27"/>
      <c r="T29950" s="27"/>
      <c r="U29950" s="27"/>
    </row>
    <row r="29951">
      <c r="S29951" s="27"/>
      <c r="T29951" s="27"/>
      <c r="U29951" s="27"/>
    </row>
    <row r="29953">
      <c r="S29953" s="27"/>
      <c r="T29953" s="27"/>
      <c r="U29953" s="27"/>
    </row>
    <row r="29954">
      <c r="S29954" s="27"/>
      <c r="T29954" s="27"/>
      <c r="U29954" s="27"/>
    </row>
    <row r="29956">
      <c r="S29956" s="26"/>
    </row>
    <row r="29959">
      <c r="S29959" s="27"/>
      <c r="T29959" s="27"/>
      <c r="U29959" s="27"/>
    </row>
    <row r="29960">
      <c r="S29960" s="27"/>
      <c r="T29960" s="27"/>
      <c r="U29960" s="27"/>
    </row>
    <row r="29962">
      <c r="S29962" s="27"/>
      <c r="T29962" s="27"/>
      <c r="U29962" s="27"/>
    </row>
    <row r="29963">
      <c r="S29963" s="27"/>
      <c r="T29963" s="27"/>
      <c r="U29963" s="27"/>
    </row>
    <row r="29965">
      <c r="S29965" s="27"/>
      <c r="T29965" s="27"/>
      <c r="U29965" s="27"/>
    </row>
    <row r="29968">
      <c r="S29968" s="26"/>
      <c r="T29968" s="26"/>
      <c r="U29968" s="27"/>
    </row>
    <row r="29969">
      <c r="U29969" s="27"/>
    </row>
    <row r="29971">
      <c r="S29971" s="27"/>
      <c r="T29971" s="27"/>
      <c r="U29971" s="27"/>
    </row>
    <row r="29972">
      <c r="S29972" s="27"/>
      <c r="T29972" s="27"/>
      <c r="U29972" s="27"/>
    </row>
    <row r="29974">
      <c r="S29974" s="27"/>
      <c r="T29974" s="27"/>
      <c r="U29974" s="27"/>
    </row>
    <row r="29975">
      <c r="S29975" s="27"/>
      <c r="T29975" s="27"/>
      <c r="U29975" s="27"/>
    </row>
    <row r="29980">
      <c r="S29980" s="26"/>
      <c r="T29980" s="26"/>
      <c r="U29980" s="26"/>
    </row>
    <row r="29981">
      <c r="S29981" s="26"/>
      <c r="T29981" s="26"/>
      <c r="U29981" s="26"/>
    </row>
    <row r="29983">
      <c r="S29983" s="26"/>
      <c r="T29983" s="26"/>
      <c r="U29983" s="26"/>
    </row>
    <row r="29986">
      <c r="S29986" s="27"/>
      <c r="T29986" s="27"/>
      <c r="U29986" s="27"/>
    </row>
    <row r="29989">
      <c r="S29989" s="27"/>
      <c r="T29989" s="27"/>
      <c r="U29989" s="27"/>
    </row>
    <row r="29990">
      <c r="S29990" s="27"/>
      <c r="T29990" s="27"/>
      <c r="U29990" s="27"/>
    </row>
    <row r="29992">
      <c r="S29992" s="33"/>
      <c r="T29992" s="27"/>
      <c r="U29992" s="27"/>
    </row>
    <row r="29993">
      <c r="T29993" s="27"/>
      <c r="U29993" s="27"/>
    </row>
    <row r="29995">
      <c r="S29995" s="27"/>
      <c r="T29995" s="27"/>
      <c r="U29995" s="27"/>
    </row>
    <row r="29996">
      <c r="S29996" s="27"/>
      <c r="T29996" s="27"/>
      <c r="U29996" s="27"/>
    </row>
    <row r="29998">
      <c r="S29998" s="27"/>
    </row>
    <row r="29999">
      <c r="T29999" s="26"/>
      <c r="U29999" s="26"/>
    </row>
    <row r="30001">
      <c r="S30001" s="27"/>
      <c r="T30001" s="27"/>
      <c r="U30001" s="27"/>
    </row>
    <row r="30002">
      <c r="S30002" s="27"/>
    </row>
    <row r="30004">
      <c r="S30004" s="27"/>
      <c r="T30004" s="27"/>
      <c r="U30004" s="27"/>
    </row>
    <row r="30005">
      <c r="S30005" s="27"/>
      <c r="T30005" s="27"/>
      <c r="U30005" s="27"/>
    </row>
    <row r="30007">
      <c r="S30007" s="27"/>
      <c r="T30007" s="27"/>
      <c r="U30007" s="27"/>
    </row>
    <row r="30008">
      <c r="S30008" s="27"/>
      <c r="T30008" s="27"/>
      <c r="U30008" s="27"/>
    </row>
    <row r="30010">
      <c r="S30010" s="27"/>
      <c r="T30010" s="27"/>
      <c r="U30010" s="27"/>
    </row>
    <row r="30011">
      <c r="S30011" s="27"/>
      <c r="T30011" s="27"/>
      <c r="U30011" s="27"/>
    </row>
    <row r="30013">
      <c r="S30013" s="27"/>
      <c r="T30013" s="27"/>
      <c r="U30013" s="27"/>
    </row>
    <row r="30014">
      <c r="S30014" s="27"/>
      <c r="T30014" s="27"/>
      <c r="U30014" s="27"/>
    </row>
    <row r="30016">
      <c r="S30016" s="27"/>
      <c r="T30016" s="27"/>
      <c r="U30016" s="27"/>
    </row>
    <row r="30017">
      <c r="S30017" s="27"/>
      <c r="T30017" s="27"/>
      <c r="U30017" s="27"/>
    </row>
    <row r="30019">
      <c r="S30019" s="27"/>
      <c r="T30019" s="27"/>
      <c r="U30019" s="27"/>
    </row>
    <row r="30020">
      <c r="S30020" s="27"/>
      <c r="T30020" s="27"/>
      <c r="U30020" s="27"/>
    </row>
    <row r="30022">
      <c r="S30022" s="27"/>
      <c r="T30022" s="27"/>
      <c r="U30022" s="27"/>
    </row>
    <row r="30023">
      <c r="S30023" s="27"/>
      <c r="T30023" s="27"/>
      <c r="U30023" s="27"/>
    </row>
    <row r="30025">
      <c r="S30025" s="27"/>
      <c r="T30025" s="27"/>
      <c r="U30025" s="27"/>
    </row>
    <row r="30026">
      <c r="S30026" s="27"/>
      <c r="T30026" s="27"/>
      <c r="U30026" s="27"/>
    </row>
    <row r="30028">
      <c r="S30028" s="27"/>
      <c r="T30028" s="27"/>
      <c r="U30028" s="27"/>
    </row>
    <row r="30029">
      <c r="S30029" s="27"/>
      <c r="T30029" s="27"/>
      <c r="U30029" s="27"/>
    </row>
    <row r="30031">
      <c r="S30031" s="27"/>
      <c r="T30031" s="27"/>
      <c r="U30031" s="27"/>
    </row>
    <row r="30032">
      <c r="S30032" s="27"/>
      <c r="T30032" s="27"/>
      <c r="U30032" s="27"/>
    </row>
    <row r="30034">
      <c r="S30034" s="27"/>
      <c r="T30034" s="27"/>
      <c r="U30034" s="27"/>
    </row>
    <row r="30035">
      <c r="S30035" s="27"/>
      <c r="T30035" s="27"/>
      <c r="U30035" s="27"/>
    </row>
    <row r="30037">
      <c r="S30037" s="27"/>
      <c r="T30037" s="27"/>
      <c r="U30037" s="27"/>
    </row>
    <row r="30038">
      <c r="S30038" s="27"/>
      <c r="T30038" s="27"/>
      <c r="U30038" s="27"/>
    </row>
    <row r="30040">
      <c r="S30040" s="27"/>
      <c r="T30040" s="27"/>
      <c r="U30040" s="27"/>
    </row>
    <row r="30041">
      <c r="S30041" s="27"/>
      <c r="T30041" s="27"/>
      <c r="U30041" s="27"/>
    </row>
    <row r="30043">
      <c r="S30043" s="27"/>
      <c r="T30043" s="27"/>
      <c r="U30043" s="27"/>
    </row>
    <row r="30044">
      <c r="S30044" s="27"/>
      <c r="T30044" s="27"/>
      <c r="U30044" s="27"/>
    </row>
    <row r="30046">
      <c r="S30046" s="27"/>
      <c r="T30046" s="27"/>
      <c r="U30046" s="27"/>
    </row>
    <row r="30047">
      <c r="S30047" s="27"/>
      <c r="T30047" s="27"/>
      <c r="U30047" s="27"/>
    </row>
    <row r="30049">
      <c r="S30049" s="27"/>
      <c r="T30049" s="27"/>
      <c r="U30049" s="27"/>
    </row>
    <row r="30050">
      <c r="S30050" s="27"/>
      <c r="T30050" s="27"/>
      <c r="U30050" s="27"/>
    </row>
    <row r="30052">
      <c r="S30052" s="27"/>
      <c r="T30052" s="27"/>
      <c r="U30052" s="27"/>
    </row>
    <row r="30053">
      <c r="S30053" s="27"/>
      <c r="T30053" s="27"/>
      <c r="U30053" s="27"/>
    </row>
    <row r="30055">
      <c r="S30055" s="27"/>
      <c r="T30055" s="27"/>
      <c r="U30055" s="27"/>
    </row>
    <row r="30056">
      <c r="S30056" s="27"/>
      <c r="T30056" s="27"/>
      <c r="U30056" s="27"/>
    </row>
    <row r="30058">
      <c r="S30058" s="27"/>
      <c r="T30058" s="27"/>
      <c r="U30058" s="27"/>
    </row>
    <row r="30059">
      <c r="S30059" s="27"/>
      <c r="T30059" s="27"/>
      <c r="U30059" s="27"/>
    </row>
    <row r="30061">
      <c r="S30061" s="27"/>
      <c r="T30061" s="27"/>
      <c r="U30061" s="27"/>
    </row>
    <row r="30062">
      <c r="S30062" s="27"/>
      <c r="T30062" s="27"/>
      <c r="U30062" s="27"/>
    </row>
    <row r="30064">
      <c r="S30064" s="27"/>
      <c r="T30064" s="27"/>
      <c r="U30064" s="27"/>
    </row>
    <row r="30065">
      <c r="S30065" s="27"/>
      <c r="T30065" s="27"/>
      <c r="U30065" s="27"/>
    </row>
    <row r="30067">
      <c r="S30067" s="27"/>
      <c r="T30067" s="27"/>
      <c r="U30067" s="27"/>
    </row>
    <row r="30068">
      <c r="S30068" s="27"/>
      <c r="T30068" s="27"/>
      <c r="U30068" s="27"/>
    </row>
    <row r="30070">
      <c r="S30070" s="27"/>
      <c r="T30070" s="27"/>
      <c r="U30070" s="27"/>
    </row>
    <row r="30071">
      <c r="S30071" s="27"/>
      <c r="T30071" s="27"/>
      <c r="U30071" s="27"/>
    </row>
    <row r="30073">
      <c r="S30073" s="27"/>
      <c r="T30073" s="27"/>
      <c r="U30073" s="27"/>
    </row>
    <row r="30074">
      <c r="S30074" s="27"/>
      <c r="T30074" s="27"/>
      <c r="U30074" s="27"/>
    </row>
    <row r="30076">
      <c r="S30076" s="27"/>
      <c r="T30076" s="27"/>
      <c r="U30076" s="27"/>
    </row>
    <row r="30077">
      <c r="S30077" s="27"/>
      <c r="T30077" s="27"/>
      <c r="U30077" s="27"/>
    </row>
    <row r="30079">
      <c r="S30079" s="27"/>
      <c r="T30079" s="27"/>
      <c r="U30079" s="27"/>
    </row>
    <row r="30080">
      <c r="S30080" s="27"/>
      <c r="T30080" s="27"/>
      <c r="U30080" s="27"/>
    </row>
    <row r="30082">
      <c r="S30082" s="27"/>
      <c r="T30082" s="27"/>
      <c r="U30082" s="27"/>
    </row>
    <row r="30083">
      <c r="S30083" s="27"/>
      <c r="T30083" s="27"/>
      <c r="U30083" s="27"/>
    </row>
    <row r="30085">
      <c r="S30085" s="27"/>
      <c r="T30085" s="27"/>
      <c r="U30085" s="27"/>
    </row>
    <row r="30086">
      <c r="S30086" s="27"/>
      <c r="T30086" s="27"/>
      <c r="U30086" s="27"/>
    </row>
    <row r="30088">
      <c r="S30088" s="27"/>
      <c r="T30088" s="27"/>
      <c r="U30088" s="27"/>
    </row>
    <row r="30089">
      <c r="S30089" s="27"/>
      <c r="T30089" s="27"/>
      <c r="U30089" s="27"/>
    </row>
    <row r="30091">
      <c r="S30091" s="27"/>
      <c r="T30091" s="27"/>
      <c r="U30091" s="27"/>
    </row>
    <row r="30092">
      <c r="S30092" s="27"/>
      <c r="T30092" s="27"/>
      <c r="U30092" s="27"/>
    </row>
    <row r="30094">
      <c r="S30094" s="27"/>
      <c r="T30094" s="27"/>
      <c r="U30094" s="27"/>
    </row>
    <row r="30096">
      <c r="S30096" s="27"/>
      <c r="T30096" s="27"/>
      <c r="U30096" s="27"/>
    </row>
    <row r="30097">
      <c r="S30097" s="27"/>
      <c r="T30097" s="27"/>
      <c r="U30097" s="27"/>
    </row>
    <row r="30099">
      <c r="S30099" s="27"/>
      <c r="T30099" s="27"/>
      <c r="U30099" s="27"/>
    </row>
    <row r="30100">
      <c r="S30100" s="27"/>
      <c r="T30100" s="27"/>
      <c r="U30100" s="27"/>
    </row>
    <row r="30102">
      <c r="S30102" s="27"/>
      <c r="T30102" s="27"/>
      <c r="U30102" s="27"/>
    </row>
    <row r="30103">
      <c r="S30103" s="27"/>
      <c r="T30103" s="27"/>
      <c r="U30103" s="27"/>
    </row>
    <row r="30105">
      <c r="S30105" s="27"/>
      <c r="T30105" s="27"/>
      <c r="U30105" s="27"/>
    </row>
    <row r="30106">
      <c r="S30106" s="27"/>
      <c r="T30106" s="27"/>
      <c r="U30106" s="27"/>
    </row>
    <row r="30108">
      <c r="S30108" s="27"/>
      <c r="T30108" s="27"/>
      <c r="U30108" s="27"/>
    </row>
    <row r="30109">
      <c r="S30109" s="27"/>
      <c r="T30109" s="27"/>
      <c r="U30109" s="27"/>
    </row>
    <row r="30111">
      <c r="S30111" s="27"/>
      <c r="T30111" s="27"/>
      <c r="U30111" s="27"/>
    </row>
    <row r="30112">
      <c r="S30112" s="33"/>
      <c r="T30112" s="27"/>
      <c r="U30112" s="27"/>
    </row>
    <row r="30114">
      <c r="S30114" s="27"/>
      <c r="T30114" s="27"/>
      <c r="U30114" s="27"/>
    </row>
    <row r="30115">
      <c r="S30115" s="27"/>
      <c r="T30115" s="27"/>
      <c r="U30115" s="27"/>
    </row>
    <row r="30117">
      <c r="S30117" s="27"/>
      <c r="T30117" s="27"/>
      <c r="U30117" s="27"/>
    </row>
    <row r="30119">
      <c r="S30119" s="27"/>
      <c r="T30119" s="27"/>
      <c r="U30119" s="27"/>
    </row>
    <row r="30121">
      <c r="S30121" s="27"/>
      <c r="T30121" s="27"/>
      <c r="U30121" s="27"/>
    </row>
    <row r="30123">
      <c r="S30123" s="27"/>
      <c r="T30123" s="27"/>
      <c r="U30123" s="27"/>
    </row>
    <row r="30125">
      <c r="S30125" s="27"/>
      <c r="T30125" s="27"/>
      <c r="U30125" s="27"/>
    </row>
    <row r="30126">
      <c r="S30126" s="27"/>
      <c r="T30126" s="27"/>
      <c r="U30126" s="27"/>
    </row>
    <row r="30128">
      <c r="S30128" s="27"/>
      <c r="T30128" s="27"/>
      <c r="U30128" s="27"/>
    </row>
    <row r="30129">
      <c r="S30129" s="27"/>
      <c r="T30129" s="27"/>
      <c r="U30129" s="27"/>
    </row>
    <row r="30131">
      <c r="S30131" s="27"/>
      <c r="T30131" s="27"/>
      <c r="U30131" s="27"/>
    </row>
    <row r="30132">
      <c r="S30132" s="27"/>
      <c r="T30132" s="27"/>
      <c r="U30132" s="27"/>
    </row>
    <row r="30134">
      <c r="S30134" s="27"/>
      <c r="T30134" s="27"/>
      <c r="U30134" s="27"/>
    </row>
    <row r="30135">
      <c r="S30135" s="27"/>
      <c r="T30135" s="27"/>
      <c r="U30135" s="27"/>
    </row>
    <row r="30137">
      <c r="S30137" s="27"/>
      <c r="T30137" s="27"/>
      <c r="U30137" s="27"/>
    </row>
    <row r="30138">
      <c r="S30138" s="27"/>
      <c r="T30138" s="27"/>
      <c r="U30138" s="27"/>
    </row>
    <row r="30140">
      <c r="S30140" s="27"/>
      <c r="T30140" s="27"/>
      <c r="U30140" s="27"/>
    </row>
    <row r="30141">
      <c r="S30141" s="27"/>
      <c r="T30141" s="27"/>
      <c r="U30141" s="27"/>
    </row>
    <row r="30143">
      <c r="S30143" s="27"/>
      <c r="T30143" s="27"/>
      <c r="U30143" s="27"/>
    </row>
    <row r="30144">
      <c r="S30144" s="27"/>
      <c r="T30144" s="27"/>
      <c r="U30144" s="27"/>
    </row>
    <row r="30146">
      <c r="S30146" s="26"/>
      <c r="T30146" s="26"/>
    </row>
    <row r="30149">
      <c r="S30149" s="27"/>
      <c r="T30149" s="27"/>
      <c r="U30149" s="27"/>
    </row>
    <row r="30152">
      <c r="S30152" s="27"/>
      <c r="T30152" s="27"/>
      <c r="U30152" s="27"/>
    </row>
    <row r="30153">
      <c r="S30153" s="27"/>
      <c r="T30153" s="27"/>
      <c r="U30153" s="27"/>
    </row>
    <row r="30155">
      <c r="S30155" s="27"/>
      <c r="T30155" s="27"/>
      <c r="U30155" s="27"/>
    </row>
    <row r="30156">
      <c r="S30156" s="27"/>
      <c r="T30156" s="27"/>
      <c r="U30156" s="27"/>
    </row>
    <row r="30158">
      <c r="S30158" s="27"/>
      <c r="T30158" s="27"/>
      <c r="U30158" s="27"/>
    </row>
    <row r="30159">
      <c r="S30159" s="27"/>
      <c r="T30159" s="27"/>
      <c r="U30159" s="27"/>
    </row>
    <row r="30161">
      <c r="S30161" s="27"/>
      <c r="T30161" s="27"/>
      <c r="U30161" s="26"/>
    </row>
    <row r="30164">
      <c r="S30164" s="27"/>
      <c r="T30164" s="27"/>
      <c r="U30164" s="27"/>
    </row>
    <row r="30165">
      <c r="S30165" s="27"/>
      <c r="T30165" s="27"/>
      <c r="U30165" s="27"/>
    </row>
    <row r="30167">
      <c r="S30167" s="27"/>
      <c r="T30167" s="27"/>
      <c r="U30167" s="27"/>
    </row>
    <row r="30168">
      <c r="S30168" s="27"/>
      <c r="T30168" s="27"/>
      <c r="U30168" s="27"/>
    </row>
    <row r="30170">
      <c r="T30170" s="26"/>
      <c r="U30170" s="27"/>
    </row>
    <row r="30171">
      <c r="S30171" s="27"/>
      <c r="U30171" s="27"/>
    </row>
    <row r="30176">
      <c r="S30176" s="26"/>
      <c r="T30176" s="26"/>
      <c r="U30176" s="26"/>
    </row>
    <row r="30177">
      <c r="S30177" s="26"/>
      <c r="T30177" s="26"/>
      <c r="U30177" s="26"/>
    </row>
    <row r="30179">
      <c r="S30179" s="27"/>
      <c r="T30179" s="27"/>
      <c r="U30179" s="27"/>
    </row>
    <row r="30180">
      <c r="S30180" s="27"/>
      <c r="T30180" s="27"/>
      <c r="U30180" s="27"/>
    </row>
    <row r="30182">
      <c r="S30182" s="27"/>
      <c r="T30182" s="27"/>
      <c r="U30182" s="27"/>
    </row>
    <row r="30183">
      <c r="S30183" s="27"/>
      <c r="T30183" s="27"/>
      <c r="U30183" s="27"/>
    </row>
    <row r="30185">
      <c r="S30185" s="26"/>
      <c r="T30185" s="26"/>
      <c r="U30185" s="26"/>
    </row>
    <row r="30188">
      <c r="T30188" s="27"/>
      <c r="U30188" s="27"/>
    </row>
    <row r="30191">
      <c r="S30191" s="27"/>
      <c r="T30191" s="27"/>
      <c r="U30191" s="27"/>
    </row>
    <row r="30194">
      <c r="S30194" s="27"/>
      <c r="T30194" s="27"/>
      <c r="U30194" s="27"/>
    </row>
    <row r="30195">
      <c r="S30195" s="27"/>
      <c r="T30195" s="27"/>
      <c r="U30195" s="27"/>
    </row>
    <row r="30197">
      <c r="S30197" s="27"/>
      <c r="T30197" s="27"/>
      <c r="U30197" s="27"/>
    </row>
    <row r="30198">
      <c r="S30198" s="27"/>
      <c r="T30198" s="27"/>
      <c r="U30198" s="27"/>
    </row>
    <row r="30200">
      <c r="S30200" s="27"/>
      <c r="T30200" s="27"/>
      <c r="U30200" s="27"/>
    </row>
    <row r="30201">
      <c r="S30201" s="27"/>
      <c r="T30201" s="27"/>
      <c r="U30201" s="27"/>
    </row>
    <row r="30203">
      <c r="S30203" s="27"/>
      <c r="T30203" s="27"/>
      <c r="U30203" s="27"/>
    </row>
    <row r="30204">
      <c r="S30204" s="27"/>
      <c r="T30204" s="27"/>
      <c r="U30204" s="27"/>
    </row>
    <row r="30206">
      <c r="S30206" s="27"/>
      <c r="T30206" s="27"/>
      <c r="U30206" s="27"/>
    </row>
    <row r="30207">
      <c r="S30207" s="27"/>
      <c r="T30207" s="27"/>
      <c r="U30207" s="27"/>
    </row>
    <row r="30209">
      <c r="S30209" s="27"/>
      <c r="T30209" s="27"/>
      <c r="U30209" s="27"/>
    </row>
    <row r="30210">
      <c r="S30210" s="27"/>
      <c r="T30210" s="27"/>
      <c r="U30210" s="27"/>
    </row>
    <row r="30212">
      <c r="S30212" s="27"/>
      <c r="T30212" s="27"/>
      <c r="U30212" s="27"/>
    </row>
    <row r="30213">
      <c r="S30213" s="27"/>
      <c r="T30213" s="27"/>
      <c r="U30213" s="27"/>
    </row>
    <row r="30215">
      <c r="S30215" s="27"/>
      <c r="T30215" s="27"/>
      <c r="U30215" s="27"/>
    </row>
    <row r="30216">
      <c r="S30216" s="27"/>
      <c r="T30216" s="27"/>
      <c r="U30216" s="27"/>
    </row>
    <row r="30218">
      <c r="S30218" s="27"/>
      <c r="T30218" s="27"/>
      <c r="U30218" s="27"/>
    </row>
    <row r="30219">
      <c r="S30219" s="27"/>
      <c r="T30219" s="27"/>
      <c r="U30219" s="27"/>
    </row>
    <row r="30221">
      <c r="S30221" s="27"/>
      <c r="T30221" s="27"/>
      <c r="U30221" s="27"/>
    </row>
    <row r="30222">
      <c r="S30222" s="27"/>
      <c r="T30222" s="27"/>
      <c r="U30222" s="27"/>
    </row>
    <row r="30224">
      <c r="S30224" s="27"/>
      <c r="T30224" s="27"/>
      <c r="U30224" s="27"/>
    </row>
    <row r="30225">
      <c r="S30225" s="27"/>
      <c r="T30225" s="27"/>
      <c r="U30225" s="27"/>
    </row>
    <row r="30227">
      <c r="S30227" s="27"/>
      <c r="T30227" s="27"/>
      <c r="U30227" s="27"/>
    </row>
    <row r="30228">
      <c r="S30228" s="27"/>
      <c r="T30228" s="27"/>
      <c r="U30228" s="27"/>
    </row>
    <row r="30230">
      <c r="S30230" s="27"/>
      <c r="T30230" s="27"/>
      <c r="U30230" s="27"/>
    </row>
    <row r="30231">
      <c r="S30231" s="27"/>
      <c r="T30231" s="27"/>
      <c r="U30231" s="27"/>
    </row>
    <row r="30233">
      <c r="S30233" s="27"/>
      <c r="T30233" s="27"/>
      <c r="U30233" s="27"/>
    </row>
    <row r="30234">
      <c r="S30234" s="27"/>
      <c r="T30234" s="27"/>
      <c r="U30234" s="27"/>
    </row>
    <row r="30236">
      <c r="S30236" s="27"/>
      <c r="T30236" s="27"/>
      <c r="U30236" s="27"/>
    </row>
    <row r="30237">
      <c r="S30237" s="27"/>
      <c r="T30237" s="27"/>
      <c r="U30237" s="27"/>
    </row>
    <row r="30239">
      <c r="S30239" s="27"/>
      <c r="T30239" s="27"/>
      <c r="U30239" s="27"/>
    </row>
    <row r="30240">
      <c r="S30240" s="27"/>
      <c r="T30240" s="27"/>
      <c r="U30240" s="27"/>
    </row>
    <row r="30242">
      <c r="U30242" s="27"/>
    </row>
    <row r="30243">
      <c r="U30243" s="27"/>
    </row>
    <row r="30245">
      <c r="S30245" s="27"/>
      <c r="T30245" s="27"/>
      <c r="U30245" s="27"/>
    </row>
    <row r="30246">
      <c r="S30246" s="27"/>
      <c r="T30246" s="27"/>
      <c r="U30246" s="27"/>
    </row>
    <row r="30248">
      <c r="S30248" s="27"/>
      <c r="T30248" s="27"/>
      <c r="U30248" s="27"/>
    </row>
    <row r="30249">
      <c r="S30249" s="27"/>
      <c r="T30249" s="27"/>
      <c r="U30249" s="27"/>
    </row>
    <row r="30251">
      <c r="S30251" s="27"/>
      <c r="T30251" s="27"/>
      <c r="U30251" s="27"/>
    </row>
    <row r="30252">
      <c r="S30252" s="27"/>
      <c r="T30252" s="27"/>
      <c r="U30252" s="27"/>
    </row>
    <row r="30254">
      <c r="S30254" s="27"/>
      <c r="T30254" s="27"/>
      <c r="U30254" s="27"/>
    </row>
    <row r="30255">
      <c r="S30255" s="27"/>
      <c r="T30255" s="27"/>
      <c r="U30255" s="27"/>
    </row>
    <row r="30257">
      <c r="S30257" s="27"/>
      <c r="T30257" s="27"/>
      <c r="U30257" s="27"/>
    </row>
    <row r="30258">
      <c r="S30258" s="27"/>
      <c r="T30258" s="27"/>
      <c r="U30258" s="27"/>
    </row>
    <row r="30260">
      <c r="S30260" s="27"/>
      <c r="T30260" s="27"/>
      <c r="U30260" s="27"/>
    </row>
    <row r="30261">
      <c r="S30261" s="27"/>
      <c r="T30261" s="27"/>
      <c r="U30261" s="27"/>
    </row>
    <row r="30263">
      <c r="S30263" s="27"/>
      <c r="T30263" s="27"/>
      <c r="U30263" s="27"/>
    </row>
    <row r="30264">
      <c r="S30264" s="27"/>
      <c r="T30264" s="27"/>
      <c r="U30264" s="27"/>
    </row>
    <row r="30269">
      <c r="S30269" s="27"/>
      <c r="T30269" s="27"/>
      <c r="U30269" s="27"/>
    </row>
    <row r="30270">
      <c r="U30270" s="27"/>
    </row>
    <row r="30275">
      <c r="S30275" s="27"/>
      <c r="T30275" s="33"/>
      <c r="U30275" s="33"/>
    </row>
    <row r="30276">
      <c r="S30276" s="27"/>
      <c r="T30276" s="27"/>
      <c r="U30276" s="27"/>
    </row>
    <row r="30278">
      <c r="S30278" s="27"/>
      <c r="T30278" s="27"/>
      <c r="U30278" s="27"/>
    </row>
    <row r="30279">
      <c r="S30279" s="34"/>
    </row>
    <row r="30281">
      <c r="S30281" s="27"/>
      <c r="T30281" s="27"/>
      <c r="U30281" s="27"/>
    </row>
    <row r="30285">
      <c r="S30285" s="27"/>
      <c r="T30285" s="27"/>
      <c r="U30285" s="27"/>
    </row>
    <row r="30286">
      <c r="S30286" s="27"/>
      <c r="T30286" s="27"/>
      <c r="U30286" s="27"/>
    </row>
    <row r="30288">
      <c r="S30288" s="27"/>
      <c r="T30288" s="27"/>
      <c r="U30288" s="27"/>
    </row>
    <row r="30289">
      <c r="S30289" s="27"/>
      <c r="T30289" s="27"/>
      <c r="U30289" s="27"/>
    </row>
    <row r="30291">
      <c r="T30291" s="26"/>
      <c r="U30291" s="26"/>
    </row>
    <row r="30294">
      <c r="S30294" s="26"/>
      <c r="T30294" s="26"/>
      <c r="U30294" s="26"/>
    </row>
    <row r="30297">
      <c r="U30297" s="27"/>
    </row>
    <row r="30299">
      <c r="S30299" s="27"/>
      <c r="T30299" s="27"/>
      <c r="U30299" s="27"/>
    </row>
    <row r="30301">
      <c r="S30301" s="27"/>
      <c r="T30301" s="27"/>
      <c r="U30301" s="27"/>
    </row>
    <row r="30304">
      <c r="S30304" s="27"/>
      <c r="T30304" s="27"/>
      <c r="U30304" s="27"/>
    </row>
    <row r="30307">
      <c r="S30307" s="27"/>
      <c r="T30307" s="27"/>
      <c r="U30307" s="27"/>
    </row>
    <row r="30308">
      <c r="S30308" s="27"/>
      <c r="T30308" s="27"/>
      <c r="U30308" s="27"/>
    </row>
    <row r="30310">
      <c r="S30310" s="27"/>
      <c r="T30310" s="27"/>
      <c r="U30310" s="27"/>
    </row>
    <row r="30311">
      <c r="S30311" s="27"/>
      <c r="T30311" s="27"/>
      <c r="U30311" s="27"/>
    </row>
    <row r="30313">
      <c r="S30313" s="27"/>
      <c r="T30313" s="27"/>
      <c r="U30313" s="27"/>
    </row>
    <row r="30314">
      <c r="S30314" s="27"/>
      <c r="U30314" s="27"/>
    </row>
    <row r="30316">
      <c r="S30316" s="27"/>
      <c r="T30316" s="27"/>
      <c r="U30316" s="27"/>
    </row>
    <row r="30317">
      <c r="S30317" s="27"/>
      <c r="T30317" s="26"/>
      <c r="U30317" s="27"/>
    </row>
    <row r="30319">
      <c r="S30319" s="27"/>
      <c r="T30319" s="27"/>
      <c r="U30319" s="27"/>
    </row>
    <row r="30320">
      <c r="S30320" s="27"/>
      <c r="T30320" s="27"/>
      <c r="U30320" s="27"/>
    </row>
    <row r="30322">
      <c r="S30322" s="26"/>
      <c r="T30322" s="26"/>
      <c r="U30322" s="26"/>
    </row>
    <row r="30325">
      <c r="S30325" s="27"/>
      <c r="T30325" s="27"/>
      <c r="U30325" s="27"/>
    </row>
    <row r="30326">
      <c r="S30326" s="27"/>
      <c r="T30326" s="27"/>
      <c r="U30326" s="27"/>
    </row>
    <row r="30328">
      <c r="S30328" s="27"/>
      <c r="T30328" s="27"/>
      <c r="U30328" s="27"/>
    </row>
    <row r="30329">
      <c r="S30329" s="26"/>
      <c r="T30329" s="27"/>
    </row>
    <row r="30331">
      <c r="S30331" s="27"/>
      <c r="T30331" s="27"/>
      <c r="U30331" s="27"/>
    </row>
    <row r="30332">
      <c r="S30332" s="27"/>
      <c r="T30332" s="27"/>
      <c r="U30332" s="27"/>
    </row>
    <row r="30334">
      <c r="S30334" s="27"/>
    </row>
    <row r="30335">
      <c r="S30335" s="27"/>
      <c r="T30335" s="27"/>
      <c r="U30335" s="27"/>
    </row>
    <row r="30337">
      <c r="S30337" s="27"/>
      <c r="T30337" s="27"/>
      <c r="U30337" s="27"/>
    </row>
    <row r="30340">
      <c r="S30340" s="27"/>
      <c r="T30340" s="27"/>
      <c r="U30340" s="27"/>
    </row>
    <row r="30341">
      <c r="S30341" s="27"/>
      <c r="T30341" s="27"/>
      <c r="U30341" s="27"/>
    </row>
    <row r="30347">
      <c r="S30347" s="27"/>
      <c r="T30347" s="27"/>
      <c r="U30347" s="27"/>
    </row>
    <row r="30348">
      <c r="S30348" s="27"/>
      <c r="T30348" s="27"/>
      <c r="U30348" s="27"/>
    </row>
    <row r="30350">
      <c r="S30350" s="27"/>
      <c r="T30350" s="27"/>
      <c r="U30350" s="27"/>
    </row>
    <row r="30351">
      <c r="S30351" s="27"/>
      <c r="T30351" s="27"/>
      <c r="U30351" s="27"/>
    </row>
    <row r="30353">
      <c r="S30353" s="27"/>
      <c r="T30353" s="27"/>
      <c r="U30353" s="27"/>
    </row>
    <row r="30354">
      <c r="S30354" s="27"/>
      <c r="T30354" s="27"/>
      <c r="U30354" s="27"/>
    </row>
    <row r="30359">
      <c r="S30359" s="27"/>
      <c r="T30359" s="27"/>
      <c r="U30359" s="27"/>
    </row>
    <row r="30360">
      <c r="S30360" s="27"/>
      <c r="T30360" s="27"/>
      <c r="U30360" s="27"/>
    </row>
    <row r="30362">
      <c r="S30362" s="27"/>
      <c r="T30362" s="27"/>
      <c r="U30362" s="27"/>
    </row>
    <row r="30363">
      <c r="S30363" s="27"/>
      <c r="T30363" s="27"/>
      <c r="U30363" s="27"/>
    </row>
    <row r="30365">
      <c r="S30365" s="27"/>
      <c r="T30365" s="27"/>
    </row>
    <row r="30366">
      <c r="T30366" s="26"/>
    </row>
    <row r="30368">
      <c r="T30368" s="27"/>
      <c r="U30368" s="27"/>
    </row>
    <row r="30369">
      <c r="S30369" s="27"/>
      <c r="T30369" s="27"/>
      <c r="U30369" s="27"/>
    </row>
    <row r="30371">
      <c r="S30371" s="27"/>
      <c r="T30371" s="27"/>
      <c r="U30371" s="27"/>
    </row>
    <row r="30372">
      <c r="S30372" s="27"/>
      <c r="T30372" s="27"/>
      <c r="U30372" s="27"/>
    </row>
    <row r="30374">
      <c r="S30374" s="27"/>
      <c r="T30374" s="27"/>
      <c r="U30374" s="27"/>
    </row>
    <row r="30375">
      <c r="S30375" s="27"/>
      <c r="T30375" s="27"/>
      <c r="U30375" s="27"/>
    </row>
    <row r="30377">
      <c r="S30377" s="27"/>
      <c r="T30377" s="27"/>
      <c r="U30377" s="27"/>
    </row>
    <row r="30378">
      <c r="S30378" s="26"/>
      <c r="T30378" s="26"/>
      <c r="U30378" s="26"/>
    </row>
    <row r="30381">
      <c r="S30381" s="26"/>
      <c r="T30381" s="26"/>
      <c r="U30381" s="26"/>
    </row>
    <row r="30383">
      <c r="S30383" s="26"/>
      <c r="T30383" s="26"/>
      <c r="U30383" s="26"/>
    </row>
    <row r="30386">
      <c r="S30386" s="27"/>
      <c r="T30386" s="27"/>
      <c r="U30386" s="27"/>
    </row>
    <row r="30389">
      <c r="S30389" s="27"/>
      <c r="T30389" s="27"/>
      <c r="U30389" s="27"/>
    </row>
    <row r="30390">
      <c r="S30390" s="27"/>
      <c r="T30390" s="27"/>
      <c r="U30390" s="27"/>
    </row>
    <row r="30392">
      <c r="S30392" s="33"/>
      <c r="T30392" s="27"/>
      <c r="U30392" s="27"/>
    </row>
    <row r="30393">
      <c r="T30393" s="27"/>
      <c r="U30393" s="27"/>
    </row>
    <row r="30395">
      <c r="S30395" s="27"/>
      <c r="T30395" s="27"/>
      <c r="U30395" s="27"/>
    </row>
    <row r="30396">
      <c r="S30396" s="27"/>
      <c r="T30396" s="27"/>
      <c r="U30396" s="27"/>
    </row>
    <row r="30398">
      <c r="S30398" s="26"/>
      <c r="T30398" s="26"/>
      <c r="U30398" s="26"/>
    </row>
    <row r="30401">
      <c r="S30401" s="27"/>
      <c r="T30401" s="27"/>
      <c r="U30401" s="27"/>
    </row>
    <row r="30402">
      <c r="S30402" s="27"/>
      <c r="T30402" s="27"/>
      <c r="U30402" s="27"/>
    </row>
    <row r="30404">
      <c r="S30404" s="27"/>
      <c r="T30404" s="27"/>
      <c r="U30404" s="27"/>
    </row>
    <row r="30405">
      <c r="S30405" s="27"/>
      <c r="T30405" s="27"/>
      <c r="U30405" s="27"/>
    </row>
    <row r="30407">
      <c r="S30407" s="27"/>
      <c r="T30407" s="27"/>
      <c r="U30407" s="27"/>
    </row>
    <row r="30408">
      <c r="S30408" s="27"/>
      <c r="T30408" s="27"/>
      <c r="U30408" s="27"/>
    </row>
    <row r="30410">
      <c r="S30410" s="27"/>
      <c r="T30410" s="27"/>
      <c r="U30410" s="27"/>
    </row>
    <row r="30411">
      <c r="S30411" s="27"/>
      <c r="T30411" s="27"/>
      <c r="U30411" s="27"/>
    </row>
    <row r="30413">
      <c r="S30413" s="27"/>
      <c r="T30413" s="27"/>
      <c r="U30413" s="27"/>
    </row>
    <row r="30414">
      <c r="S30414" s="27"/>
      <c r="T30414" s="27"/>
      <c r="U30414" s="27"/>
    </row>
    <row r="30416">
      <c r="S30416" s="27"/>
      <c r="T30416" s="27"/>
      <c r="U30416" s="27"/>
    </row>
    <row r="30417">
      <c r="S30417" s="27"/>
      <c r="T30417" s="27"/>
      <c r="U30417" s="27"/>
    </row>
    <row r="30419">
      <c r="S30419" s="27"/>
      <c r="T30419" s="27"/>
      <c r="U30419" s="27"/>
    </row>
    <row r="30420">
      <c r="S30420" s="27"/>
      <c r="T30420" s="27"/>
      <c r="U30420" s="27"/>
    </row>
    <row r="30422">
      <c r="S30422" s="27"/>
      <c r="T30422" s="27"/>
      <c r="U30422" s="27"/>
    </row>
    <row r="30423">
      <c r="S30423" s="27"/>
      <c r="T30423" s="27"/>
      <c r="U30423" s="27"/>
    </row>
    <row r="30425">
      <c r="S30425" s="27"/>
      <c r="T30425" s="27"/>
      <c r="U30425" s="27"/>
    </row>
    <row r="30426">
      <c r="S30426" s="27"/>
      <c r="T30426" s="27"/>
      <c r="U30426" s="27"/>
    </row>
    <row r="30428">
      <c r="S30428" s="27"/>
      <c r="T30428" s="27"/>
      <c r="U30428" s="27"/>
    </row>
    <row r="30429">
      <c r="S30429" s="27"/>
      <c r="T30429" s="27"/>
      <c r="U30429" s="27"/>
    </row>
    <row r="30431">
      <c r="S30431" s="27"/>
      <c r="T30431" s="27"/>
      <c r="U30431" s="27"/>
    </row>
    <row r="30432">
      <c r="S30432" s="27"/>
      <c r="T30432" s="27"/>
      <c r="U30432" s="27"/>
    </row>
    <row r="30434">
      <c r="S30434" s="27"/>
      <c r="T30434" s="27"/>
      <c r="U30434" s="27"/>
    </row>
    <row r="30435">
      <c r="S30435" s="27"/>
      <c r="T30435" s="27"/>
      <c r="U30435" s="27"/>
    </row>
    <row r="30437">
      <c r="S30437" s="27"/>
      <c r="T30437" s="27"/>
      <c r="U30437" s="27"/>
    </row>
    <row r="30438">
      <c r="S30438" s="27"/>
      <c r="T30438" s="27"/>
      <c r="U30438" s="27"/>
    </row>
    <row r="30440">
      <c r="S30440" s="27"/>
      <c r="T30440" s="27"/>
      <c r="U30440" s="27"/>
    </row>
    <row r="30441">
      <c r="S30441" s="27"/>
      <c r="T30441" s="27"/>
      <c r="U30441" s="27"/>
    </row>
    <row r="30443">
      <c r="S30443" s="27"/>
      <c r="T30443" s="27"/>
      <c r="U30443" s="27"/>
    </row>
    <row r="30444">
      <c r="S30444" s="27"/>
      <c r="T30444" s="27"/>
      <c r="U30444" s="27"/>
    </row>
    <row r="30446">
      <c r="S30446" s="27"/>
      <c r="T30446" s="27"/>
      <c r="U30446" s="27"/>
    </row>
    <row r="30447">
      <c r="S30447" s="27"/>
      <c r="T30447" s="27"/>
      <c r="U30447" s="27"/>
    </row>
    <row r="30449">
      <c r="S30449" s="27"/>
      <c r="T30449" s="27"/>
      <c r="U30449" s="27"/>
    </row>
    <row r="30450">
      <c r="S30450" s="27"/>
      <c r="T30450" s="27"/>
      <c r="U30450" s="27"/>
    </row>
    <row r="30452">
      <c r="S30452" s="27"/>
      <c r="T30452" s="27"/>
      <c r="U30452" s="27"/>
    </row>
    <row r="30453">
      <c r="S30453" s="27"/>
      <c r="T30453" s="27"/>
      <c r="U30453" s="27"/>
    </row>
    <row r="30455">
      <c r="S30455" s="27"/>
      <c r="T30455" s="27"/>
      <c r="U30455" s="27"/>
    </row>
    <row r="30456">
      <c r="S30456" s="27"/>
      <c r="T30456" s="27"/>
      <c r="U30456" s="27"/>
    </row>
    <row r="30458">
      <c r="S30458" s="27"/>
      <c r="T30458" s="27"/>
      <c r="U30458" s="27"/>
    </row>
    <row r="30459">
      <c r="S30459" s="27"/>
      <c r="T30459" s="27"/>
      <c r="U30459" s="27"/>
    </row>
    <row r="30461">
      <c r="S30461" s="27"/>
      <c r="T30461" s="27"/>
      <c r="U30461" s="27"/>
    </row>
    <row r="30462">
      <c r="S30462" s="27"/>
      <c r="T30462" s="27"/>
      <c r="U30462" s="27"/>
    </row>
    <row r="30464">
      <c r="S30464" s="27"/>
      <c r="T30464" s="27"/>
      <c r="U30464" s="27"/>
    </row>
    <row r="30465">
      <c r="S30465" s="27"/>
      <c r="T30465" s="27"/>
      <c r="U30465" s="27"/>
    </row>
    <row r="30467">
      <c r="S30467" s="27"/>
      <c r="T30467" s="27"/>
      <c r="U30467" s="27"/>
    </row>
    <row r="30468">
      <c r="S30468" s="27"/>
      <c r="T30468" s="27"/>
      <c r="U30468" s="27"/>
    </row>
    <row r="30470">
      <c r="S30470" s="27"/>
      <c r="T30470" s="27"/>
      <c r="U30470" s="27"/>
    </row>
    <row r="30471">
      <c r="S30471" s="27"/>
      <c r="T30471" s="27"/>
      <c r="U30471" s="27"/>
    </row>
    <row r="30473">
      <c r="S30473" s="27"/>
      <c r="T30473" s="27"/>
      <c r="U30473" s="27"/>
    </row>
    <row r="30474">
      <c r="S30474" s="27"/>
      <c r="T30474" s="27"/>
      <c r="U30474" s="27"/>
    </row>
    <row r="30476">
      <c r="S30476" s="27"/>
      <c r="T30476" s="27"/>
      <c r="U30476" s="27"/>
    </row>
    <row r="30477">
      <c r="S30477" s="27"/>
      <c r="T30477" s="27"/>
      <c r="U30477" s="27"/>
    </row>
    <row r="30479">
      <c r="S30479" s="27"/>
      <c r="T30479" s="27"/>
      <c r="U30479" s="27"/>
    </row>
    <row r="30480">
      <c r="S30480" s="27"/>
      <c r="T30480" s="27"/>
      <c r="U30480" s="27"/>
    </row>
    <row r="30482">
      <c r="S30482" s="27"/>
      <c r="T30482" s="27"/>
      <c r="U30482" s="27"/>
    </row>
    <row r="30483">
      <c r="S30483" s="27"/>
      <c r="T30483" s="27"/>
      <c r="U30483" s="27"/>
    </row>
    <row r="30485">
      <c r="S30485" s="27"/>
      <c r="T30485" s="27"/>
      <c r="U30485" s="27"/>
    </row>
    <row r="30486">
      <c r="S30486" s="27"/>
      <c r="T30486" s="27"/>
      <c r="U30486" s="27"/>
    </row>
    <row r="30488">
      <c r="S30488" s="27"/>
      <c r="T30488" s="27"/>
      <c r="U30488" s="27"/>
    </row>
    <row r="30489">
      <c r="S30489" s="27"/>
      <c r="T30489" s="27"/>
      <c r="U30489" s="27"/>
    </row>
    <row r="30491">
      <c r="S30491" s="27"/>
      <c r="T30491" s="27"/>
      <c r="U30491" s="27"/>
    </row>
    <row r="30492">
      <c r="S30492" s="27"/>
      <c r="T30492" s="27"/>
      <c r="U30492" s="27"/>
    </row>
    <row r="30494">
      <c r="S30494" s="27"/>
      <c r="T30494" s="27"/>
      <c r="U30494" s="27"/>
    </row>
    <row r="30496">
      <c r="S30496" s="27"/>
      <c r="T30496" s="27"/>
      <c r="U30496" s="27"/>
    </row>
    <row r="30497">
      <c r="S30497" s="27"/>
      <c r="T30497" s="27"/>
      <c r="U30497" s="27"/>
    </row>
    <row r="30499">
      <c r="S30499" s="27"/>
      <c r="T30499" s="27"/>
      <c r="U30499" s="27"/>
    </row>
    <row r="30500">
      <c r="S30500" s="27"/>
      <c r="T30500" s="27"/>
      <c r="U30500" s="27"/>
    </row>
    <row r="30502">
      <c r="S30502" s="27"/>
      <c r="T30502" s="27"/>
      <c r="U30502" s="27"/>
    </row>
    <row r="30503">
      <c r="S30503" s="27"/>
      <c r="T30503" s="27"/>
      <c r="U30503" s="27"/>
    </row>
    <row r="30505">
      <c r="S30505" s="27"/>
      <c r="T30505" s="27"/>
      <c r="U30505" s="27"/>
    </row>
    <row r="30506">
      <c r="S30506" s="27"/>
      <c r="T30506" s="27"/>
      <c r="U30506" s="27"/>
    </row>
    <row r="30508">
      <c r="S30508" s="27"/>
      <c r="T30508" s="27"/>
      <c r="U30508" s="27"/>
    </row>
    <row r="30509">
      <c r="S30509" s="27"/>
      <c r="T30509" s="27"/>
      <c r="U30509" s="27"/>
    </row>
    <row r="30511">
      <c r="S30511" s="27"/>
      <c r="T30511" s="27"/>
      <c r="U30511" s="27"/>
    </row>
    <row r="30512">
      <c r="S30512" s="27"/>
      <c r="T30512" s="27"/>
      <c r="U30512" s="27"/>
    </row>
    <row r="30514">
      <c r="S30514" s="27"/>
      <c r="T30514" s="27"/>
      <c r="U30514" s="27"/>
    </row>
    <row r="30515">
      <c r="S30515" s="27"/>
      <c r="T30515" s="27"/>
      <c r="U30515" s="27"/>
    </row>
    <row r="30517">
      <c r="S30517" s="27"/>
      <c r="T30517" s="27"/>
      <c r="U30517" s="27"/>
    </row>
    <row r="30519">
      <c r="S30519" s="27"/>
      <c r="T30519" s="27"/>
      <c r="U30519" s="27"/>
    </row>
    <row r="30521">
      <c r="S30521" s="27"/>
      <c r="T30521" s="27"/>
      <c r="U30521" s="27"/>
    </row>
    <row r="30523">
      <c r="S30523" s="27"/>
      <c r="T30523" s="27"/>
      <c r="U30523" s="27"/>
    </row>
    <row r="30525">
      <c r="S30525" s="27"/>
      <c r="T30525" s="27"/>
      <c r="U30525" s="27"/>
    </row>
    <row r="30526">
      <c r="S30526" s="27"/>
      <c r="T30526" s="27"/>
      <c r="U30526" s="27"/>
    </row>
    <row r="30528">
      <c r="S30528" s="27"/>
      <c r="T30528" s="27"/>
      <c r="U30528" s="27"/>
    </row>
    <row r="30529">
      <c r="S30529" s="27"/>
      <c r="T30529" s="27"/>
      <c r="U30529" s="27"/>
    </row>
    <row r="30534">
      <c r="S30534" s="27"/>
      <c r="T30534" s="27"/>
      <c r="U30534" s="27"/>
    </row>
    <row r="30535">
      <c r="S30535" s="27"/>
      <c r="T30535" s="27"/>
      <c r="U30535" s="27"/>
    </row>
    <row r="30537">
      <c r="S30537" s="27"/>
      <c r="T30537" s="27"/>
      <c r="U30537" s="27"/>
    </row>
    <row r="30538">
      <c r="S30538" s="27"/>
      <c r="T30538" s="27"/>
      <c r="U30538" s="27"/>
    </row>
    <row r="30540">
      <c r="S30540" s="27"/>
      <c r="T30540" s="27"/>
      <c r="U30540" s="27"/>
    </row>
    <row r="30541">
      <c r="S30541" s="27"/>
      <c r="T30541" s="27"/>
      <c r="U30541" s="27"/>
    </row>
    <row r="30543">
      <c r="S30543" s="27"/>
      <c r="T30543" s="27"/>
      <c r="U30543" s="27"/>
    </row>
    <row r="30544">
      <c r="S30544" s="27"/>
      <c r="T30544" s="27"/>
      <c r="U30544" s="27"/>
    </row>
    <row r="30549">
      <c r="S30549" s="33"/>
      <c r="T30549" s="33"/>
      <c r="U30549" s="33"/>
    </row>
    <row r="30552">
      <c r="S30552" s="27"/>
      <c r="T30552" s="27"/>
      <c r="U30552" s="27"/>
    </row>
    <row r="30553">
      <c r="S30553" s="27"/>
      <c r="T30553" s="27"/>
      <c r="U30553" s="27"/>
    </row>
    <row r="30555">
      <c r="S30555" s="27"/>
      <c r="T30555" s="27"/>
      <c r="U30555" s="27"/>
    </row>
    <row r="30556">
      <c r="S30556" s="27"/>
      <c r="T30556" s="27"/>
      <c r="U30556" s="27"/>
    </row>
    <row r="30558">
      <c r="S30558" s="27"/>
      <c r="T30558" s="27"/>
      <c r="U30558" s="27"/>
    </row>
    <row r="30559">
      <c r="S30559" s="27"/>
      <c r="T30559" s="27"/>
      <c r="U30559" s="27"/>
    </row>
    <row r="30561">
      <c r="U30561" s="27"/>
    </row>
    <row r="30564">
      <c r="S30564" s="27"/>
      <c r="T30564" s="27"/>
      <c r="U30564" s="27"/>
    </row>
    <row r="30565">
      <c r="S30565" s="27"/>
      <c r="T30565" s="27"/>
      <c r="U30565" s="27"/>
    </row>
    <row r="30567">
      <c r="S30567" s="27"/>
      <c r="T30567" s="27"/>
      <c r="U30567" s="27"/>
    </row>
    <row r="30568">
      <c r="S30568" s="27"/>
      <c r="T30568" s="27"/>
      <c r="U30568" s="27"/>
    </row>
    <row r="30570">
      <c r="S30570" s="26"/>
      <c r="T30570" s="27"/>
      <c r="U30570" s="27"/>
    </row>
    <row r="30571">
      <c r="T30571" s="27"/>
      <c r="U30571" s="27"/>
    </row>
    <row r="30576">
      <c r="S30576" s="26"/>
      <c r="T30576" s="26"/>
      <c r="U30576" s="26"/>
    </row>
    <row r="30579">
      <c r="S30579" s="27"/>
      <c r="T30579" s="27"/>
      <c r="U30579" s="27"/>
    </row>
    <row r="30580">
      <c r="S30580" s="27"/>
      <c r="T30580" s="27"/>
      <c r="U30580" s="27"/>
    </row>
    <row r="30582">
      <c r="S30582" s="27"/>
      <c r="T30582" s="27"/>
      <c r="U30582" s="27"/>
    </row>
    <row r="30583">
      <c r="S30583" s="27"/>
      <c r="T30583" s="27"/>
      <c r="U30583" s="27"/>
    </row>
    <row r="30585">
      <c r="S30585" s="26"/>
      <c r="T30585" s="26"/>
      <c r="U30585" s="26"/>
    </row>
    <row r="30588">
      <c r="S30588" s="27"/>
      <c r="T30588" s="27"/>
      <c r="U30588" s="27"/>
    </row>
    <row r="30591">
      <c r="S30591" s="27"/>
      <c r="T30591" s="27"/>
      <c r="U30591" s="27"/>
    </row>
    <row r="30592">
      <c r="S30592" s="27"/>
      <c r="T30592" s="27"/>
      <c r="U30592" s="27"/>
    </row>
    <row r="30594">
      <c r="S30594" s="27"/>
      <c r="T30594" s="27"/>
      <c r="U30594" s="27"/>
    </row>
    <row r="30595">
      <c r="S30595" s="27"/>
      <c r="T30595" s="27"/>
      <c r="U30595" s="27"/>
    </row>
    <row r="30597">
      <c r="S30597" s="27"/>
      <c r="T30597" s="27"/>
      <c r="U30597" s="27"/>
    </row>
    <row r="30598">
      <c r="S30598" s="27"/>
      <c r="T30598" s="27"/>
      <c r="U30598" s="27"/>
    </row>
    <row r="30600">
      <c r="S30600" s="27"/>
      <c r="T30600" s="27"/>
      <c r="U30600" s="27"/>
    </row>
    <row r="30601">
      <c r="S30601" s="27"/>
      <c r="T30601" s="27"/>
      <c r="U30601" s="27"/>
    </row>
    <row r="30603">
      <c r="S30603" s="27"/>
      <c r="T30603" s="27"/>
      <c r="U30603" s="27"/>
    </row>
    <row r="30604">
      <c r="S30604" s="27"/>
      <c r="T30604" s="27"/>
      <c r="U30604" s="27"/>
    </row>
    <row r="30606">
      <c r="S30606" s="27"/>
      <c r="T30606" s="27"/>
      <c r="U30606" s="27"/>
    </row>
    <row r="30607">
      <c r="S30607" s="27"/>
      <c r="T30607" s="27"/>
      <c r="U30607" s="27"/>
    </row>
    <row r="30609">
      <c r="S30609" s="27"/>
      <c r="T30609" s="27"/>
      <c r="U30609" s="27"/>
    </row>
    <row r="30610">
      <c r="S30610" s="27"/>
      <c r="T30610" s="27"/>
      <c r="U30610" s="27"/>
    </row>
    <row r="30612">
      <c r="S30612" s="27"/>
      <c r="T30612" s="27"/>
      <c r="U30612" s="27"/>
    </row>
    <row r="30613">
      <c r="S30613" s="27"/>
      <c r="T30613" s="27"/>
      <c r="U30613" s="27"/>
    </row>
    <row r="30615">
      <c r="S30615" s="27"/>
      <c r="T30615" s="27"/>
      <c r="U30615" s="27"/>
    </row>
    <row r="30616">
      <c r="S30616" s="27"/>
      <c r="T30616" s="27"/>
      <c r="U30616" s="27"/>
    </row>
    <row r="30618">
      <c r="S30618" s="27"/>
      <c r="T30618" s="27"/>
      <c r="U30618" s="26"/>
    </row>
    <row r="30619">
      <c r="S30619" s="27"/>
      <c r="T30619" s="27"/>
      <c r="U30619" s="26"/>
    </row>
    <row r="30621">
      <c r="S30621" s="27"/>
      <c r="T30621" s="27"/>
      <c r="U30621" s="27"/>
    </row>
    <row r="30622">
      <c r="S30622" s="27"/>
      <c r="T30622" s="27"/>
      <c r="U30622" s="27"/>
    </row>
    <row r="30624">
      <c r="S30624" s="27"/>
      <c r="T30624" s="27"/>
      <c r="U30624" s="27"/>
    </row>
    <row r="30625">
      <c r="S30625" s="27"/>
      <c r="T30625" s="27"/>
      <c r="U30625" s="27"/>
    </row>
    <row r="30627">
      <c r="S30627" s="27"/>
      <c r="T30627" s="27"/>
      <c r="U30627" s="27"/>
    </row>
    <row r="30628">
      <c r="S30628" s="27"/>
      <c r="T30628" s="27"/>
      <c r="U30628" s="27"/>
    </row>
    <row r="30630">
      <c r="S30630" s="27"/>
      <c r="T30630" s="27"/>
      <c r="U30630" s="27"/>
    </row>
    <row r="30631">
      <c r="S30631" s="27"/>
      <c r="T30631" s="27"/>
      <c r="U30631" s="27"/>
    </row>
    <row r="30633">
      <c r="S30633" s="26"/>
      <c r="T30633" s="26"/>
      <c r="U30633" s="27"/>
    </row>
    <row r="30634">
      <c r="S30634" s="26"/>
      <c r="T30634" s="26"/>
      <c r="U30634" s="27"/>
    </row>
    <row r="30636">
      <c r="S30636" s="27"/>
      <c r="T30636" s="27"/>
      <c r="U30636" s="27"/>
    </row>
    <row r="30637">
      <c r="S30637" s="27"/>
      <c r="T30637" s="27"/>
      <c r="U30637" s="27"/>
    </row>
    <row r="30639">
      <c r="S30639" s="27"/>
      <c r="T30639" s="27"/>
      <c r="U30639" s="27"/>
    </row>
    <row r="30640">
      <c r="S30640" s="27"/>
      <c r="T30640" s="27"/>
      <c r="U30640" s="27"/>
    </row>
    <row r="30642">
      <c r="S30642" s="27"/>
      <c r="T30642" s="27"/>
      <c r="U30642" s="27"/>
    </row>
    <row r="30643">
      <c r="S30643" s="27"/>
      <c r="T30643" s="27"/>
      <c r="U30643" s="27"/>
    </row>
    <row r="30645">
      <c r="S30645" s="27"/>
      <c r="T30645" s="27"/>
      <c r="U30645" s="27"/>
    </row>
    <row r="30646">
      <c r="S30646" s="27"/>
      <c r="T30646" s="27"/>
      <c r="U30646" s="27"/>
    </row>
    <row r="30648">
      <c r="S30648" s="27"/>
      <c r="T30648" s="27"/>
      <c r="U30648" s="27"/>
    </row>
    <row r="30649">
      <c r="S30649" s="27"/>
      <c r="T30649" s="27"/>
      <c r="U30649" s="27"/>
    </row>
    <row r="30651">
      <c r="S30651" s="27"/>
      <c r="T30651" s="27"/>
      <c r="U30651" s="27"/>
    </row>
    <row r="30652">
      <c r="S30652" s="27"/>
      <c r="T30652" s="27"/>
      <c r="U30652" s="27"/>
    </row>
    <row r="30654">
      <c r="S30654" s="27"/>
      <c r="T30654" s="27"/>
      <c r="U30654" s="27"/>
    </row>
    <row r="30655">
      <c r="S30655" s="27"/>
      <c r="T30655" s="27"/>
      <c r="U30655" s="27"/>
    </row>
    <row r="30657">
      <c r="S30657" s="27"/>
      <c r="T30657" s="27"/>
      <c r="U30657" s="27"/>
    </row>
    <row r="30658">
      <c r="S30658" s="27"/>
      <c r="T30658" s="27"/>
      <c r="U30658" s="27"/>
    </row>
    <row r="30663">
      <c r="S30663" s="27"/>
      <c r="T30663" s="27"/>
      <c r="U30663" s="27"/>
    </row>
    <row r="30664">
      <c r="S30664" s="33"/>
      <c r="T30664" s="27"/>
      <c r="U30664" s="27"/>
    </row>
    <row r="30670">
      <c r="S30670" s="27"/>
      <c r="T30670" s="27"/>
      <c r="U30670" s="27"/>
    </row>
    <row r="30671">
      <c r="S30671" s="27"/>
      <c r="T30671" s="27"/>
      <c r="U30671" s="27"/>
    </row>
    <row r="30673">
      <c r="S30673" s="27"/>
      <c r="T30673" s="27"/>
      <c r="U30673" s="27"/>
    </row>
    <row r="30674">
      <c r="T30674" s="27"/>
      <c r="U30674" s="27"/>
    </row>
    <row r="30676">
      <c r="S30676" s="27"/>
      <c r="T30676" s="27"/>
      <c r="U30676" s="27"/>
    </row>
    <row r="30677">
      <c r="S30677" s="27"/>
      <c r="T30677" s="27"/>
      <c r="U30677" s="27"/>
    </row>
    <row r="30680">
      <c r="S30680" s="27"/>
      <c r="T30680" s="27"/>
      <c r="U30680" s="27"/>
    </row>
    <row r="30682">
      <c r="S30682" s="27"/>
      <c r="T30682" s="27"/>
      <c r="U30682" s="27"/>
    </row>
    <row r="30683">
      <c r="S30683" s="27"/>
      <c r="T30683" s="27"/>
      <c r="U30683" s="27"/>
    </row>
    <row r="30685">
      <c r="T30685" s="26"/>
      <c r="U30685" s="26"/>
    </row>
    <row r="30688">
      <c r="T30688" s="26"/>
      <c r="U30688" s="26"/>
    </row>
    <row r="30691">
      <c r="S30691" s="27"/>
      <c r="T30691" s="27"/>
      <c r="U30691" s="27"/>
    </row>
    <row r="30693">
      <c r="S30693" s="27"/>
      <c r="T30693" s="27"/>
      <c r="U30693" s="27"/>
    </row>
    <row r="30699">
      <c r="S30699" s="27"/>
      <c r="T30699" s="27"/>
      <c r="U30699" s="27"/>
    </row>
    <row r="30700">
      <c r="S30700" s="27"/>
      <c r="T30700" s="27"/>
      <c r="U30700" s="27"/>
    </row>
    <row r="30702">
      <c r="S30702" s="27"/>
      <c r="T30702" s="27"/>
      <c r="U30702" s="27"/>
    </row>
    <row r="30703">
      <c r="S30703" s="27"/>
      <c r="T30703" s="27"/>
      <c r="U30703" s="27"/>
    </row>
    <row r="30705">
      <c r="S30705" s="27"/>
      <c r="T30705" s="27"/>
      <c r="U30705" s="27"/>
    </row>
    <row r="30706">
      <c r="S30706" s="27"/>
      <c r="U30706" s="27"/>
    </row>
    <row r="30708">
      <c r="S30708" s="27"/>
      <c r="T30708" s="27"/>
      <c r="U30708" s="27"/>
    </row>
    <row r="30709">
      <c r="S30709" s="27"/>
      <c r="T30709" s="27"/>
      <c r="U30709" s="27"/>
    </row>
    <row r="30711">
      <c r="S30711" s="27"/>
      <c r="T30711" s="27"/>
      <c r="U30711" s="27"/>
    </row>
    <row r="30712">
      <c r="S30712" s="27"/>
      <c r="T30712" s="27"/>
      <c r="U30712" s="27"/>
    </row>
    <row r="30717">
      <c r="S30717" s="27"/>
      <c r="T30717" s="27"/>
      <c r="U30717" s="27"/>
    </row>
    <row r="30718">
      <c r="S30718" s="27"/>
      <c r="T30718" s="27"/>
      <c r="U30718" s="27"/>
    </row>
    <row r="30720">
      <c r="S30720" s="27"/>
      <c r="T30720" s="27"/>
      <c r="U30720" s="27"/>
    </row>
    <row r="30721">
      <c r="S30721" s="27"/>
      <c r="T30721" s="27"/>
      <c r="U30721" s="27"/>
    </row>
    <row r="30723">
      <c r="S30723" s="27"/>
      <c r="T30723" s="27"/>
      <c r="U30723" s="27"/>
    </row>
    <row r="30724">
      <c r="S30724" s="27"/>
      <c r="T30724" s="27"/>
      <c r="U30724" s="27"/>
    </row>
    <row r="30726">
      <c r="S30726" s="27"/>
      <c r="T30726" s="33"/>
      <c r="U30726" s="27"/>
    </row>
    <row r="30732">
      <c r="S30732" s="27"/>
      <c r="T30732" s="27"/>
      <c r="U30732" s="27"/>
    </row>
    <row r="30735">
      <c r="S30735" s="27"/>
      <c r="T30735" s="27"/>
    </row>
    <row r="30736">
      <c r="S30736" s="33"/>
      <c r="T30736" s="33"/>
      <c r="U30736" s="33"/>
    </row>
    <row r="30738">
      <c r="S30738" s="26"/>
      <c r="T30738" s="26"/>
      <c r="U30738" s="26"/>
    </row>
    <row r="30739">
      <c r="S30739" s="26"/>
    </row>
    <row r="30741">
      <c r="S30741" s="27"/>
      <c r="T30741" s="27"/>
      <c r="U30741" s="27"/>
    </row>
    <row r="30742">
      <c r="S30742" s="27"/>
      <c r="T30742" s="27"/>
      <c r="U30742" s="27"/>
    </row>
    <row r="30744">
      <c r="S30744" s="27"/>
      <c r="T30744" s="27"/>
      <c r="U30744" s="27"/>
    </row>
    <row r="30745">
      <c r="S30745" s="27"/>
      <c r="T30745" s="27"/>
      <c r="U30745" s="27"/>
    </row>
    <row r="30747">
      <c r="S30747" s="27"/>
      <c r="T30747" s="27"/>
      <c r="U30747" s="27"/>
    </row>
    <row r="30748">
      <c r="S30748" s="27"/>
      <c r="T30748" s="27"/>
      <c r="U30748" s="27"/>
    </row>
    <row r="30753">
      <c r="S30753" s="27"/>
      <c r="T30753" s="27"/>
      <c r="U30753" s="27"/>
    </row>
    <row r="30754">
      <c r="S30754" s="27"/>
      <c r="T30754" s="27"/>
      <c r="U30754" s="27"/>
    </row>
    <row r="30759">
      <c r="S30759" s="27"/>
      <c r="T30759" s="27"/>
      <c r="U30759" s="27"/>
    </row>
    <row r="30762">
      <c r="S30762" s="27"/>
      <c r="T30762" s="27"/>
      <c r="U30762" s="27"/>
    </row>
    <row r="30763">
      <c r="S30763" s="27"/>
      <c r="T30763" s="27"/>
      <c r="U30763" s="27"/>
    </row>
    <row r="30768">
      <c r="S30768" s="27"/>
      <c r="T30768" s="27"/>
      <c r="U30768" s="27"/>
    </row>
    <row r="30769">
      <c r="S30769" s="27"/>
      <c r="T30769" s="27"/>
      <c r="U30769" s="27"/>
    </row>
    <row r="30772">
      <c r="S30772" s="27"/>
      <c r="T30772" s="27"/>
      <c r="U30772" s="27"/>
    </row>
    <row r="30773">
      <c r="S30773" s="27"/>
      <c r="T30773" s="27"/>
      <c r="U30773" s="27"/>
    </row>
    <row r="30778">
      <c r="S30778" s="27"/>
      <c r="T30778" s="27"/>
      <c r="U30778" s="27"/>
    </row>
    <row r="30782">
      <c r="S30782" s="27"/>
      <c r="T30782" s="27"/>
      <c r="U30782" s="27"/>
    </row>
    <row r="30784">
      <c r="S30784" s="27"/>
      <c r="T30784" s="27"/>
      <c r="U30784" s="27"/>
    </row>
    <row r="30785">
      <c r="S30785" s="27"/>
      <c r="T30785" s="27"/>
      <c r="U30785" s="27"/>
    </row>
    <row r="30787">
      <c r="S30787" s="27"/>
    </row>
    <row r="30788">
      <c r="T30788" s="26"/>
      <c r="U30788" s="26"/>
    </row>
    <row r="30790">
      <c r="S30790" s="27"/>
      <c r="T30790" s="27"/>
      <c r="U30790" s="27"/>
    </row>
    <row r="30791">
      <c r="S30791" s="27"/>
      <c r="T30791" s="27"/>
      <c r="U30791" s="27"/>
    </row>
    <row r="30793">
      <c r="S30793" s="27"/>
      <c r="T30793" s="27"/>
      <c r="U30793" s="27"/>
    </row>
    <row r="30794">
      <c r="S30794" s="27"/>
      <c r="T30794" s="27"/>
      <c r="U30794" s="27"/>
    </row>
    <row r="30796">
      <c r="S30796" s="27"/>
      <c r="T30796" s="27"/>
      <c r="U30796" s="27"/>
    </row>
    <row r="30797">
      <c r="S30797" s="27"/>
      <c r="T30797" s="27"/>
      <c r="U30797" s="27"/>
    </row>
    <row r="30799">
      <c r="S30799" s="27"/>
      <c r="T30799" s="27"/>
      <c r="U30799" s="27"/>
    </row>
    <row r="30800">
      <c r="S30800" s="27"/>
      <c r="T30800" s="27"/>
      <c r="U30800" s="27"/>
    </row>
    <row r="30802">
      <c r="S30802" s="27"/>
      <c r="T30802" s="27"/>
      <c r="U30802" s="27"/>
    </row>
    <row r="30803">
      <c r="S30803" s="27"/>
      <c r="T30803" s="27"/>
      <c r="U30803" s="27"/>
    </row>
    <row r="30805">
      <c r="S30805" s="27"/>
      <c r="T30805" s="27"/>
      <c r="U30805" s="27"/>
    </row>
    <row r="30806">
      <c r="S30806" s="27"/>
      <c r="T30806" s="27"/>
      <c r="U30806" s="27"/>
    </row>
    <row r="30808">
      <c r="S30808" s="27"/>
      <c r="T30808" s="27"/>
      <c r="U30808" s="27"/>
    </row>
    <row r="30809">
      <c r="S30809" s="27"/>
      <c r="T30809" s="27"/>
      <c r="U30809" s="27"/>
    </row>
    <row r="30811">
      <c r="S30811" s="27"/>
      <c r="T30811" s="27"/>
      <c r="U30811" s="27"/>
    </row>
    <row r="30812">
      <c r="S30812" s="27"/>
      <c r="T30812" s="27"/>
      <c r="U30812" s="27"/>
    </row>
    <row r="30814">
      <c r="S30814" s="27"/>
      <c r="T30814" s="27"/>
      <c r="U30814" s="27"/>
    </row>
    <row r="30815">
      <c r="S30815" s="27"/>
      <c r="T30815" s="27"/>
      <c r="U30815" s="27"/>
    </row>
    <row r="30817">
      <c r="S30817" s="27"/>
      <c r="T30817" s="27"/>
      <c r="U30817" s="27"/>
    </row>
    <row r="30818">
      <c r="S30818" s="27"/>
      <c r="T30818" s="27"/>
      <c r="U30818" s="27"/>
    </row>
    <row r="30820">
      <c r="S30820" s="27"/>
      <c r="T30820" s="27"/>
      <c r="U30820" s="27"/>
    </row>
    <row r="30821">
      <c r="S30821" s="27"/>
      <c r="T30821" s="27"/>
      <c r="U30821" s="27"/>
    </row>
    <row r="30823">
      <c r="S30823" s="27"/>
      <c r="T30823" s="27"/>
      <c r="U30823" s="27"/>
    </row>
    <row r="30824">
      <c r="S30824" s="27"/>
      <c r="T30824" s="27"/>
      <c r="U30824" s="27"/>
    </row>
    <row r="30826">
      <c r="S30826" s="27"/>
      <c r="T30826" s="27"/>
      <c r="U30826" s="27"/>
    </row>
    <row r="30827">
      <c r="S30827" s="27"/>
      <c r="T30827" s="27"/>
      <c r="U30827" s="27"/>
    </row>
    <row r="30829">
      <c r="S30829" s="27"/>
      <c r="T30829" s="27"/>
      <c r="U30829" s="27"/>
    </row>
    <row r="30830">
      <c r="S30830" s="27"/>
      <c r="T30830" s="27"/>
      <c r="U30830" s="27"/>
    </row>
    <row r="30832">
      <c r="S30832" s="27"/>
      <c r="T30832" s="27"/>
      <c r="U30832" s="27"/>
    </row>
    <row r="30833">
      <c r="S30833" s="27"/>
      <c r="T30833" s="27"/>
      <c r="U30833" s="27"/>
    </row>
    <row r="30835">
      <c r="S30835" s="27"/>
      <c r="T30835" s="27"/>
      <c r="U30835" s="27"/>
    </row>
    <row r="30836">
      <c r="S30836" s="27"/>
      <c r="T30836" s="27"/>
      <c r="U30836" s="27"/>
    </row>
    <row r="30838">
      <c r="S30838" s="27"/>
      <c r="T30838" s="27"/>
      <c r="U30838" s="27"/>
    </row>
    <row r="30839">
      <c r="S30839" s="27"/>
      <c r="T30839" s="27"/>
      <c r="U30839" s="27"/>
    </row>
    <row r="30841">
      <c r="S30841" s="27"/>
      <c r="T30841" s="27"/>
      <c r="U30841" s="27"/>
    </row>
    <row r="30842">
      <c r="S30842" s="27"/>
      <c r="T30842" s="27"/>
      <c r="U30842" s="27"/>
    </row>
    <row r="30844">
      <c r="S30844" s="27"/>
      <c r="T30844" s="27"/>
      <c r="U30844" s="27"/>
    </row>
    <row r="30845">
      <c r="S30845" s="27"/>
      <c r="T30845" s="27"/>
      <c r="U30845" s="27"/>
    </row>
    <row r="30847">
      <c r="S30847" s="27"/>
      <c r="T30847" s="27"/>
      <c r="U30847" s="27"/>
    </row>
    <row r="30848">
      <c r="S30848" s="27"/>
      <c r="T30848" s="27"/>
      <c r="U30848" s="27"/>
    </row>
    <row r="30850">
      <c r="S30850" s="27"/>
      <c r="T30850" s="27"/>
      <c r="U30850" s="27"/>
    </row>
    <row r="30851">
      <c r="S30851" s="27"/>
      <c r="T30851" s="27"/>
      <c r="U30851" s="27"/>
    </row>
    <row r="30853">
      <c r="S30853" s="27"/>
      <c r="T30853" s="27"/>
      <c r="U30853" s="27"/>
    </row>
    <row r="30854">
      <c r="S30854" s="27"/>
      <c r="T30854" s="27"/>
      <c r="U30854" s="27"/>
    </row>
    <row r="30856">
      <c r="S30856" s="27"/>
      <c r="T30856" s="27"/>
      <c r="U30856" s="27"/>
    </row>
    <row r="30857">
      <c r="S30857" s="27"/>
      <c r="T30857" s="27"/>
      <c r="U30857" s="27"/>
    </row>
    <row r="30859">
      <c r="S30859" s="27"/>
      <c r="T30859" s="27"/>
      <c r="U30859" s="27"/>
    </row>
    <row r="30860">
      <c r="S30860" s="27"/>
      <c r="T30860" s="27"/>
      <c r="U30860" s="27"/>
    </row>
    <row r="30862">
      <c r="S30862" s="27"/>
      <c r="T30862" s="27"/>
      <c r="U30862" s="27"/>
    </row>
    <row r="30863">
      <c r="S30863" s="27"/>
      <c r="T30863" s="27"/>
      <c r="U30863" s="27"/>
    </row>
    <row r="30865">
      <c r="S30865" s="27"/>
      <c r="T30865" s="27"/>
      <c r="U30865" s="27"/>
    </row>
    <row r="30866">
      <c r="S30866" s="27"/>
      <c r="T30866" s="27"/>
      <c r="U30866" s="27"/>
    </row>
    <row r="30868">
      <c r="S30868" s="27"/>
      <c r="T30868" s="27"/>
      <c r="U30868" s="27"/>
    </row>
    <row r="30869">
      <c r="S30869" s="27"/>
      <c r="T30869" s="27"/>
      <c r="U30869" s="27"/>
    </row>
    <row r="30871">
      <c r="S30871" s="27"/>
      <c r="T30871" s="27"/>
      <c r="U30871" s="27"/>
    </row>
    <row r="30872">
      <c r="S30872" s="27"/>
      <c r="T30872" s="27"/>
      <c r="U30872" s="27"/>
    </row>
    <row r="30874">
      <c r="S30874" s="27"/>
      <c r="T30874" s="27"/>
      <c r="U30874" s="27"/>
    </row>
    <row r="30875">
      <c r="S30875" s="27"/>
      <c r="T30875" s="27"/>
      <c r="U30875" s="27"/>
    </row>
    <row r="30877">
      <c r="S30877" s="27"/>
      <c r="T30877" s="27"/>
      <c r="U30877" s="27"/>
    </row>
    <row r="30878">
      <c r="S30878" s="27"/>
      <c r="T30878" s="27"/>
      <c r="U30878" s="27"/>
    </row>
    <row r="30880">
      <c r="S30880" s="27"/>
      <c r="T30880" s="27"/>
      <c r="U30880" s="27"/>
    </row>
    <row r="30881">
      <c r="S30881" s="27"/>
      <c r="T30881" s="27"/>
      <c r="U30881" s="27"/>
    </row>
    <row r="30883">
      <c r="S30883" s="27"/>
      <c r="T30883" s="27"/>
      <c r="U30883" s="27"/>
    </row>
    <row r="30884">
      <c r="S30884" s="27"/>
      <c r="T30884" s="27"/>
      <c r="U30884" s="27"/>
    </row>
    <row r="30886">
      <c r="S30886" s="27"/>
      <c r="T30886" s="27"/>
      <c r="U30886" s="27"/>
    </row>
    <row r="30888">
      <c r="T30888" s="27"/>
      <c r="U30888" s="27"/>
    </row>
    <row r="30889">
      <c r="S30889" s="27"/>
      <c r="T30889" s="27"/>
      <c r="U30889" s="27"/>
    </row>
    <row r="30891">
      <c r="S30891" s="27"/>
      <c r="T30891" s="27"/>
      <c r="U30891" s="27"/>
    </row>
    <row r="30892">
      <c r="S30892" s="27"/>
      <c r="T30892" s="27"/>
      <c r="U30892" s="27"/>
    </row>
    <row r="30894">
      <c r="S30894" s="27"/>
      <c r="T30894" s="27"/>
      <c r="U30894" s="27"/>
    </row>
    <row r="30895">
      <c r="S30895" s="27"/>
      <c r="T30895" s="27"/>
      <c r="U30895" s="27"/>
    </row>
    <row r="30897">
      <c r="S30897" s="27"/>
      <c r="T30897" s="27"/>
      <c r="U30897" s="27"/>
    </row>
    <row r="30898">
      <c r="S30898" s="27"/>
      <c r="T30898" s="27"/>
      <c r="U30898" s="27"/>
    </row>
    <row r="30900">
      <c r="S30900" s="27"/>
      <c r="T30900" s="27"/>
      <c r="U30900" s="27"/>
    </row>
    <row r="30901">
      <c r="S30901" s="27"/>
      <c r="T30901" s="27"/>
      <c r="U30901" s="27"/>
    </row>
    <row r="30904">
      <c r="S30904" s="27"/>
      <c r="T30904" s="27"/>
      <c r="U30904" s="27"/>
    </row>
    <row r="30906">
      <c r="S30906" s="27"/>
      <c r="T30906" s="27"/>
      <c r="U30906" s="27"/>
    </row>
    <row r="30907">
      <c r="S30907" s="27"/>
      <c r="T30907" s="27"/>
      <c r="U30907" s="27"/>
    </row>
    <row r="30909">
      <c r="S30909" s="27"/>
      <c r="T30909" s="27"/>
      <c r="U30909" s="27"/>
    </row>
    <row r="30911">
      <c r="S30911" s="27"/>
      <c r="T30911" s="27"/>
      <c r="U30911" s="27"/>
    </row>
    <row r="30913">
      <c r="S30913" s="27"/>
      <c r="T30913" s="27"/>
      <c r="U30913" s="27"/>
    </row>
    <row r="30915">
      <c r="S30915" s="27"/>
      <c r="T30915" s="27"/>
      <c r="U30915" s="27"/>
    </row>
    <row r="30917">
      <c r="S30917" s="27"/>
      <c r="T30917" s="27"/>
      <c r="U30917" s="27"/>
    </row>
    <row r="30918">
      <c r="S30918" s="27"/>
      <c r="T30918" s="27"/>
      <c r="U30918" s="27"/>
    </row>
    <row r="30920">
      <c r="S30920" s="27"/>
      <c r="T30920" s="27"/>
      <c r="U30920" s="27"/>
    </row>
    <row r="30921">
      <c r="S30921" s="27"/>
      <c r="T30921" s="27"/>
      <c r="U30921" s="27"/>
    </row>
    <row r="30923">
      <c r="S30923" s="27"/>
      <c r="T30923" s="27"/>
      <c r="U30923" s="27"/>
    </row>
    <row r="30924">
      <c r="S30924" s="27"/>
      <c r="T30924" s="27"/>
    </row>
    <row r="30926">
      <c r="S30926" s="27"/>
      <c r="T30926" s="27"/>
      <c r="U30926" s="27"/>
    </row>
    <row r="30927">
      <c r="S30927" s="27"/>
      <c r="T30927" s="27"/>
      <c r="U30927" s="27"/>
    </row>
    <row r="30929">
      <c r="S30929" s="27"/>
      <c r="T30929" s="27"/>
      <c r="U30929" s="27"/>
    </row>
    <row r="30930">
      <c r="S30930" s="27"/>
      <c r="T30930" s="27"/>
      <c r="U30930" s="27"/>
    </row>
    <row r="30932">
      <c r="S30932" s="27"/>
      <c r="T30932" s="27"/>
      <c r="U30932" s="27"/>
    </row>
    <row r="30933">
      <c r="S30933" s="27"/>
      <c r="T30933" s="27"/>
      <c r="U30933" s="27"/>
    </row>
    <row r="30938">
      <c r="S30938" s="26"/>
      <c r="T30938" s="27"/>
      <c r="U30938" s="27"/>
    </row>
    <row r="30941">
      <c r="S30941" s="27"/>
      <c r="T30941" s="27"/>
      <c r="U30941" s="27"/>
    </row>
    <row r="30944">
      <c r="S30944" s="27"/>
      <c r="T30944" s="27"/>
      <c r="U30944" s="27"/>
    </row>
    <row r="30945">
      <c r="S30945" s="27"/>
      <c r="T30945" s="27"/>
      <c r="U30945" s="27"/>
    </row>
    <row r="30947">
      <c r="S30947" s="27"/>
      <c r="T30947" s="27"/>
      <c r="U30947" s="27"/>
    </row>
    <row r="30948">
      <c r="S30948" s="27"/>
      <c r="T30948" s="27"/>
      <c r="U30948" s="27"/>
    </row>
    <row r="30950">
      <c r="S30950" s="27"/>
      <c r="T30950" s="27"/>
      <c r="U30950" s="27"/>
    </row>
    <row r="30951">
      <c r="S30951" s="27"/>
      <c r="T30951" s="27"/>
      <c r="U30951" s="27"/>
    </row>
    <row r="30956">
      <c r="S30956" s="27"/>
      <c r="T30956" s="27"/>
      <c r="U30956" s="27"/>
    </row>
    <row r="30957">
      <c r="S30957" s="27"/>
      <c r="T30957" s="27"/>
      <c r="U30957" s="27"/>
    </row>
    <row r="30959">
      <c r="S30959" s="27"/>
      <c r="T30959" s="27"/>
      <c r="U30959" s="27"/>
    </row>
    <row r="30960">
      <c r="S30960" s="27"/>
      <c r="T30960" s="27"/>
      <c r="U30960" s="27"/>
    </row>
    <row r="30962">
      <c r="S30962" s="27"/>
      <c r="T30962" s="27"/>
      <c r="U30962" s="27"/>
    </row>
    <row r="30963">
      <c r="T30963" s="27"/>
      <c r="U30963" s="27"/>
    </row>
    <row r="30968">
      <c r="S30968" s="26"/>
      <c r="T30968" s="26"/>
      <c r="U30968" s="26"/>
    </row>
    <row r="30971">
      <c r="S30971" s="27"/>
      <c r="T30971" s="27"/>
      <c r="U30971" s="27"/>
    </row>
    <row r="30972">
      <c r="S30972" s="27"/>
      <c r="T30972" s="27"/>
      <c r="U30972" s="27"/>
    </row>
    <row r="30974">
      <c r="S30974" s="27"/>
      <c r="T30974" s="27"/>
      <c r="U30974" s="27"/>
    </row>
    <row r="30975">
      <c r="S30975" s="27"/>
      <c r="T30975" s="27"/>
      <c r="U30975" s="27"/>
    </row>
    <row r="30977">
      <c r="S30977" s="26"/>
      <c r="T30977" s="26"/>
      <c r="U30977" s="26"/>
    </row>
    <row r="30983">
      <c r="S30983" s="27"/>
      <c r="T30983" s="27"/>
      <c r="U30983" s="27"/>
    </row>
    <row r="30986">
      <c r="S30986" s="27"/>
      <c r="T30986" s="27"/>
      <c r="U30986" s="27"/>
    </row>
    <row r="30987">
      <c r="S30987" s="27"/>
      <c r="T30987" s="27"/>
      <c r="U30987" s="27"/>
    </row>
    <row r="30989">
      <c r="S30989" s="27"/>
      <c r="T30989" s="27"/>
      <c r="U30989" s="27"/>
    </row>
    <row r="30990">
      <c r="S30990" s="27"/>
      <c r="T30990" s="27"/>
      <c r="U30990" s="27"/>
    </row>
    <row r="30992">
      <c r="S30992" s="27"/>
      <c r="T30992" s="27"/>
      <c r="U30992" s="27"/>
    </row>
    <row r="30993">
      <c r="S30993" s="27"/>
      <c r="T30993" s="27"/>
      <c r="U30993" s="27"/>
    </row>
    <row r="30995">
      <c r="S30995" s="27"/>
      <c r="T30995" s="27"/>
      <c r="U30995" s="27"/>
    </row>
    <row r="30996">
      <c r="S30996" s="27"/>
      <c r="T30996" s="27"/>
      <c r="U30996" s="27"/>
    </row>
    <row r="30998">
      <c r="S30998" s="27"/>
      <c r="T30998" s="27"/>
      <c r="U30998" s="27"/>
    </row>
    <row r="30999">
      <c r="S30999" s="27"/>
      <c r="T30999" s="27"/>
      <c r="U30999" s="27"/>
    </row>
    <row r="31001">
      <c r="S31001" s="27"/>
      <c r="T31001" s="27"/>
      <c r="U31001" s="27"/>
    </row>
    <row r="31002">
      <c r="S31002" s="27"/>
      <c r="T31002" s="27"/>
      <c r="U31002" s="27"/>
    </row>
    <row r="31004">
      <c r="S31004" s="27"/>
      <c r="T31004" s="27"/>
      <c r="U31004" s="27"/>
    </row>
    <row r="31005">
      <c r="S31005" s="27"/>
      <c r="T31005" s="27"/>
      <c r="U31005" s="27"/>
    </row>
    <row r="31007">
      <c r="S31007" s="27"/>
      <c r="T31007" s="27"/>
      <c r="U31007" s="27"/>
    </row>
    <row r="31008">
      <c r="S31008" s="27"/>
      <c r="T31008" s="27"/>
      <c r="U31008" s="27"/>
    </row>
    <row r="31010">
      <c r="S31010" s="27"/>
      <c r="T31010" s="27"/>
      <c r="U31010" s="27"/>
    </row>
    <row r="31011">
      <c r="S31011" s="27"/>
      <c r="T31011" s="27"/>
      <c r="U31011" s="27"/>
    </row>
    <row r="31013">
      <c r="S31013" s="27"/>
      <c r="T31013" s="27"/>
      <c r="U31013" s="27"/>
    </row>
    <row r="31014">
      <c r="S31014" s="27"/>
      <c r="T31014" s="27"/>
      <c r="U31014" s="27"/>
    </row>
    <row r="31016">
      <c r="S31016" s="27"/>
      <c r="T31016" s="27"/>
      <c r="U31016" s="27"/>
    </row>
    <row r="31017">
      <c r="S31017" s="27"/>
      <c r="T31017" s="27"/>
      <c r="U31017" s="27"/>
    </row>
    <row r="31019">
      <c r="S31019" s="27"/>
      <c r="T31019" s="27"/>
      <c r="U31019" s="27"/>
    </row>
    <row r="31020">
      <c r="S31020" s="27"/>
      <c r="T31020" s="27"/>
      <c r="U31020" s="27"/>
    </row>
    <row r="31022">
      <c r="S31022" s="27"/>
      <c r="T31022" s="27"/>
      <c r="U31022" s="27"/>
    </row>
    <row r="31023">
      <c r="S31023" s="27"/>
      <c r="T31023" s="27"/>
      <c r="U31023" s="27"/>
    </row>
    <row r="31025">
      <c r="S31025" s="27"/>
      <c r="T31025" s="27"/>
      <c r="U31025" s="27"/>
    </row>
    <row r="31026">
      <c r="S31026" s="27"/>
      <c r="T31026" s="27"/>
      <c r="U31026" s="27"/>
    </row>
    <row r="31028">
      <c r="S31028" s="27"/>
      <c r="T31028" s="27"/>
      <c r="U31028" s="27"/>
    </row>
    <row r="31029">
      <c r="S31029" s="27"/>
      <c r="T31029" s="27"/>
      <c r="U31029" s="27"/>
    </row>
    <row r="31031">
      <c r="S31031" s="27"/>
      <c r="T31031" s="27"/>
      <c r="U31031" s="27"/>
    </row>
    <row r="31032">
      <c r="S31032" s="27"/>
      <c r="T31032" s="27"/>
      <c r="U31032" s="27"/>
    </row>
    <row r="31034">
      <c r="S31034" s="27"/>
      <c r="T31034" s="27"/>
      <c r="U31034" s="27"/>
    </row>
    <row r="31035">
      <c r="S31035" s="27"/>
      <c r="T31035" s="27"/>
      <c r="U31035" s="27"/>
    </row>
    <row r="31037">
      <c r="S31037" s="27"/>
      <c r="T31037" s="27"/>
      <c r="U31037" s="27"/>
    </row>
    <row r="31038">
      <c r="S31038" s="27"/>
      <c r="T31038" s="27"/>
      <c r="U31038" s="27"/>
    </row>
    <row r="31040">
      <c r="S31040" s="27"/>
      <c r="T31040" s="27"/>
      <c r="U31040" s="27"/>
    </row>
    <row r="31041">
      <c r="S31041" s="27"/>
      <c r="T31041" s="27"/>
      <c r="U31041" s="27"/>
    </row>
    <row r="31043">
      <c r="S31043" s="27"/>
      <c r="T31043" s="27"/>
      <c r="U31043" s="27"/>
    </row>
    <row r="31044">
      <c r="S31044" s="27"/>
      <c r="T31044" s="27"/>
      <c r="U31044" s="27"/>
    </row>
    <row r="31046">
      <c r="S31046" s="27"/>
      <c r="T31046" s="27"/>
      <c r="U31046" s="27"/>
    </row>
    <row r="31047">
      <c r="S31047" s="27"/>
      <c r="T31047" s="27"/>
      <c r="U31047" s="27"/>
    </row>
    <row r="31049">
      <c r="S31049" s="27"/>
      <c r="T31049" s="27"/>
      <c r="U31049" s="27"/>
    </row>
    <row r="31050">
      <c r="S31050" s="27"/>
      <c r="T31050" s="27"/>
      <c r="U31050" s="27"/>
    </row>
    <row r="31052">
      <c r="S31052" s="27"/>
      <c r="T31052" s="27"/>
      <c r="U31052" s="27"/>
    </row>
    <row r="31053">
      <c r="S31053" s="27"/>
      <c r="T31053" s="27"/>
      <c r="U31053" s="27"/>
    </row>
    <row r="31055">
      <c r="S31055" s="27"/>
      <c r="T31055" s="27"/>
      <c r="U31055" s="27"/>
    </row>
    <row r="31056">
      <c r="S31056" s="27"/>
      <c r="T31056" s="27"/>
      <c r="U31056" s="27"/>
    </row>
    <row r="31061">
      <c r="S31061" s="27"/>
      <c r="T31061" s="27"/>
      <c r="U31061" s="27"/>
    </row>
    <row r="31062">
      <c r="S31062" s="27"/>
      <c r="T31062" s="27"/>
      <c r="U31062" s="27"/>
    </row>
    <row r="31064">
      <c r="S31064" s="27"/>
      <c r="T31064" s="27"/>
      <c r="U31064" s="27"/>
    </row>
    <row r="31067">
      <c r="S31067" s="33"/>
      <c r="T31067" s="27"/>
    </row>
    <row r="31068">
      <c r="S31068" s="27"/>
    </row>
    <row r="31070">
      <c r="S31070" s="27"/>
      <c r="T31070" s="27"/>
      <c r="U31070" s="27"/>
    </row>
    <row r="31071">
      <c r="S31071" s="27"/>
      <c r="T31071" s="27"/>
      <c r="U31071" s="27"/>
    </row>
    <row r="31073">
      <c r="S31073" s="27"/>
      <c r="T31073" s="27"/>
      <c r="U31073" s="27"/>
    </row>
    <row r="31076">
      <c r="S31076" s="27"/>
      <c r="T31076" s="27"/>
      <c r="U31076" s="27"/>
    </row>
    <row r="31077">
      <c r="S31077" s="27"/>
      <c r="T31077" s="27"/>
      <c r="U31077" s="27"/>
    </row>
    <row r="31080">
      <c r="S31080" s="27"/>
      <c r="T31080" s="27"/>
      <c r="U31080" s="27"/>
    </row>
    <row r="31082">
      <c r="S31082" s="27"/>
      <c r="T31082" s="27"/>
      <c r="U31082" s="27"/>
    </row>
    <row r="31083">
      <c r="S31083" s="27"/>
      <c r="T31083" s="27"/>
      <c r="U31083" s="27"/>
    </row>
    <row r="31085">
      <c r="S31085" s="26"/>
      <c r="T31085" s="26"/>
      <c r="U31085" s="26"/>
    </row>
    <row r="31088">
      <c r="U31088" s="26"/>
    </row>
    <row r="31091">
      <c r="S31091" s="27"/>
      <c r="T31091" s="27"/>
      <c r="U31091" s="27"/>
    </row>
    <row r="31093">
      <c r="S31093" s="27"/>
      <c r="T31093" s="27"/>
      <c r="U31093" s="27"/>
    </row>
    <row r="31095">
      <c r="S31095" s="26"/>
      <c r="T31095" s="26"/>
      <c r="U31095" s="26"/>
    </row>
    <row r="31098">
      <c r="S31098" s="27"/>
      <c r="T31098" s="27"/>
      <c r="U31098" s="27"/>
    </row>
    <row r="31101">
      <c r="S31101" s="27"/>
      <c r="T31101" s="27"/>
      <c r="U31101" s="27"/>
    </row>
    <row r="31102">
      <c r="S31102" s="27"/>
      <c r="T31102" s="27"/>
      <c r="U31102" s="27"/>
    </row>
    <row r="31104">
      <c r="S31104" s="27"/>
      <c r="T31104" s="27"/>
      <c r="U31104" s="27"/>
    </row>
    <row r="31105">
      <c r="S31105" s="27"/>
      <c r="T31105" s="27"/>
      <c r="U31105" s="27"/>
    </row>
    <row r="31107">
      <c r="S31107" s="27"/>
      <c r="U31107" s="27"/>
    </row>
    <row r="31108">
      <c r="U31108" s="27"/>
    </row>
    <row r="31110">
      <c r="S31110" s="27"/>
      <c r="T31110" s="27"/>
      <c r="U31110" s="27"/>
    </row>
    <row r="31111">
      <c r="S31111" s="27"/>
      <c r="T31111" s="27"/>
      <c r="U31111" s="27"/>
    </row>
    <row r="31113">
      <c r="S31113" s="27"/>
      <c r="T31113" s="27"/>
      <c r="U31113" s="27"/>
    </row>
    <row r="31114">
      <c r="S31114" s="27"/>
      <c r="T31114" s="27"/>
      <c r="U31114" s="27"/>
    </row>
    <row r="31119">
      <c r="S31119" s="27"/>
      <c r="T31119" s="27"/>
      <c r="U31119" s="27"/>
    </row>
    <row r="31120">
      <c r="S31120" s="27"/>
      <c r="T31120" s="27"/>
      <c r="U31120" s="27"/>
    </row>
    <row r="31122">
      <c r="S31122" s="27"/>
      <c r="T31122" s="27"/>
      <c r="U31122" s="27"/>
    </row>
    <row r="31123">
      <c r="S31123" s="27"/>
      <c r="T31123" s="27"/>
      <c r="U31123" s="27"/>
    </row>
    <row r="31125">
      <c r="S31125" s="27"/>
      <c r="T31125" s="27"/>
      <c r="U31125" s="27"/>
    </row>
    <row r="31126">
      <c r="S31126" s="27"/>
      <c r="T31126" s="27"/>
      <c r="U31126" s="27"/>
    </row>
    <row r="31128">
      <c r="S31128" s="33"/>
      <c r="T31128" s="27"/>
      <c r="U31128" s="33"/>
    </row>
    <row r="31134">
      <c r="S31134" s="27"/>
      <c r="T31134" s="27"/>
      <c r="U31134" s="27"/>
    </row>
    <row r="31137">
      <c r="S31137" s="33"/>
      <c r="T31137" s="33"/>
      <c r="U31137" s="33"/>
    </row>
    <row r="31138">
      <c r="S31138" s="33"/>
      <c r="T31138" s="33"/>
      <c r="U31138" s="27"/>
    </row>
    <row r="31140">
      <c r="S31140" s="27"/>
    </row>
    <row r="31141">
      <c r="S31141" s="26"/>
      <c r="T31141" s="26"/>
      <c r="U31141" s="26"/>
    </row>
    <row r="31143">
      <c r="S31143" s="27"/>
      <c r="T31143" s="27"/>
      <c r="U31143" s="27"/>
    </row>
    <row r="31144">
      <c r="S31144" s="27"/>
      <c r="T31144" s="27"/>
      <c r="U31144" s="27"/>
    </row>
    <row r="31146">
      <c r="S31146" s="27"/>
      <c r="T31146" s="27"/>
      <c r="U31146" s="27"/>
    </row>
    <row r="31147">
      <c r="S31147" s="27"/>
      <c r="T31147" s="27"/>
      <c r="U31147" s="27"/>
    </row>
    <row r="31149">
      <c r="S31149" s="27"/>
      <c r="T31149" s="27"/>
      <c r="U31149" s="27"/>
    </row>
    <row r="31150">
      <c r="S31150" s="27"/>
      <c r="T31150" s="27"/>
      <c r="U31150" s="27"/>
    </row>
    <row r="31152">
      <c r="S31152" s="27"/>
      <c r="T31152" s="27"/>
      <c r="U31152" s="27"/>
    </row>
    <row r="31153">
      <c r="S31153" s="27"/>
      <c r="T31153" s="27"/>
      <c r="U31153" s="27"/>
    </row>
    <row r="31158">
      <c r="S31158" s="27"/>
      <c r="T31158" s="27"/>
      <c r="U31158" s="27"/>
    </row>
    <row r="31159">
      <c r="S31159" s="27"/>
      <c r="T31159" s="27"/>
      <c r="U31159" s="27"/>
    </row>
    <row r="31161">
      <c r="S31161" s="27"/>
      <c r="T31161" s="27"/>
      <c r="U31161" s="27"/>
    </row>
    <row r="31162">
      <c r="S31162" s="27"/>
      <c r="T31162" s="27"/>
      <c r="U31162" s="27"/>
    </row>
    <row r="31164">
      <c r="S31164" s="27"/>
      <c r="T31164" s="27"/>
      <c r="U31164" s="27"/>
    </row>
    <row r="31167">
      <c r="S31167" s="27"/>
      <c r="T31167" s="27"/>
      <c r="U31167" s="27"/>
    </row>
    <row r="31168">
      <c r="S31168" s="27"/>
      <c r="T31168" s="27"/>
      <c r="U31168" s="27"/>
    </row>
    <row r="31170">
      <c r="S31170" s="27"/>
      <c r="T31170" s="27"/>
      <c r="U31170" s="27"/>
    </row>
    <row r="31171">
      <c r="S31171" s="27"/>
      <c r="T31171" s="27"/>
      <c r="U31171" s="27"/>
    </row>
    <row r="31173">
      <c r="S31173" s="27"/>
      <c r="T31173" s="27"/>
      <c r="U31173" s="27"/>
    </row>
    <row r="31174">
      <c r="S31174" s="27"/>
      <c r="T31174" s="27"/>
      <c r="U31174" s="27"/>
    </row>
    <row r="31183">
      <c r="S31183" s="27"/>
      <c r="T31183" s="27"/>
      <c r="U31183" s="27"/>
    </row>
    <row r="31187">
      <c r="S31187" s="27"/>
      <c r="T31187" s="27"/>
      <c r="U31187" s="27"/>
    </row>
    <row r="31189">
      <c r="S31189" s="27"/>
      <c r="T31189" s="27"/>
      <c r="U31189" s="27"/>
    </row>
    <row r="31190">
      <c r="S31190" s="27"/>
      <c r="T31190" s="27"/>
      <c r="U31190" s="27"/>
    </row>
    <row r="31192">
      <c r="S31192" s="27"/>
      <c r="T31192" s="27"/>
      <c r="U31192" s="27"/>
    </row>
    <row r="31193">
      <c r="S31193" s="27"/>
      <c r="T31193" s="27"/>
      <c r="U31193" s="27"/>
    </row>
    <row r="31195">
      <c r="S31195" s="27"/>
    </row>
    <row r="31196">
      <c r="T31196" s="26"/>
      <c r="U31196" s="26"/>
    </row>
    <row r="31198">
      <c r="S31198" s="27"/>
      <c r="T31198" s="27"/>
      <c r="U31198" s="27"/>
    </row>
    <row r="31199">
      <c r="S31199" s="27"/>
      <c r="T31199" s="27"/>
      <c r="U31199" s="27"/>
    </row>
    <row r="31201">
      <c r="S31201" s="27"/>
      <c r="T31201" s="27"/>
      <c r="U31201" s="27"/>
    </row>
    <row r="31202">
      <c r="S31202" s="27"/>
      <c r="T31202" s="27"/>
      <c r="U31202" s="27"/>
    </row>
    <row r="31204">
      <c r="S31204" s="27"/>
      <c r="T31204" s="27"/>
      <c r="U31204" s="27"/>
    </row>
    <row r="31207">
      <c r="S31207" s="27"/>
      <c r="T31207" s="27"/>
      <c r="U31207" s="27"/>
    </row>
    <row r="31208">
      <c r="S31208" s="27"/>
      <c r="T31208" s="27"/>
      <c r="U31208" s="27"/>
    </row>
    <row r="31210">
      <c r="S31210" s="27"/>
      <c r="T31210" s="27"/>
      <c r="U31210" s="27"/>
    </row>
    <row r="31211">
      <c r="S31211" s="27"/>
      <c r="T31211" s="27"/>
      <c r="U31211" s="27"/>
    </row>
    <row r="31213">
      <c r="S31213" s="27"/>
      <c r="T31213" s="27"/>
      <c r="U31213" s="27"/>
    </row>
    <row r="31214">
      <c r="S31214" s="27"/>
      <c r="T31214" s="27"/>
      <c r="U31214" s="27"/>
    </row>
    <row r="31216">
      <c r="S31216" s="27"/>
      <c r="T31216" s="27"/>
      <c r="U31216" s="27"/>
    </row>
    <row r="31217">
      <c r="S31217" s="27"/>
      <c r="T31217" s="27"/>
      <c r="U31217" s="27"/>
    </row>
    <row r="31219">
      <c r="S31219" s="27"/>
      <c r="T31219" s="27"/>
      <c r="U31219" s="27"/>
    </row>
    <row r="31220">
      <c r="S31220" s="27"/>
      <c r="T31220" s="27"/>
      <c r="U31220" s="27"/>
    </row>
    <row r="31222">
      <c r="S31222" s="27"/>
      <c r="T31222" s="27"/>
      <c r="U31222" s="27"/>
    </row>
    <row r="31223">
      <c r="S31223" s="27"/>
      <c r="T31223" s="27"/>
      <c r="U31223" s="27"/>
    </row>
    <row r="31225">
      <c r="S31225" s="27"/>
      <c r="T31225" s="27"/>
      <c r="U31225" s="27"/>
    </row>
    <row r="31226">
      <c r="S31226" s="27"/>
      <c r="T31226" s="27"/>
      <c r="U31226" s="27"/>
    </row>
    <row r="31228">
      <c r="S31228" s="27"/>
      <c r="T31228" s="27"/>
      <c r="U31228" s="27"/>
    </row>
    <row r="31229">
      <c r="S31229" s="27"/>
      <c r="T31229" s="27"/>
      <c r="U31229" s="27"/>
    </row>
    <row r="31231">
      <c r="S31231" s="27"/>
      <c r="T31231" s="27"/>
      <c r="U31231" s="27"/>
    </row>
    <row r="31232">
      <c r="S31232" s="27"/>
      <c r="T31232" s="27"/>
      <c r="U31232" s="27"/>
    </row>
    <row r="31234">
      <c r="S31234" s="27"/>
      <c r="T31234" s="27"/>
      <c r="U31234" s="27"/>
    </row>
    <row r="31235">
      <c r="S31235" s="27"/>
      <c r="T31235" s="27"/>
      <c r="U31235" s="27"/>
    </row>
    <row r="31237">
      <c r="S31237" s="27"/>
      <c r="T31237" s="27"/>
      <c r="U31237" s="27"/>
    </row>
    <row r="31238">
      <c r="S31238" s="27"/>
      <c r="T31238" s="27"/>
      <c r="U31238" s="27"/>
    </row>
    <row r="31240">
      <c r="S31240" s="27"/>
      <c r="T31240" s="27"/>
      <c r="U31240" s="27"/>
    </row>
    <row r="31241">
      <c r="S31241" s="27"/>
      <c r="T31241" s="27"/>
      <c r="U31241" s="27"/>
    </row>
    <row r="31243">
      <c r="S31243" s="27"/>
      <c r="T31243" s="27"/>
      <c r="U31243" s="27"/>
    </row>
    <row r="31244">
      <c r="S31244" s="27"/>
      <c r="T31244" s="27"/>
      <c r="U31244" s="27"/>
    </row>
    <row r="31246">
      <c r="S31246" s="27"/>
      <c r="T31246" s="27"/>
      <c r="U31246" s="27"/>
    </row>
    <row r="31247">
      <c r="S31247" s="27"/>
      <c r="T31247" s="27"/>
      <c r="U31247" s="27"/>
    </row>
    <row r="31249">
      <c r="S31249" s="27"/>
      <c r="T31249" s="27"/>
      <c r="U31249" s="27"/>
    </row>
    <row r="31250">
      <c r="S31250" s="27"/>
      <c r="T31250" s="27"/>
      <c r="U31250" s="27"/>
    </row>
    <row r="31252">
      <c r="S31252" s="27"/>
      <c r="T31252" s="27"/>
      <c r="U31252" s="27"/>
    </row>
    <row r="31253">
      <c r="S31253" s="27"/>
      <c r="T31253" s="27"/>
      <c r="U31253" s="27"/>
    </row>
    <row r="31255">
      <c r="S31255" s="27"/>
      <c r="T31255" s="27"/>
      <c r="U31255" s="27"/>
    </row>
    <row r="31256">
      <c r="S31256" s="27"/>
      <c r="T31256" s="27"/>
      <c r="U31256" s="27"/>
    </row>
    <row r="31258">
      <c r="S31258" s="27"/>
      <c r="T31258" s="27"/>
      <c r="U31258" s="27"/>
    </row>
    <row r="31259">
      <c r="S31259" s="27"/>
      <c r="T31259" s="27"/>
      <c r="U31259" s="27"/>
    </row>
    <row r="31261">
      <c r="S31261" s="27"/>
      <c r="T31261" s="27"/>
      <c r="U31261" s="27"/>
    </row>
    <row r="31262">
      <c r="S31262" s="27"/>
      <c r="T31262" s="27"/>
      <c r="U31262" s="27"/>
    </row>
    <row r="31264">
      <c r="S31264" s="27"/>
      <c r="T31264" s="27"/>
      <c r="U31264" s="27"/>
    </row>
    <row r="31265">
      <c r="S31265" s="27"/>
      <c r="T31265" s="27"/>
      <c r="U31265" s="27"/>
    </row>
    <row r="31267">
      <c r="S31267" s="27"/>
      <c r="T31267" s="27"/>
      <c r="U31267" s="27"/>
    </row>
    <row r="31268">
      <c r="S31268" s="27"/>
      <c r="T31268" s="27"/>
      <c r="U31268" s="27"/>
    </row>
    <row r="31270">
      <c r="S31270" s="27"/>
      <c r="T31270" s="27"/>
      <c r="U31270" s="27"/>
    </row>
    <row r="31271">
      <c r="S31271" s="27"/>
      <c r="T31271" s="27"/>
      <c r="U31271" s="27"/>
    </row>
    <row r="31273">
      <c r="S31273" s="27"/>
      <c r="T31273" s="27"/>
      <c r="U31273" s="27"/>
    </row>
    <row r="31274">
      <c r="S31274" s="27"/>
      <c r="T31274" s="27"/>
      <c r="U31274" s="27"/>
    </row>
    <row r="31276">
      <c r="S31276" s="27"/>
      <c r="T31276" s="27"/>
      <c r="U31276" s="27"/>
    </row>
    <row r="31277">
      <c r="S31277" s="27"/>
      <c r="T31277" s="27"/>
      <c r="U31277" s="27"/>
    </row>
    <row r="31279">
      <c r="S31279" s="27"/>
      <c r="T31279" s="27"/>
      <c r="U31279" s="27"/>
    </row>
    <row r="31280">
      <c r="S31280" s="27"/>
      <c r="T31280" s="27"/>
      <c r="U31280" s="27"/>
    </row>
    <row r="31282">
      <c r="S31282" s="27"/>
      <c r="T31282" s="27"/>
      <c r="U31282" s="27"/>
    </row>
    <row r="31283">
      <c r="S31283" s="27"/>
      <c r="T31283" s="27"/>
      <c r="U31283" s="27"/>
    </row>
    <row r="31285">
      <c r="S31285" s="27"/>
      <c r="T31285" s="27"/>
      <c r="U31285" s="27"/>
    </row>
    <row r="31286">
      <c r="S31286" s="27"/>
      <c r="T31286" s="27"/>
      <c r="U31286" s="27"/>
    </row>
    <row r="31288">
      <c r="S31288" s="27"/>
      <c r="T31288" s="27"/>
      <c r="U31288" s="27"/>
    </row>
    <row r="31289">
      <c r="S31289" s="27"/>
      <c r="T31289" s="27"/>
      <c r="U31289" s="27"/>
    </row>
    <row r="31291">
      <c r="S31291" s="27"/>
      <c r="T31291" s="27"/>
      <c r="U31291" s="27"/>
    </row>
    <row r="31292">
      <c r="S31292" s="27"/>
      <c r="T31292" s="27"/>
      <c r="U31292" s="27"/>
    </row>
    <row r="31294">
      <c r="S31294" s="27"/>
      <c r="T31294" s="27"/>
      <c r="U31294" s="27"/>
    </row>
    <row r="31296">
      <c r="S31296" s="27"/>
      <c r="T31296" s="27"/>
      <c r="U31296" s="27"/>
    </row>
    <row r="31297">
      <c r="S31297" s="27"/>
      <c r="T31297" s="27"/>
      <c r="U31297" s="27"/>
    </row>
    <row r="31299">
      <c r="S31299" s="27"/>
      <c r="T31299" s="27"/>
      <c r="U31299" s="27"/>
    </row>
    <row r="31300">
      <c r="S31300" s="27"/>
      <c r="T31300" s="27"/>
      <c r="U31300" s="27"/>
    </row>
    <row r="31302">
      <c r="S31302" s="27"/>
      <c r="T31302" s="27"/>
      <c r="U31302" s="27"/>
    </row>
    <row r="31303">
      <c r="S31303" s="27"/>
      <c r="T31303" s="27"/>
      <c r="U31303" s="27"/>
    </row>
    <row r="31305">
      <c r="S31305" s="27"/>
      <c r="T31305" s="27"/>
      <c r="U31305" s="27"/>
    </row>
    <row r="31306">
      <c r="S31306" s="27"/>
      <c r="T31306" s="27"/>
      <c r="U31306" s="27"/>
    </row>
    <row r="31308">
      <c r="S31308" s="27"/>
      <c r="T31308" s="27"/>
      <c r="U31308" s="27"/>
    </row>
    <row r="31309">
      <c r="S31309" s="27"/>
      <c r="T31309" s="27"/>
      <c r="U31309" s="27"/>
    </row>
    <row r="31311">
      <c r="S31311" s="27"/>
      <c r="T31311" s="27"/>
      <c r="U31311" s="27"/>
    </row>
    <row r="31312">
      <c r="S31312" s="27"/>
      <c r="T31312" s="27"/>
      <c r="U31312" s="27"/>
    </row>
    <row r="31314">
      <c r="S31314" s="27"/>
      <c r="T31314" s="27"/>
      <c r="U31314" s="27"/>
    </row>
    <row r="31315">
      <c r="S31315" s="27"/>
      <c r="T31315" s="27"/>
      <c r="U31315" s="27"/>
    </row>
    <row r="31317">
      <c r="S31317" s="27"/>
      <c r="T31317" s="27"/>
      <c r="U31317" s="27"/>
    </row>
    <row r="31319">
      <c r="S31319" s="27"/>
      <c r="T31319" s="27"/>
      <c r="U31319" s="27"/>
    </row>
    <row r="31321">
      <c r="S31321" s="27"/>
      <c r="T31321" s="27"/>
      <c r="U31321" s="27"/>
    </row>
    <row r="31323">
      <c r="S31323" s="27"/>
      <c r="T31323" s="27"/>
      <c r="U31323" s="27"/>
    </row>
    <row r="31325">
      <c r="T31325" s="27"/>
      <c r="U31325" s="27"/>
    </row>
    <row r="31326">
      <c r="S31326" s="27"/>
      <c r="T31326" s="27"/>
      <c r="U31326" s="27"/>
    </row>
    <row r="31328">
      <c r="S31328" s="27"/>
      <c r="T31328" s="27"/>
      <c r="U31328" s="27"/>
    </row>
    <row r="31329">
      <c r="S31329" s="27"/>
      <c r="T31329" s="27"/>
      <c r="U31329" s="27"/>
    </row>
    <row r="31331">
      <c r="S31331" s="27"/>
      <c r="T31331" s="27"/>
      <c r="U31331" s="27"/>
    </row>
    <row r="31332">
      <c r="S31332" s="27"/>
      <c r="T31332" s="27"/>
      <c r="U31332" s="27"/>
    </row>
    <row r="31334">
      <c r="S31334" s="27"/>
      <c r="T31334" s="27"/>
      <c r="U31334" s="27"/>
    </row>
    <row r="31335">
      <c r="S31335" s="27"/>
      <c r="T31335" s="27"/>
      <c r="U31335" s="27"/>
    </row>
    <row r="31338">
      <c r="S31338" s="27"/>
      <c r="T31338" s="27"/>
      <c r="U31338" s="27"/>
    </row>
    <row r="31339">
      <c r="S31339" s="27"/>
      <c r="T31339" s="27"/>
      <c r="U31339" s="27"/>
    </row>
    <row r="31341">
      <c r="S31341" s="27"/>
      <c r="T31341" s="27"/>
      <c r="U31341" s="27"/>
    </row>
    <row r="31342">
      <c r="S31342" s="27"/>
      <c r="T31342" s="27"/>
      <c r="U31342" s="27"/>
    </row>
    <row r="31344">
      <c r="S31344" s="26"/>
    </row>
    <row r="31347">
      <c r="S31347" s="27"/>
      <c r="T31347" s="33"/>
      <c r="U31347" s="33"/>
    </row>
    <row r="31348">
      <c r="T31348" s="26"/>
      <c r="U31348" s="26"/>
    </row>
    <row r="31350">
      <c r="S31350" s="27"/>
      <c r="T31350" s="27"/>
      <c r="U31350" s="27"/>
    </row>
    <row r="31351">
      <c r="S31351" s="27"/>
      <c r="T31351" s="27"/>
      <c r="U31351" s="27"/>
    </row>
    <row r="31353">
      <c r="S31353" s="27"/>
      <c r="T31353" s="27"/>
      <c r="U31353" s="27"/>
    </row>
    <row r="31354">
      <c r="S31354" s="27"/>
      <c r="T31354" s="27"/>
      <c r="U31354" s="27"/>
    </row>
    <row r="31356">
      <c r="S31356" s="27"/>
      <c r="T31356" s="27"/>
      <c r="U31356" s="27"/>
    </row>
    <row r="31357">
      <c r="S31357" s="27"/>
      <c r="T31357" s="27"/>
      <c r="U31357" s="27"/>
    </row>
    <row r="31359">
      <c r="S31359" s="26"/>
      <c r="T31359" s="26"/>
    </row>
    <row r="31362">
      <c r="S31362" s="27"/>
      <c r="T31362" s="27"/>
      <c r="U31362" s="27"/>
    </row>
    <row r="31363">
      <c r="S31363" s="27"/>
      <c r="T31363" s="27"/>
      <c r="U31363" s="27"/>
    </row>
    <row r="31365">
      <c r="S31365" s="27"/>
      <c r="T31365" s="27"/>
      <c r="U31365" s="27"/>
    </row>
    <row r="31366">
      <c r="S31366" s="27"/>
      <c r="T31366" s="27"/>
      <c r="U31366" s="27"/>
    </row>
    <row r="31368">
      <c r="S31368" s="27"/>
    </row>
    <row r="31369">
      <c r="S31369" s="27"/>
      <c r="U31369" s="27"/>
    </row>
    <row r="31374">
      <c r="S31374" s="26"/>
      <c r="T31374" s="26"/>
      <c r="U31374" s="26"/>
    </row>
    <row r="31377">
      <c r="S31377" s="27"/>
      <c r="T31377" s="27"/>
      <c r="U31377" s="27"/>
    </row>
    <row r="31378">
      <c r="S31378" s="27"/>
      <c r="T31378" s="27"/>
      <c r="U31378" s="27"/>
    </row>
    <row r="31380">
      <c r="S31380" s="27"/>
      <c r="T31380" s="27"/>
      <c r="U31380" s="27"/>
    </row>
    <row r="31381">
      <c r="S31381" s="27"/>
      <c r="T31381" s="27"/>
      <c r="U31381" s="27"/>
    </row>
    <row r="31383">
      <c r="S31383" s="27"/>
      <c r="T31383" s="27"/>
      <c r="U31383" s="27"/>
    </row>
    <row r="31386">
      <c r="T31386" s="26"/>
      <c r="U31386" s="26"/>
    </row>
    <row r="31389">
      <c r="S31389" s="27"/>
      <c r="T31389" s="27"/>
      <c r="U31389" s="27"/>
    </row>
    <row r="31392">
      <c r="S31392" s="27"/>
      <c r="T31392" s="27"/>
      <c r="U31392" s="27"/>
    </row>
    <row r="31393">
      <c r="S31393" s="27"/>
      <c r="T31393" s="27"/>
      <c r="U31393" s="27"/>
    </row>
    <row r="31395">
      <c r="S31395" s="27"/>
      <c r="T31395" s="27"/>
      <c r="U31395" s="27"/>
    </row>
    <row r="31396">
      <c r="S31396" s="27"/>
      <c r="T31396" s="27"/>
      <c r="U31396" s="27"/>
    </row>
    <row r="31398">
      <c r="S31398" s="27"/>
      <c r="T31398" s="27"/>
      <c r="U31398" s="27"/>
    </row>
    <row r="31399">
      <c r="S31399" s="27"/>
      <c r="T31399" s="27"/>
      <c r="U31399" s="27"/>
    </row>
    <row r="31401">
      <c r="S31401" s="27"/>
      <c r="T31401" s="27"/>
      <c r="U31401" s="27"/>
    </row>
    <row r="31402">
      <c r="S31402" s="27"/>
      <c r="T31402" s="27"/>
      <c r="U31402" s="27"/>
    </row>
    <row r="31404">
      <c r="S31404" s="27"/>
      <c r="T31404" s="27"/>
      <c r="U31404" s="27"/>
    </row>
    <row r="31405">
      <c r="S31405" s="27"/>
      <c r="T31405" s="27"/>
      <c r="U31405" s="27"/>
    </row>
    <row r="31407">
      <c r="S31407" s="27"/>
      <c r="T31407" s="27"/>
      <c r="U31407" s="27"/>
    </row>
    <row r="31408">
      <c r="S31408" s="27"/>
      <c r="T31408" s="27"/>
      <c r="U31408" s="27"/>
    </row>
    <row r="31410">
      <c r="S31410" s="27"/>
      <c r="T31410" s="27"/>
      <c r="U31410" s="27"/>
    </row>
    <row r="31411">
      <c r="S31411" s="27"/>
      <c r="T31411" s="27"/>
      <c r="U31411" s="27"/>
    </row>
    <row r="31413">
      <c r="S31413" s="27"/>
      <c r="T31413" s="27"/>
      <c r="U31413" s="27"/>
    </row>
    <row r="31414">
      <c r="S31414" s="27"/>
      <c r="T31414" s="27"/>
      <c r="U31414" s="27"/>
    </row>
    <row r="31416">
      <c r="S31416" s="27"/>
      <c r="T31416" s="27"/>
      <c r="U31416" s="27"/>
    </row>
    <row r="31417">
      <c r="S31417" s="27"/>
      <c r="T31417" s="27"/>
      <c r="U31417" s="27"/>
    </row>
    <row r="31419">
      <c r="S31419" s="27"/>
      <c r="T31419" s="27"/>
      <c r="U31419" s="27"/>
    </row>
    <row r="31420">
      <c r="S31420" s="27"/>
      <c r="T31420" s="27"/>
      <c r="U31420" s="27"/>
    </row>
    <row r="31422">
      <c r="S31422" s="27"/>
      <c r="T31422" s="27"/>
      <c r="U31422" s="27"/>
    </row>
    <row r="31423">
      <c r="S31423" s="27"/>
      <c r="T31423" s="27"/>
      <c r="U31423" s="27"/>
    </row>
    <row r="31425">
      <c r="S31425" s="27"/>
      <c r="T31425" s="27"/>
      <c r="U31425" s="27"/>
    </row>
    <row r="31426">
      <c r="S31426" s="27"/>
      <c r="T31426" s="27"/>
      <c r="U31426" s="27"/>
    </row>
    <row r="31428">
      <c r="S31428" s="27"/>
      <c r="T31428" s="27"/>
      <c r="U31428" s="27"/>
    </row>
    <row r="31429">
      <c r="S31429" s="27"/>
      <c r="T31429" s="27"/>
      <c r="U31429" s="27"/>
    </row>
    <row r="31431">
      <c r="S31431" s="27"/>
      <c r="T31431" s="27"/>
      <c r="U31431" s="27"/>
    </row>
    <row r="31432">
      <c r="S31432" s="27"/>
      <c r="T31432" s="27"/>
      <c r="U31432" s="27"/>
    </row>
    <row r="31434">
      <c r="S31434" s="27"/>
      <c r="T31434" s="27"/>
      <c r="U31434" s="27"/>
    </row>
    <row r="31435">
      <c r="S31435" s="27"/>
      <c r="T31435" s="27"/>
      <c r="U31435" s="27"/>
    </row>
    <row r="31437">
      <c r="S31437" s="27"/>
      <c r="T31437" s="27"/>
      <c r="U31437" s="27"/>
    </row>
    <row r="31438">
      <c r="S31438" s="27"/>
      <c r="T31438" s="27"/>
      <c r="U31438" s="27"/>
    </row>
    <row r="31440">
      <c r="S31440" s="27"/>
      <c r="T31440" s="27"/>
      <c r="U31440" s="27"/>
    </row>
    <row r="31441">
      <c r="S31441" s="27"/>
      <c r="T31441" s="27"/>
      <c r="U31441" s="27"/>
    </row>
    <row r="31443">
      <c r="S31443" s="27"/>
      <c r="T31443" s="27"/>
      <c r="U31443" s="27"/>
    </row>
    <row r="31444">
      <c r="S31444" s="27"/>
      <c r="T31444" s="27"/>
      <c r="U31444" s="27"/>
    </row>
    <row r="31446">
      <c r="S31446" s="27"/>
      <c r="T31446" s="27"/>
      <c r="U31446" s="27"/>
    </row>
    <row r="31447">
      <c r="S31447" s="27"/>
      <c r="T31447" s="27"/>
      <c r="U31447" s="27"/>
    </row>
    <row r="31449">
      <c r="S31449" s="27"/>
      <c r="T31449" s="27"/>
      <c r="U31449" s="27"/>
    </row>
    <row r="31450">
      <c r="S31450" s="27"/>
      <c r="T31450" s="27"/>
      <c r="U31450" s="27"/>
    </row>
    <row r="31452">
      <c r="S31452" s="27"/>
      <c r="T31452" s="27"/>
      <c r="U31452" s="27"/>
    </row>
    <row r="31453">
      <c r="S31453" s="27"/>
      <c r="T31453" s="27"/>
      <c r="U31453" s="27"/>
    </row>
    <row r="31455">
      <c r="S31455" s="27"/>
      <c r="T31455" s="27"/>
      <c r="U31455" s="27"/>
    </row>
    <row r="31456">
      <c r="S31456" s="27"/>
      <c r="T31456" s="27"/>
      <c r="U31456" s="27"/>
    </row>
    <row r="31458">
      <c r="S31458" s="27"/>
      <c r="T31458" s="27"/>
      <c r="U31458" s="27"/>
    </row>
    <row r="31459">
      <c r="S31459" s="27"/>
      <c r="T31459" s="27"/>
      <c r="U31459" s="27"/>
    </row>
    <row r="31461">
      <c r="S31461" s="27"/>
      <c r="T31461" s="27"/>
      <c r="U31461" s="27"/>
    </row>
    <row r="31462">
      <c r="S31462" s="27"/>
      <c r="T31462" s="27"/>
      <c r="U31462" s="27"/>
    </row>
    <row r="31464">
      <c r="S31464" s="27"/>
    </row>
    <row r="31465">
      <c r="S31465" s="27"/>
    </row>
    <row r="31467">
      <c r="S31467" s="34"/>
      <c r="T31467" s="34"/>
      <c r="U31467" s="27"/>
    </row>
    <row r="31468">
      <c r="U31468" s="27"/>
    </row>
    <row r="31470">
      <c r="S31470" s="27"/>
      <c r="T31470" s="27"/>
      <c r="U31470" s="27"/>
    </row>
    <row r="31476">
      <c r="S31476" s="27"/>
      <c r="T31476" s="27"/>
      <c r="U31476" s="27"/>
    </row>
    <row r="31477">
      <c r="S31477" s="27"/>
      <c r="T31477" s="27"/>
      <c r="U31477" s="27"/>
    </row>
    <row r="31479">
      <c r="S31479" s="27"/>
    </row>
    <row r="31483">
      <c r="S31483" s="27"/>
      <c r="T31483" s="27"/>
      <c r="U31483" s="27"/>
    </row>
    <row r="31484">
      <c r="S31484" s="27"/>
      <c r="T31484" s="27"/>
      <c r="U31484" s="27"/>
    </row>
    <row r="31486">
      <c r="S31486" s="27"/>
      <c r="T31486" s="27"/>
      <c r="U31486" s="27"/>
    </row>
    <row r="31487">
      <c r="S31487" s="27"/>
      <c r="T31487" s="27"/>
      <c r="U31487" s="27"/>
    </row>
    <row r="31492">
      <c r="S31492" s="26"/>
    </row>
    <row r="31495">
      <c r="T31495" s="27"/>
      <c r="U31495" s="27"/>
    </row>
    <row r="31497">
      <c r="S31497" s="27"/>
      <c r="T31497" s="27"/>
    </row>
    <row r="31500">
      <c r="U31500" s="27"/>
    </row>
    <row r="31503">
      <c r="S31503" s="27"/>
      <c r="T31503" s="27"/>
      <c r="U31503" s="27"/>
    </row>
    <row r="31504">
      <c r="S31504" s="27"/>
      <c r="T31504" s="27"/>
      <c r="U31504" s="27"/>
    </row>
    <row r="31506">
      <c r="S31506" s="27"/>
      <c r="T31506" s="27"/>
      <c r="U31506" s="27"/>
    </row>
    <row r="31507">
      <c r="S31507" s="27"/>
      <c r="T31507" s="27"/>
      <c r="U31507" s="27"/>
    </row>
    <row r="31509">
      <c r="S31509" s="27"/>
      <c r="T31509" s="27"/>
      <c r="U31509" s="27"/>
    </row>
    <row r="31510">
      <c r="U31510" s="27"/>
    </row>
    <row r="31512">
      <c r="S31512" s="27"/>
      <c r="T31512" s="27"/>
      <c r="U31512" s="27"/>
    </row>
    <row r="31513">
      <c r="S31513" s="27"/>
    </row>
    <row r="31515">
      <c r="S31515" s="27"/>
      <c r="T31515" s="27"/>
      <c r="U31515" s="27"/>
    </row>
    <row r="31516">
      <c r="S31516" s="27"/>
      <c r="T31516" s="27"/>
      <c r="U31516" s="27"/>
    </row>
    <row r="31521">
      <c r="S31521" s="27"/>
      <c r="T31521" s="27"/>
      <c r="U31521" s="27"/>
    </row>
    <row r="31522">
      <c r="S31522" s="27"/>
      <c r="T31522" s="27"/>
      <c r="U31522" s="27"/>
    </row>
    <row r="31524">
      <c r="S31524" s="27"/>
      <c r="T31524" s="27"/>
      <c r="U31524" s="27"/>
    </row>
    <row r="31525">
      <c r="S31525" s="27"/>
      <c r="T31525" s="27"/>
      <c r="U31525" s="27"/>
    </row>
    <row r="31527">
      <c r="S31527" s="27"/>
      <c r="T31527" s="27"/>
      <c r="U31527" s="27"/>
    </row>
    <row r="31528">
      <c r="S31528" s="27"/>
      <c r="T31528" s="27"/>
      <c r="U31528" s="27"/>
    </row>
    <row r="31533">
      <c r="S31533" s="27"/>
      <c r="T31533" s="27"/>
      <c r="U31533" s="27"/>
    </row>
    <row r="31536">
      <c r="S31536" s="27"/>
      <c r="T31536" s="27"/>
      <c r="U31536" s="27"/>
    </row>
    <row r="31537">
      <c r="S31537" s="33"/>
      <c r="T31537" s="33"/>
      <c r="U31537" s="33"/>
    </row>
    <row r="31542">
      <c r="S31542" s="27"/>
      <c r="T31542" s="27"/>
      <c r="U31542" s="27"/>
    </row>
    <row r="31543">
      <c r="S31543" s="27"/>
      <c r="T31543" s="27"/>
      <c r="U31543" s="27"/>
    </row>
    <row r="31545">
      <c r="S31545" s="27"/>
      <c r="T31545" s="27"/>
      <c r="U31545" s="27"/>
    </row>
    <row r="31546">
      <c r="S31546" s="27"/>
      <c r="T31546" s="27"/>
      <c r="U31546" s="27"/>
    </row>
    <row r="31548">
      <c r="S31548" s="27"/>
      <c r="T31548" s="27"/>
      <c r="U31548" s="27"/>
    </row>
    <row r="31549">
      <c r="S31549" s="27"/>
      <c r="T31549" s="27"/>
      <c r="U31549" s="27"/>
    </row>
    <row r="31551">
      <c r="S31551" s="27"/>
      <c r="T31551" s="27"/>
      <c r="U31551" s="27"/>
    </row>
    <row r="31552">
      <c r="S31552" s="27"/>
      <c r="T31552" s="27"/>
      <c r="U31552" s="27"/>
    </row>
    <row r="31557">
      <c r="S31557" s="27"/>
      <c r="T31557" s="33"/>
      <c r="U31557" s="27"/>
    </row>
    <row r="31558">
      <c r="S31558" s="27"/>
      <c r="T31558" s="27"/>
      <c r="U31558" s="27"/>
    </row>
    <row r="31560">
      <c r="S31560" s="27"/>
      <c r="T31560" s="27"/>
      <c r="U31560" s="27"/>
    </row>
    <row r="31561">
      <c r="S31561" s="27"/>
      <c r="T31561" s="27"/>
      <c r="U31561" s="27"/>
    </row>
    <row r="31563">
      <c r="S31563" s="27"/>
      <c r="T31563" s="27"/>
      <c r="U31563" s="27"/>
    </row>
    <row r="31566">
      <c r="S31566" s="27"/>
    </row>
    <row r="31567">
      <c r="S31567" s="27"/>
      <c r="T31567" s="27"/>
      <c r="U31567" s="27"/>
    </row>
    <row r="31569">
      <c r="S31569" s="27"/>
      <c r="T31569" s="27"/>
      <c r="U31569" s="27"/>
    </row>
    <row r="31570">
      <c r="S31570" s="27"/>
      <c r="T31570" s="27"/>
      <c r="U31570" s="27"/>
    </row>
    <row r="31572">
      <c r="S31572" s="27"/>
      <c r="T31572" s="27"/>
      <c r="U31572" s="27"/>
    </row>
    <row r="31573">
      <c r="S31573" s="27"/>
      <c r="T31573" s="27"/>
      <c r="U31573" s="27"/>
    </row>
    <row r="31575">
      <c r="S31575" s="27"/>
    </row>
    <row r="31578">
      <c r="S31578" s="27"/>
      <c r="T31578" s="27"/>
      <c r="U31578" s="27"/>
    </row>
    <row r="31579">
      <c r="S31579" s="27"/>
      <c r="T31579" s="27"/>
      <c r="U31579" s="27"/>
    </row>
    <row r="31584">
      <c r="S31584" s="27"/>
      <c r="T31584" s="27"/>
      <c r="U31584" s="27"/>
    </row>
    <row r="31587">
      <c r="S31587" s="27"/>
      <c r="T31587" s="27"/>
      <c r="U31587" s="27"/>
    </row>
    <row r="31588">
      <c r="S31588" s="27"/>
      <c r="T31588" s="27"/>
      <c r="U31588" s="27"/>
    </row>
    <row r="31590">
      <c r="S31590" s="27"/>
      <c r="T31590" s="27"/>
      <c r="U31590" s="27"/>
    </row>
    <row r="31591">
      <c r="S31591" s="27"/>
      <c r="T31591" s="27"/>
      <c r="U31591" s="27"/>
    </row>
    <row r="31593">
      <c r="S31593" s="27"/>
      <c r="T31593" s="27"/>
      <c r="U31593" s="27"/>
    </row>
    <row r="31594">
      <c r="S31594" s="27"/>
      <c r="T31594" s="27"/>
      <c r="U31594" s="27"/>
    </row>
    <row r="31596">
      <c r="S31596" s="26"/>
    </row>
    <row r="31597">
      <c r="T31597" s="26"/>
      <c r="U31597" s="26"/>
    </row>
    <row r="31599">
      <c r="S31599" s="27"/>
      <c r="T31599" s="27"/>
      <c r="U31599" s="27"/>
    </row>
    <row r="31600">
      <c r="S31600" s="27"/>
      <c r="T31600" s="27"/>
      <c r="U31600" s="27"/>
    </row>
    <row r="31602">
      <c r="S31602" s="27"/>
      <c r="T31602" s="27"/>
      <c r="U31602" s="27"/>
    </row>
    <row r="31603">
      <c r="S31603" s="27"/>
      <c r="T31603" s="27"/>
      <c r="U31603" s="27"/>
    </row>
    <row r="31605">
      <c r="S31605" s="27"/>
      <c r="T31605" s="27"/>
      <c r="U31605" s="27"/>
    </row>
    <row r="31606">
      <c r="S31606" s="27"/>
      <c r="T31606" s="27"/>
      <c r="U31606" s="27"/>
    </row>
    <row r="31608">
      <c r="S31608" s="27"/>
      <c r="T31608" s="27"/>
      <c r="U31608" s="27"/>
    </row>
    <row r="31609">
      <c r="S31609" s="27"/>
      <c r="T31609" s="27"/>
      <c r="U31609" s="27"/>
    </row>
    <row r="31611">
      <c r="S31611" s="27"/>
      <c r="T31611" s="27"/>
      <c r="U31611" s="27"/>
    </row>
    <row r="31612">
      <c r="S31612" s="27"/>
      <c r="T31612" s="27"/>
      <c r="U31612" s="27"/>
    </row>
    <row r="31614">
      <c r="S31614" s="27"/>
      <c r="T31614" s="27"/>
      <c r="U31614" s="27"/>
    </row>
    <row r="31615">
      <c r="S31615" s="27"/>
      <c r="T31615" s="27"/>
      <c r="U31615" s="27"/>
    </row>
    <row r="31617">
      <c r="S31617" s="27"/>
      <c r="T31617" s="27"/>
      <c r="U31617" s="27"/>
    </row>
    <row r="31618">
      <c r="S31618" s="27"/>
      <c r="T31618" s="27"/>
      <c r="U31618" s="27"/>
    </row>
    <row r="31620">
      <c r="S31620" s="27"/>
      <c r="T31620" s="27"/>
      <c r="U31620" s="27"/>
    </row>
    <row r="31621">
      <c r="S31621" s="27"/>
      <c r="T31621" s="27"/>
      <c r="U31621" s="27"/>
    </row>
    <row r="31623">
      <c r="S31623" s="27"/>
      <c r="T31623" s="27"/>
      <c r="U31623" s="27"/>
    </row>
    <row r="31624">
      <c r="S31624" s="27"/>
      <c r="T31624" s="27"/>
      <c r="U31624" s="27"/>
    </row>
    <row r="31626">
      <c r="S31626" s="27"/>
      <c r="T31626" s="27"/>
      <c r="U31626" s="27"/>
    </row>
    <row r="31627">
      <c r="S31627" s="27"/>
      <c r="T31627" s="27"/>
      <c r="U31627" s="27"/>
    </row>
    <row r="31629">
      <c r="S31629" s="27"/>
      <c r="T31629" s="27"/>
      <c r="U31629" s="27"/>
    </row>
    <row r="31630">
      <c r="S31630" s="27"/>
      <c r="T31630" s="27"/>
      <c r="U31630" s="27"/>
    </row>
    <row r="31632">
      <c r="S31632" s="27"/>
      <c r="T31632" s="27"/>
      <c r="U31632" s="27"/>
    </row>
    <row r="31633">
      <c r="S31633" s="27"/>
      <c r="T31633" s="27"/>
      <c r="U31633" s="27"/>
    </row>
    <row r="31635">
      <c r="S31635" s="27"/>
      <c r="T31635" s="27"/>
      <c r="U31635" s="27"/>
    </row>
    <row r="31636">
      <c r="S31636" s="27"/>
      <c r="T31636" s="27"/>
      <c r="U31636" s="27"/>
    </row>
    <row r="31638">
      <c r="S31638" s="27"/>
      <c r="T31638" s="27"/>
      <c r="U31638" s="27"/>
    </row>
    <row r="31639">
      <c r="S31639" s="27"/>
      <c r="T31639" s="27"/>
      <c r="U31639" s="27"/>
    </row>
    <row r="31641">
      <c r="S31641" s="27"/>
      <c r="T31641" s="27"/>
      <c r="U31641" s="27"/>
    </row>
    <row r="31642">
      <c r="S31642" s="27"/>
      <c r="T31642" s="27"/>
      <c r="U31642" s="27"/>
    </row>
    <row r="31644">
      <c r="S31644" s="27"/>
      <c r="T31644" s="27"/>
      <c r="U31644" s="27"/>
    </row>
    <row r="31645">
      <c r="S31645" s="27"/>
      <c r="T31645" s="27"/>
      <c r="U31645" s="27"/>
    </row>
    <row r="31647">
      <c r="S31647" s="27"/>
      <c r="T31647" s="27"/>
      <c r="U31647" s="27"/>
    </row>
    <row r="31648">
      <c r="S31648" s="27"/>
      <c r="T31648" s="27"/>
      <c r="U31648" s="27"/>
    </row>
    <row r="31650">
      <c r="S31650" s="27"/>
      <c r="T31650" s="27"/>
      <c r="U31650" s="27"/>
    </row>
    <row r="31651">
      <c r="S31651" s="27"/>
      <c r="T31651" s="27"/>
      <c r="U31651" s="27"/>
    </row>
    <row r="31653">
      <c r="S31653" s="27"/>
      <c r="T31653" s="27"/>
      <c r="U31653" s="27"/>
    </row>
    <row r="31654">
      <c r="S31654" s="27"/>
      <c r="T31654" s="27"/>
      <c r="U31654" s="27"/>
    </row>
    <row r="31656">
      <c r="S31656" s="27"/>
      <c r="T31656" s="27"/>
      <c r="U31656" s="27"/>
    </row>
    <row r="31657">
      <c r="S31657" s="27"/>
      <c r="T31657" s="27"/>
      <c r="U31657" s="27"/>
    </row>
    <row r="31659">
      <c r="S31659" s="27"/>
      <c r="T31659" s="27"/>
      <c r="U31659" s="27"/>
    </row>
    <row r="31660">
      <c r="S31660" s="27"/>
      <c r="T31660" s="27"/>
      <c r="U31660" s="27"/>
    </row>
    <row r="31662">
      <c r="S31662" s="27"/>
      <c r="T31662" s="27"/>
      <c r="U31662" s="27"/>
    </row>
    <row r="31663">
      <c r="S31663" s="27"/>
      <c r="T31663" s="27"/>
      <c r="U31663" s="27"/>
    </row>
    <row r="31665">
      <c r="S31665" s="27"/>
      <c r="T31665" s="27"/>
      <c r="U31665" s="27"/>
    </row>
    <row r="31666">
      <c r="S31666" s="27"/>
      <c r="T31666" s="27"/>
      <c r="U31666" s="27"/>
    </row>
    <row r="31668">
      <c r="S31668" s="27"/>
      <c r="T31668" s="27"/>
      <c r="U31668" s="27"/>
    </row>
    <row r="31669">
      <c r="S31669" s="27"/>
      <c r="T31669" s="27"/>
      <c r="U31669" s="27"/>
    </row>
    <row r="31671">
      <c r="S31671" s="27"/>
      <c r="T31671" s="27"/>
      <c r="U31671" s="27"/>
    </row>
    <row r="31672">
      <c r="S31672" s="27"/>
      <c r="T31672" s="27"/>
      <c r="U31672" s="27"/>
    </row>
    <row r="31674">
      <c r="S31674" s="27"/>
      <c r="T31674" s="27"/>
      <c r="U31674" s="27"/>
    </row>
    <row r="31675">
      <c r="S31675" s="27"/>
      <c r="T31675" s="27"/>
      <c r="U31675" s="27"/>
    </row>
    <row r="31677">
      <c r="S31677" s="27"/>
      <c r="T31677" s="27"/>
      <c r="U31677" s="27"/>
    </row>
    <row r="31678">
      <c r="S31678" s="27"/>
      <c r="T31678" s="27"/>
      <c r="U31678" s="27"/>
    </row>
    <row r="31680">
      <c r="S31680" s="27"/>
      <c r="T31680" s="27"/>
      <c r="U31680" s="27"/>
    </row>
    <row r="31681">
      <c r="S31681" s="27"/>
      <c r="T31681" s="27"/>
      <c r="U31681" s="27"/>
    </row>
    <row r="31683">
      <c r="S31683" s="27"/>
      <c r="T31683" s="27"/>
      <c r="U31683" s="27"/>
    </row>
    <row r="31684">
      <c r="S31684" s="27"/>
      <c r="T31684" s="27"/>
      <c r="U31684" s="27"/>
    </row>
    <row r="31686">
      <c r="S31686" s="27"/>
      <c r="T31686" s="27"/>
      <c r="U31686" s="27"/>
    </row>
    <row r="31687">
      <c r="S31687" s="27"/>
      <c r="T31687" s="27"/>
      <c r="U31687" s="27"/>
    </row>
    <row r="31689">
      <c r="S31689" s="27"/>
      <c r="T31689" s="27"/>
      <c r="U31689" s="27"/>
    </row>
    <row r="31690">
      <c r="S31690" s="27"/>
      <c r="T31690" s="27"/>
      <c r="U31690" s="27"/>
    </row>
    <row r="31692">
      <c r="S31692" s="27"/>
      <c r="T31692" s="27"/>
      <c r="U31692" s="27"/>
    </row>
    <row r="31693">
      <c r="S31693" s="27"/>
      <c r="T31693" s="27"/>
      <c r="U31693" s="27"/>
    </row>
    <row r="31695">
      <c r="S31695" s="27"/>
      <c r="T31695" s="27"/>
      <c r="U31695" s="27"/>
    </row>
    <row r="31697">
      <c r="S31697" s="27"/>
      <c r="T31697" s="27"/>
      <c r="U31697" s="27"/>
    </row>
    <row r="31698">
      <c r="S31698" s="27"/>
      <c r="T31698" s="27"/>
      <c r="U31698" s="27"/>
    </row>
    <row r="31700">
      <c r="S31700" s="27"/>
      <c r="T31700" s="27"/>
      <c r="U31700" s="27"/>
    </row>
    <row r="31701">
      <c r="S31701" s="27"/>
      <c r="T31701" s="27"/>
      <c r="U31701" s="27"/>
    </row>
    <row r="31703">
      <c r="S31703" s="27"/>
      <c r="T31703" s="27"/>
      <c r="U31703" s="27"/>
    </row>
    <row r="31704">
      <c r="S31704" s="27"/>
      <c r="T31704" s="27"/>
      <c r="U31704" s="27"/>
    </row>
    <row r="31706">
      <c r="S31706" s="27"/>
      <c r="T31706" s="27"/>
      <c r="U31706" s="27"/>
    </row>
    <row r="31707">
      <c r="S31707" s="27"/>
      <c r="T31707" s="27"/>
      <c r="U31707" s="27"/>
    </row>
    <row r="31709">
      <c r="S31709" s="27"/>
      <c r="T31709" s="27"/>
      <c r="U31709" s="27"/>
    </row>
    <row r="31710">
      <c r="S31710" s="27"/>
      <c r="T31710" s="27"/>
      <c r="U31710" s="27"/>
    </row>
    <row r="31712">
      <c r="S31712" s="27"/>
      <c r="T31712" s="27"/>
      <c r="U31712" s="27"/>
    </row>
    <row r="31713">
      <c r="S31713" s="27"/>
      <c r="T31713" s="27"/>
      <c r="U31713" s="27"/>
    </row>
    <row r="31715">
      <c r="S31715" s="27"/>
      <c r="T31715" s="27"/>
      <c r="U31715" s="27"/>
    </row>
    <row r="31716">
      <c r="S31716" s="27"/>
      <c r="T31716" s="27"/>
      <c r="U31716" s="27"/>
    </row>
    <row r="31718">
      <c r="S31718" s="27"/>
      <c r="T31718" s="27"/>
      <c r="U31718" s="27"/>
    </row>
    <row r="31720">
      <c r="S31720" s="27"/>
      <c r="T31720" s="27"/>
      <c r="U31720" s="27"/>
    </row>
    <row r="31722">
      <c r="S31722" s="27"/>
      <c r="T31722" s="27"/>
      <c r="U31722" s="27"/>
    </row>
    <row r="31724">
      <c r="S31724" s="27"/>
      <c r="T31724" s="27"/>
      <c r="U31724" s="27"/>
    </row>
    <row r="31726">
      <c r="U31726" s="27"/>
    </row>
    <row r="31727">
      <c r="S31727" s="27"/>
      <c r="T31727" s="27"/>
      <c r="U31727" s="27"/>
    </row>
    <row r="31729">
      <c r="S31729" s="27"/>
      <c r="T31729" s="27"/>
      <c r="U31729" s="27"/>
    </row>
    <row r="31730">
      <c r="S31730" s="27"/>
      <c r="T31730" s="27"/>
      <c r="U31730" s="27"/>
    </row>
    <row r="31732">
      <c r="S31732" s="27"/>
      <c r="T31732" s="27"/>
      <c r="U31732" s="27"/>
    </row>
    <row r="31733">
      <c r="S31733" s="27"/>
      <c r="T31733" s="27"/>
      <c r="U31733" s="27"/>
    </row>
    <row r="31735">
      <c r="S31735" s="27"/>
      <c r="T31735" s="27"/>
      <c r="U31735" s="27"/>
    </row>
    <row r="31736">
      <c r="S31736" s="27"/>
      <c r="T31736" s="27"/>
      <c r="U31736" s="27"/>
    </row>
    <row r="31738">
      <c r="S31738" s="27"/>
      <c r="T31738" s="27"/>
      <c r="U31738" s="27"/>
    </row>
    <row r="31739">
      <c r="S31739" s="27"/>
      <c r="T31739" s="27"/>
      <c r="U31739" s="27"/>
    </row>
    <row r="31741">
      <c r="S31741" s="27"/>
      <c r="T31741" s="27"/>
      <c r="U31741" s="27"/>
    </row>
    <row r="31742">
      <c r="S31742" s="27"/>
      <c r="T31742" s="27"/>
      <c r="U31742" s="27"/>
    </row>
    <row r="31744">
      <c r="S31744" s="27"/>
      <c r="T31744" s="27"/>
      <c r="U31744" s="27"/>
    </row>
    <row r="31745">
      <c r="S31745" s="27"/>
      <c r="T31745" s="27"/>
      <c r="U31745" s="27"/>
    </row>
    <row r="31747">
      <c r="S31747" s="26"/>
      <c r="T31747" s="26"/>
      <c r="U31747" s="26"/>
    </row>
    <row r="31750">
      <c r="S31750" s="33"/>
      <c r="T31750" s="27"/>
      <c r="U31750" s="27"/>
    </row>
    <row r="31751">
      <c r="S31751" s="26"/>
    </row>
    <row r="31753">
      <c r="S31753" s="27"/>
      <c r="T31753" s="27"/>
      <c r="U31753" s="27"/>
    </row>
    <row r="31754">
      <c r="S31754" s="27"/>
      <c r="T31754" s="27"/>
      <c r="U31754" s="27"/>
    </row>
    <row r="31756">
      <c r="S31756" s="27"/>
      <c r="T31756" s="27"/>
      <c r="U31756" s="27"/>
    </row>
    <row r="31757">
      <c r="S31757" s="27"/>
      <c r="T31757" s="27"/>
      <c r="U31757" s="27"/>
    </row>
    <row r="31759">
      <c r="S31759" s="27"/>
      <c r="T31759" s="27"/>
      <c r="U31759" s="27"/>
    </row>
    <row r="31760">
      <c r="S31760" s="27"/>
      <c r="T31760" s="27"/>
      <c r="U31760" s="27"/>
    </row>
    <row r="31762">
      <c r="S31762" s="27"/>
      <c r="T31762" s="27"/>
    </row>
    <row r="31765">
      <c r="S31765" s="27"/>
      <c r="T31765" s="27"/>
      <c r="U31765" s="27"/>
    </row>
    <row r="31766">
      <c r="S31766" s="27"/>
      <c r="T31766" s="27"/>
      <c r="U31766" s="27"/>
    </row>
    <row r="31768">
      <c r="S31768" s="27"/>
      <c r="T31768" s="27"/>
      <c r="U31768" s="27"/>
    </row>
    <row r="31769">
      <c r="S31769" s="27"/>
      <c r="T31769" s="27"/>
      <c r="U31769" s="27"/>
    </row>
    <row r="31771">
      <c r="S31771" s="27"/>
      <c r="U31771" s="27"/>
    </row>
    <row r="31772">
      <c r="T31772" s="27"/>
    </row>
    <row r="31774">
      <c r="U31774" s="27"/>
    </row>
    <row r="31777">
      <c r="S31777" s="26"/>
      <c r="T31777" s="26"/>
      <c r="U31777" s="26"/>
    </row>
    <row r="31780">
      <c r="S31780" s="27"/>
      <c r="T31780" s="27"/>
      <c r="U31780" s="27"/>
    </row>
    <row r="31781">
      <c r="S31781" s="27"/>
      <c r="T31781" s="27"/>
      <c r="U31781" s="27"/>
    </row>
    <row r="31783">
      <c r="S31783" s="27"/>
      <c r="T31783" s="27"/>
      <c r="U31783" s="27"/>
    </row>
    <row r="31784">
      <c r="S31784" s="27"/>
      <c r="T31784" s="27"/>
      <c r="U31784" s="27"/>
    </row>
    <row r="31786">
      <c r="S31786" s="26"/>
      <c r="T31786" s="26"/>
      <c r="U31786" s="26"/>
    </row>
    <row r="31789">
      <c r="S31789" s="27"/>
      <c r="T31789" s="27"/>
      <c r="U31789" s="27"/>
    </row>
    <row r="31792">
      <c r="S31792" s="27"/>
      <c r="T31792" s="27"/>
      <c r="U31792" s="27"/>
    </row>
    <row r="31793">
      <c r="S31793" s="27"/>
      <c r="T31793" s="27"/>
      <c r="U31793" s="27"/>
    </row>
    <row r="31795">
      <c r="S31795" s="27"/>
      <c r="T31795" s="27"/>
      <c r="U31795" s="27"/>
    </row>
    <row r="31796">
      <c r="S31796" s="27"/>
      <c r="T31796" s="27"/>
      <c r="U31796" s="27"/>
    </row>
    <row r="31798">
      <c r="S31798" s="27"/>
      <c r="T31798" s="27"/>
      <c r="U31798" s="27"/>
    </row>
    <row r="31799">
      <c r="S31799" s="27"/>
      <c r="T31799" s="27"/>
      <c r="U31799" s="27"/>
    </row>
    <row r="31801">
      <c r="S31801" s="27"/>
      <c r="T31801" s="27"/>
      <c r="U31801" s="27"/>
    </row>
    <row r="31802">
      <c r="S31802" s="27"/>
      <c r="T31802" s="27"/>
      <c r="U31802" s="27"/>
    </row>
    <row r="31804">
      <c r="S31804" s="27"/>
      <c r="T31804" s="27"/>
      <c r="U31804" s="27"/>
    </row>
    <row r="31805">
      <c r="S31805" s="27"/>
      <c r="T31805" s="27"/>
      <c r="U31805" s="27"/>
    </row>
    <row r="31807">
      <c r="S31807" s="27"/>
      <c r="T31807" s="27"/>
      <c r="U31807" s="27"/>
    </row>
    <row r="31808">
      <c r="S31808" s="27"/>
      <c r="T31808" s="27"/>
      <c r="U31808" s="27"/>
    </row>
    <row r="31810">
      <c r="S31810" s="27"/>
      <c r="T31810" s="27"/>
      <c r="U31810" s="27"/>
    </row>
    <row r="31811">
      <c r="S31811" s="27"/>
      <c r="T31811" s="27"/>
      <c r="U31811" s="27"/>
    </row>
    <row r="31813">
      <c r="S31813" s="27"/>
      <c r="T31813" s="27"/>
      <c r="U31813" s="27"/>
    </row>
    <row r="31814">
      <c r="S31814" s="27"/>
      <c r="T31814" s="27"/>
      <c r="U31814" s="27"/>
    </row>
    <row r="31816">
      <c r="S31816" s="27"/>
      <c r="T31816" s="27"/>
      <c r="U31816" s="27"/>
    </row>
    <row r="31817">
      <c r="S31817" s="27"/>
      <c r="T31817" s="27"/>
      <c r="U31817" s="27"/>
    </row>
    <row r="31819">
      <c r="S31819" s="27"/>
      <c r="T31819" s="27"/>
      <c r="U31819" s="27"/>
    </row>
    <row r="31820">
      <c r="S31820" s="27"/>
      <c r="T31820" s="27"/>
      <c r="U31820" s="27"/>
    </row>
    <row r="31822">
      <c r="S31822" s="27"/>
      <c r="T31822" s="27"/>
      <c r="U31822" s="27"/>
    </row>
    <row r="31823">
      <c r="S31823" s="27"/>
      <c r="T31823" s="27"/>
      <c r="U31823" s="27"/>
    </row>
    <row r="31825">
      <c r="S31825" s="27"/>
      <c r="T31825" s="27"/>
      <c r="U31825" s="27"/>
    </row>
    <row r="31826">
      <c r="S31826" s="27"/>
      <c r="T31826" s="27"/>
      <c r="U31826" s="27"/>
    </row>
    <row r="31828">
      <c r="S31828" s="27"/>
      <c r="T31828" s="27"/>
      <c r="U31828" s="27"/>
    </row>
    <row r="31829">
      <c r="S31829" s="27"/>
      <c r="T31829" s="27"/>
      <c r="U31829" s="27"/>
    </row>
    <row r="31831">
      <c r="S31831" s="27"/>
      <c r="T31831" s="27"/>
      <c r="U31831" s="27"/>
    </row>
    <row r="31832">
      <c r="S31832" s="27"/>
      <c r="T31832" s="27"/>
      <c r="U31832" s="27"/>
    </row>
    <row r="31834">
      <c r="S31834" s="27"/>
      <c r="T31834" s="27"/>
      <c r="U31834" s="27"/>
    </row>
    <row r="31835">
      <c r="S31835" s="27"/>
      <c r="T31835" s="27"/>
      <c r="U31835" s="27"/>
    </row>
    <row r="31837">
      <c r="S31837" s="27"/>
      <c r="T31837" s="27"/>
      <c r="U31837" s="27"/>
    </row>
    <row r="31838">
      <c r="S31838" s="27"/>
      <c r="T31838" s="27"/>
      <c r="U31838" s="27"/>
    </row>
    <row r="31840">
      <c r="S31840" s="27"/>
      <c r="T31840" s="27"/>
      <c r="U31840" s="27"/>
    </row>
    <row r="31841">
      <c r="S31841" s="27"/>
      <c r="T31841" s="27"/>
      <c r="U31841" s="27"/>
    </row>
    <row r="31843">
      <c r="S31843" s="27"/>
      <c r="T31843" s="27"/>
      <c r="U31843" s="27"/>
    </row>
    <row r="31844">
      <c r="S31844" s="27"/>
      <c r="T31844" s="27"/>
      <c r="U31844" s="27"/>
    </row>
    <row r="31846">
      <c r="S31846" s="27"/>
      <c r="T31846" s="27"/>
      <c r="U31846" s="27"/>
    </row>
    <row r="31847">
      <c r="S31847" s="27"/>
      <c r="T31847" s="27"/>
      <c r="U31847" s="27"/>
    </row>
    <row r="31849">
      <c r="S31849" s="27"/>
      <c r="T31849" s="27"/>
      <c r="U31849" s="27"/>
    </row>
    <row r="31850">
      <c r="S31850" s="27"/>
      <c r="T31850" s="27"/>
      <c r="U31850" s="27"/>
    </row>
    <row r="31852">
      <c r="S31852" s="27"/>
      <c r="T31852" s="27"/>
      <c r="U31852" s="27"/>
    </row>
    <row r="31853">
      <c r="S31853" s="27"/>
      <c r="T31853" s="27"/>
      <c r="U31853" s="27"/>
    </row>
    <row r="31855">
      <c r="S31855" s="27"/>
      <c r="T31855" s="27"/>
      <c r="U31855" s="27"/>
    </row>
    <row r="31856">
      <c r="S31856" s="27"/>
      <c r="T31856" s="27"/>
      <c r="U31856" s="27"/>
    </row>
    <row r="31858">
      <c r="S31858" s="27"/>
      <c r="T31858" s="27"/>
      <c r="U31858" s="27"/>
    </row>
    <row r="31859">
      <c r="S31859" s="27"/>
      <c r="T31859" s="27"/>
      <c r="U31859" s="27"/>
    </row>
    <row r="31864">
      <c r="S31864" s="27"/>
      <c r="T31864" s="27"/>
      <c r="U31864" s="27"/>
    </row>
    <row r="31865">
      <c r="S31865" s="27"/>
      <c r="T31865" s="27"/>
      <c r="U31865" s="27"/>
    </row>
    <row r="31867">
      <c r="S31867" s="27"/>
      <c r="T31867" s="27"/>
      <c r="U31867" s="27"/>
    </row>
    <row r="31873">
      <c r="S31873" s="27"/>
      <c r="T31873" s="27"/>
      <c r="U31873" s="27"/>
    </row>
    <row r="31874">
      <c r="S31874" s="27"/>
      <c r="T31874" s="27"/>
      <c r="U31874" s="27"/>
    </row>
    <row r="31876">
      <c r="S31876" s="27"/>
      <c r="T31876" s="27"/>
      <c r="U31876" s="27"/>
    </row>
    <row r="31879">
      <c r="S31879" s="27"/>
      <c r="T31879" s="27"/>
      <c r="U31879" s="27"/>
    </row>
    <row r="31880">
      <c r="S31880" s="27"/>
      <c r="T31880" s="27"/>
      <c r="U31880" s="27"/>
    </row>
    <row r="31882">
      <c r="S31882" s="27"/>
      <c r="T31882" s="27"/>
      <c r="U31882" s="27"/>
    </row>
    <row r="31883">
      <c r="S31883" s="27"/>
      <c r="T31883" s="27"/>
      <c r="U31883" s="27"/>
    </row>
    <row r="31885">
      <c r="S31885" s="27"/>
      <c r="T31885" s="27"/>
      <c r="U31885" s="27"/>
    </row>
    <row r="31886">
      <c r="S31886" s="27"/>
      <c r="T31886" s="27"/>
      <c r="U31886" s="27"/>
    </row>
    <row r="31888">
      <c r="S31888" s="26"/>
      <c r="T31888" s="26"/>
      <c r="U31888" s="27"/>
    </row>
    <row r="31891">
      <c r="S31891" s="26"/>
      <c r="T31891" s="26"/>
      <c r="U31891" s="26"/>
    </row>
    <row r="31894">
      <c r="S31894" s="27"/>
    </row>
    <row r="31896">
      <c r="S31896" s="27"/>
      <c r="T31896" s="27"/>
      <c r="U31896" s="27"/>
    </row>
    <row r="31898">
      <c r="S31898" s="26"/>
      <c r="T31898" s="26"/>
      <c r="U31898" s="26"/>
    </row>
    <row r="31901">
      <c r="S31901" s="27"/>
      <c r="T31901" s="27"/>
      <c r="U31901" s="27"/>
    </row>
    <row r="31904">
      <c r="S31904" s="27"/>
      <c r="T31904" s="27"/>
      <c r="U31904" s="27"/>
    </row>
    <row r="31905">
      <c r="S31905" s="27"/>
      <c r="T31905" s="27"/>
      <c r="U31905" s="27"/>
    </row>
    <row r="31907">
      <c r="S31907" s="27"/>
      <c r="T31907" s="27"/>
      <c r="U31907" s="27"/>
    </row>
    <row r="31908">
      <c r="S31908" s="27"/>
      <c r="T31908" s="27"/>
      <c r="U31908" s="27"/>
    </row>
    <row r="31910">
      <c r="S31910" s="27"/>
      <c r="T31910" s="27"/>
      <c r="U31910" s="27"/>
    </row>
    <row r="31911">
      <c r="S31911" s="27"/>
      <c r="T31911" s="27"/>
      <c r="U31911" s="27"/>
    </row>
    <row r="31913">
      <c r="S31913" s="27"/>
      <c r="T31913" s="27"/>
    </row>
    <row r="31914">
      <c r="S31914" s="27"/>
      <c r="T31914" s="26"/>
      <c r="U31914" s="27"/>
    </row>
    <row r="31916">
      <c r="S31916" s="27"/>
      <c r="T31916" s="27"/>
      <c r="U31916" s="27"/>
    </row>
    <row r="31917">
      <c r="S31917" s="27"/>
      <c r="T31917" s="27"/>
      <c r="U31917" s="27"/>
    </row>
    <row r="31922">
      <c r="S31922" s="27"/>
      <c r="T31922" s="27"/>
      <c r="U31922" s="27"/>
    </row>
    <row r="31923">
      <c r="S31923" s="27"/>
      <c r="T31923" s="27"/>
      <c r="U31923" s="27"/>
    </row>
    <row r="31925">
      <c r="S31925" s="27"/>
      <c r="T31925" s="27"/>
      <c r="U31925" s="33"/>
    </row>
    <row r="31926">
      <c r="S31926" s="27"/>
      <c r="T31926" s="27"/>
    </row>
    <row r="31928">
      <c r="S31928" s="27"/>
      <c r="T31928" s="27"/>
      <c r="U31928" s="27"/>
    </row>
    <row r="31929">
      <c r="S31929" s="27"/>
      <c r="T31929" s="27"/>
      <c r="U31929" s="27"/>
    </row>
    <row r="31931">
      <c r="S31931" s="33"/>
      <c r="T31931" s="33"/>
      <c r="U31931" s="33"/>
    </row>
    <row r="31937">
      <c r="S31937" s="27"/>
      <c r="T31937" s="27"/>
      <c r="U31937" s="27"/>
    </row>
    <row r="31940">
      <c r="S31940" s="27"/>
      <c r="T31940" s="27"/>
      <c r="U31940" s="27"/>
    </row>
    <row r="31941">
      <c r="S31941" s="33"/>
      <c r="T31941" s="33"/>
      <c r="U31941" s="33"/>
    </row>
    <row r="31943">
      <c r="S31943" s="27"/>
      <c r="T31943" s="34"/>
      <c r="U31943" s="34"/>
    </row>
    <row r="31944">
      <c r="S31944" s="26"/>
      <c r="T31944" s="26"/>
      <c r="U31944" s="26"/>
    </row>
    <row r="31946">
      <c r="S31946" s="27"/>
      <c r="T31946" s="27"/>
      <c r="U31946" s="27"/>
    </row>
    <row r="31947">
      <c r="S31947" s="27"/>
      <c r="T31947" s="27"/>
      <c r="U31947" s="27"/>
    </row>
    <row r="31949">
      <c r="S31949" s="27"/>
      <c r="T31949" s="27"/>
      <c r="U31949" s="27"/>
    </row>
    <row r="31950">
      <c r="S31950" s="27"/>
      <c r="T31950" s="27"/>
      <c r="U31950" s="27"/>
    </row>
    <row r="31953">
      <c r="S31953" s="27"/>
      <c r="T31953" s="27"/>
      <c r="U31953" s="27"/>
    </row>
    <row r="31959">
      <c r="S31959" s="27"/>
      <c r="T31959" s="27"/>
      <c r="U31959" s="27"/>
    </row>
    <row r="31961">
      <c r="S31961" s="33"/>
      <c r="T31961" s="33"/>
    </row>
    <row r="31964">
      <c r="S31964" s="27"/>
    </row>
    <row r="31967">
      <c r="S31967" s="27"/>
      <c r="T31967" s="27"/>
      <c r="U31967" s="26"/>
    </row>
    <row r="31968">
      <c r="S31968" s="27"/>
      <c r="T31968" s="27"/>
    </row>
    <row r="31970">
      <c r="S31970" s="27"/>
      <c r="T31970" s="27"/>
      <c r="U31970" s="27"/>
    </row>
    <row r="31971">
      <c r="S31971" s="27"/>
      <c r="T31971" s="27"/>
      <c r="U31971" s="27"/>
    </row>
    <row r="31973">
      <c r="S31973" s="27"/>
      <c r="T31973" s="27"/>
      <c r="U31973" s="27"/>
    </row>
    <row r="31974">
      <c r="S31974" s="27"/>
      <c r="T31974" s="27"/>
      <c r="U31974" s="27"/>
    </row>
    <row r="31977">
      <c r="S31977" s="27"/>
      <c r="T31977" s="27"/>
      <c r="U31977" s="27"/>
    </row>
    <row r="31978">
      <c r="S31978" s="27"/>
      <c r="T31978" s="27"/>
      <c r="U31978" s="27"/>
    </row>
    <row r="31983">
      <c r="S31983" s="27"/>
      <c r="T31983" s="27"/>
      <c r="U31983" s="27"/>
    </row>
    <row r="31986">
      <c r="S31986" s="27"/>
      <c r="T31986" s="27"/>
      <c r="U31986" s="27"/>
    </row>
    <row r="31987">
      <c r="S31987" s="27"/>
      <c r="T31987" s="27"/>
      <c r="U31987" s="27"/>
    </row>
    <row r="31989">
      <c r="S31989" s="27"/>
      <c r="T31989" s="27"/>
      <c r="U31989" s="27"/>
    </row>
    <row r="31990">
      <c r="S31990" s="27"/>
      <c r="T31990" s="27"/>
      <c r="U31990" s="27"/>
    </row>
    <row r="31992">
      <c r="S31992" s="27"/>
    </row>
    <row r="31993">
      <c r="S31993" s="27"/>
    </row>
    <row r="31995">
      <c r="S31995" s="27"/>
    </row>
    <row r="31996">
      <c r="S31996" s="26"/>
      <c r="T31996" s="26"/>
      <c r="U31996" s="26"/>
    </row>
    <row r="31998">
      <c r="S31998" s="27"/>
      <c r="T31998" s="27"/>
      <c r="U31998" s="27"/>
    </row>
    <row r="31999">
      <c r="S31999" s="27"/>
      <c r="T31999" s="27"/>
      <c r="U31999" s="27"/>
    </row>
    <row r="32001">
      <c r="S32001" s="27"/>
      <c r="T32001" s="27"/>
      <c r="U32001" s="27"/>
    </row>
    <row r="32002">
      <c r="S32002" s="27"/>
      <c r="T32002" s="27"/>
      <c r="U32002" s="27"/>
    </row>
    <row r="32004">
      <c r="S32004" s="27"/>
      <c r="T32004" s="27"/>
      <c r="U32004" s="27"/>
    </row>
    <row r="32007">
      <c r="S32007" s="27"/>
      <c r="T32007" s="27"/>
      <c r="U32007" s="27"/>
    </row>
    <row r="32008">
      <c r="S32008" s="27"/>
      <c r="T32008" s="27"/>
      <c r="U32008" s="27"/>
    </row>
    <row r="32010">
      <c r="S32010" s="27"/>
      <c r="T32010" s="27"/>
      <c r="U32010" s="27"/>
    </row>
    <row r="32011">
      <c r="S32011" s="27"/>
      <c r="T32011" s="27"/>
      <c r="U32011" s="27"/>
    </row>
    <row r="32013">
      <c r="S32013" s="27"/>
      <c r="T32013" s="27"/>
      <c r="U32013" s="27"/>
    </row>
    <row r="32014">
      <c r="S32014" s="27"/>
      <c r="T32014" s="27"/>
      <c r="U32014" s="27"/>
    </row>
    <row r="32016">
      <c r="S32016" s="27"/>
      <c r="T32016" s="27"/>
      <c r="U32016" s="27"/>
    </row>
    <row r="32017">
      <c r="S32017" s="27"/>
      <c r="T32017" s="27"/>
      <c r="U32017" s="27"/>
    </row>
    <row r="32019">
      <c r="S32019" s="27"/>
      <c r="T32019" s="27"/>
      <c r="U32019" s="27"/>
    </row>
    <row r="32020">
      <c r="S32020" s="27"/>
      <c r="T32020" s="27"/>
      <c r="U32020" s="27"/>
    </row>
    <row r="32022">
      <c r="S32022" s="27"/>
      <c r="T32022" s="27"/>
      <c r="U32022" s="27"/>
    </row>
    <row r="32023">
      <c r="S32023" s="27"/>
      <c r="T32023" s="27"/>
      <c r="U32023" s="27"/>
    </row>
    <row r="32025">
      <c r="S32025" s="27"/>
      <c r="T32025" s="27"/>
      <c r="U32025" s="27"/>
    </row>
    <row r="32026">
      <c r="S32026" s="27"/>
      <c r="T32026" s="27"/>
      <c r="U32026" s="27"/>
    </row>
    <row r="32028">
      <c r="S32028" s="27"/>
      <c r="T32028" s="27"/>
      <c r="U32028" s="27"/>
    </row>
    <row r="32029">
      <c r="S32029" s="27"/>
      <c r="T32029" s="27"/>
      <c r="U32029" s="27"/>
    </row>
    <row r="32031">
      <c r="S32031" s="27"/>
      <c r="T32031" s="27"/>
      <c r="U32031" s="27"/>
    </row>
    <row r="32032">
      <c r="S32032" s="27"/>
      <c r="T32032" s="27"/>
      <c r="U32032" s="27"/>
    </row>
    <row r="32034">
      <c r="S32034" s="27"/>
      <c r="T32034" s="27"/>
      <c r="U32034" s="27"/>
    </row>
    <row r="32035">
      <c r="S32035" s="27"/>
      <c r="T32035" s="27"/>
      <c r="U32035" s="27"/>
    </row>
    <row r="32037">
      <c r="S32037" s="27"/>
      <c r="T32037" s="27"/>
      <c r="U32037" s="27"/>
    </row>
    <row r="32038">
      <c r="S32038" s="27"/>
      <c r="T32038" s="27"/>
      <c r="U32038" s="27"/>
    </row>
    <row r="32040">
      <c r="S32040" s="27"/>
      <c r="T32040" s="27"/>
      <c r="U32040" s="27"/>
    </row>
    <row r="32041">
      <c r="S32041" s="27"/>
      <c r="T32041" s="27"/>
      <c r="U32041" s="27"/>
    </row>
    <row r="32043">
      <c r="S32043" s="27"/>
      <c r="T32043" s="27"/>
      <c r="U32043" s="27"/>
    </row>
    <row r="32044">
      <c r="S32044" s="27"/>
      <c r="T32044" s="27"/>
      <c r="U32044" s="27"/>
    </row>
    <row r="32046">
      <c r="S32046" s="27"/>
      <c r="T32046" s="27"/>
      <c r="U32046" s="27"/>
    </row>
    <row r="32047">
      <c r="S32047" s="27"/>
      <c r="T32047" s="27"/>
      <c r="U32047" s="27"/>
    </row>
    <row r="32049">
      <c r="S32049" s="27"/>
      <c r="T32049" s="27"/>
      <c r="U32049" s="27"/>
    </row>
    <row r="32050">
      <c r="S32050" s="27"/>
      <c r="T32050" s="27"/>
      <c r="U32050" s="27"/>
    </row>
    <row r="32052">
      <c r="S32052" s="27"/>
      <c r="T32052" s="27"/>
      <c r="U32052" s="27"/>
    </row>
    <row r="32053">
      <c r="S32053" s="27"/>
      <c r="T32053" s="27"/>
      <c r="U32053" s="27"/>
    </row>
    <row r="32055">
      <c r="S32055" s="27"/>
      <c r="T32055" s="27"/>
      <c r="U32055" s="27"/>
    </row>
    <row r="32056">
      <c r="S32056" s="27"/>
      <c r="T32056" s="27"/>
      <c r="U32056" s="27"/>
    </row>
    <row r="32058">
      <c r="S32058" s="27"/>
      <c r="T32058" s="27"/>
      <c r="U32058" s="27"/>
    </row>
    <row r="32059">
      <c r="S32059" s="27"/>
      <c r="T32059" s="27"/>
      <c r="U32059" s="27"/>
    </row>
    <row r="32061">
      <c r="S32061" s="27"/>
      <c r="T32061" s="27"/>
      <c r="U32061" s="27"/>
    </row>
    <row r="32062">
      <c r="S32062" s="27"/>
      <c r="T32062" s="27"/>
      <c r="U32062" s="27"/>
    </row>
    <row r="32064">
      <c r="S32064" s="27"/>
      <c r="T32064" s="27"/>
      <c r="U32064" s="27"/>
    </row>
    <row r="32065">
      <c r="S32065" s="27"/>
      <c r="T32065" s="27"/>
      <c r="U32065" s="27"/>
    </row>
    <row r="32067">
      <c r="S32067" s="27"/>
      <c r="T32067" s="27"/>
      <c r="U32067" s="27"/>
    </row>
    <row r="32068">
      <c r="S32068" s="27"/>
      <c r="T32068" s="27"/>
      <c r="U32068" s="27"/>
    </row>
    <row r="32070">
      <c r="S32070" s="27"/>
      <c r="T32070" s="27"/>
      <c r="U32070" s="27"/>
    </row>
    <row r="32071">
      <c r="S32071" s="27"/>
      <c r="T32071" s="27"/>
      <c r="U32071" s="27"/>
    </row>
    <row r="32073">
      <c r="S32073" s="27"/>
      <c r="T32073" s="27"/>
      <c r="U32073" s="27"/>
    </row>
    <row r="32074">
      <c r="S32074" s="27"/>
      <c r="T32074" s="27"/>
      <c r="U32074" s="27"/>
    </row>
    <row r="32076">
      <c r="S32076" s="27"/>
      <c r="T32076" s="27"/>
      <c r="U32076" s="27"/>
    </row>
    <row r="32077">
      <c r="S32077" s="27"/>
      <c r="T32077" s="27"/>
      <c r="U32077" s="27"/>
    </row>
    <row r="32079">
      <c r="S32079" s="27"/>
      <c r="T32079" s="27"/>
      <c r="U32079" s="27"/>
    </row>
    <row r="32080">
      <c r="S32080" s="27"/>
      <c r="T32080" s="27"/>
      <c r="U32080" s="27"/>
    </row>
    <row r="32082">
      <c r="S32082" s="27"/>
      <c r="T32082" s="27"/>
      <c r="U32082" s="27"/>
    </row>
    <row r="32083">
      <c r="S32083" s="27"/>
      <c r="T32083" s="27"/>
      <c r="U32083" s="27"/>
    </row>
    <row r="32085">
      <c r="S32085" s="27"/>
      <c r="T32085" s="27"/>
      <c r="U32085" s="27"/>
    </row>
    <row r="32086">
      <c r="S32086" s="27"/>
      <c r="T32086" s="27"/>
      <c r="U32086" s="27"/>
    </row>
    <row r="32088">
      <c r="S32088" s="27"/>
      <c r="T32088" s="27"/>
      <c r="U32088" s="27"/>
    </row>
    <row r="32089">
      <c r="S32089" s="27"/>
      <c r="T32089" s="27"/>
      <c r="U32089" s="27"/>
    </row>
    <row r="32091">
      <c r="S32091" s="27"/>
      <c r="T32091" s="27"/>
      <c r="U32091" s="27"/>
    </row>
    <row r="32092">
      <c r="S32092" s="27"/>
      <c r="T32092" s="27"/>
      <c r="U32092" s="27"/>
    </row>
    <row r="32094">
      <c r="S32094" s="27"/>
      <c r="T32094" s="27"/>
      <c r="U32094" s="27"/>
    </row>
    <row r="32096">
      <c r="S32096" s="27"/>
      <c r="T32096" s="27"/>
      <c r="U32096" s="27"/>
    </row>
    <row r="32097">
      <c r="S32097" s="27"/>
      <c r="T32097" s="27"/>
      <c r="U32097" s="27"/>
    </row>
    <row r="32099">
      <c r="S32099" s="27"/>
      <c r="T32099" s="27"/>
      <c r="U32099" s="27"/>
    </row>
    <row r="32100">
      <c r="S32100" s="27"/>
      <c r="T32100" s="27"/>
      <c r="U32100" s="27"/>
    </row>
    <row r="32102">
      <c r="S32102" s="27"/>
      <c r="T32102" s="27"/>
      <c r="U32102" s="27"/>
    </row>
    <row r="32103">
      <c r="S32103" s="27"/>
      <c r="T32103" s="27"/>
      <c r="U32103" s="27"/>
    </row>
    <row r="32105">
      <c r="S32105" s="27"/>
      <c r="T32105" s="27"/>
      <c r="U32105" s="27"/>
    </row>
    <row r="32106">
      <c r="S32106" s="27"/>
      <c r="T32106" s="27"/>
      <c r="U32106" s="27"/>
    </row>
    <row r="32108">
      <c r="S32108" s="27"/>
      <c r="T32108" s="27"/>
      <c r="U32108" s="27"/>
    </row>
    <row r="32109">
      <c r="S32109" s="27"/>
      <c r="T32109" s="27"/>
      <c r="U32109" s="27"/>
    </row>
    <row r="32112">
      <c r="S32112" s="27"/>
      <c r="T32112" s="27"/>
      <c r="U32112" s="27"/>
    </row>
    <row r="32114">
      <c r="S32114" s="27"/>
      <c r="T32114" s="27"/>
      <c r="U32114" s="27"/>
    </row>
    <row r="32115">
      <c r="S32115" s="27"/>
      <c r="T32115" s="27"/>
      <c r="U32115" s="27"/>
    </row>
    <row r="32117">
      <c r="S32117" s="27"/>
      <c r="T32117" s="27"/>
      <c r="U32117" s="27"/>
    </row>
    <row r="32119">
      <c r="S32119" s="27"/>
      <c r="T32119" s="27"/>
      <c r="U32119" s="27"/>
    </row>
    <row r="32121">
      <c r="S32121" s="27"/>
      <c r="T32121" s="27"/>
      <c r="U32121" s="27"/>
    </row>
    <row r="32123">
      <c r="S32123" s="27"/>
      <c r="T32123" s="27"/>
      <c r="U32123" s="27"/>
    </row>
    <row r="32125">
      <c r="S32125" s="27"/>
      <c r="T32125" s="27"/>
      <c r="U32125" s="27"/>
    </row>
    <row r="32126">
      <c r="S32126" s="27"/>
      <c r="T32126" s="27"/>
      <c r="U32126" s="27"/>
    </row>
    <row r="32128">
      <c r="S32128" s="27"/>
      <c r="T32128" s="27"/>
      <c r="U32128" s="27"/>
    </row>
    <row r="32129">
      <c r="S32129" s="27"/>
      <c r="T32129" s="27"/>
      <c r="U32129" s="27"/>
    </row>
    <row r="32131">
      <c r="S32131" s="27"/>
      <c r="T32131" s="27"/>
      <c r="U32131" s="27"/>
    </row>
    <row r="32132">
      <c r="S32132" s="27"/>
      <c r="T32132" s="27"/>
    </row>
    <row r="32134">
      <c r="S32134" s="27"/>
      <c r="T32134" s="27"/>
      <c r="U32134" s="27"/>
    </row>
    <row r="32135">
      <c r="S32135" s="27"/>
      <c r="T32135" s="27"/>
      <c r="U32135" s="27"/>
    </row>
    <row r="32137">
      <c r="S32137" s="27"/>
      <c r="T32137" s="27"/>
      <c r="U32137" s="27"/>
    </row>
    <row r="32138">
      <c r="S32138" s="27"/>
      <c r="T32138" s="27"/>
      <c r="U32138" s="27"/>
    </row>
    <row r="32140">
      <c r="S32140" s="27"/>
      <c r="T32140" s="27"/>
      <c r="U32140" s="27"/>
    </row>
    <row r="32141">
      <c r="S32141" s="27"/>
      <c r="T32141" s="27"/>
      <c r="U32141" s="27"/>
    </row>
    <row r="32146">
      <c r="S32146" s="26"/>
      <c r="T32146" s="27"/>
      <c r="U32146" s="27"/>
    </row>
    <row r="32149">
      <c r="S32149" s="26"/>
      <c r="T32149" s="26"/>
      <c r="U32149" s="26"/>
    </row>
    <row r="32152">
      <c r="S32152" s="27"/>
      <c r="T32152" s="27"/>
      <c r="U32152" s="27"/>
    </row>
    <row r="32153">
      <c r="S32153" s="27"/>
      <c r="T32153" s="27"/>
      <c r="U32153" s="27"/>
    </row>
    <row r="32155">
      <c r="S32155" s="27"/>
      <c r="T32155" s="27"/>
      <c r="U32155" s="27"/>
    </row>
    <row r="32156">
      <c r="S32156" s="27"/>
      <c r="T32156" s="27"/>
      <c r="U32156" s="27"/>
    </row>
    <row r="32158">
      <c r="S32158" s="27"/>
      <c r="T32158" s="27"/>
      <c r="U32158" s="27"/>
    </row>
    <row r="32159">
      <c r="S32159" s="27"/>
      <c r="T32159" s="27"/>
      <c r="U32159" s="27"/>
    </row>
    <row r="32161">
      <c r="S32161" s="27"/>
      <c r="T32161" s="27"/>
      <c r="U32161" s="26"/>
    </row>
    <row r="32164">
      <c r="S32164" s="27"/>
      <c r="T32164" s="27"/>
      <c r="U32164" s="27"/>
    </row>
    <row r="32165">
      <c r="S32165" s="27"/>
      <c r="T32165" s="27"/>
      <c r="U32165" s="27"/>
    </row>
    <row r="32167">
      <c r="S32167" s="27"/>
      <c r="T32167" s="27"/>
      <c r="U32167" s="27"/>
    </row>
    <row r="32168">
      <c r="S32168" s="27"/>
      <c r="T32168" s="27"/>
      <c r="U32168" s="27"/>
    </row>
    <row r="32170">
      <c r="S32170" s="27"/>
      <c r="T32170" s="27"/>
      <c r="U32170" s="27"/>
    </row>
    <row r="32171">
      <c r="T32171" s="27"/>
      <c r="U32171" s="27"/>
    </row>
    <row r="32176">
      <c r="S32176" s="26"/>
      <c r="T32176" s="26"/>
      <c r="U32176" s="26"/>
    </row>
    <row r="32179">
      <c r="S32179" s="27"/>
      <c r="T32179" s="27"/>
      <c r="U32179" s="27"/>
    </row>
    <row r="32180">
      <c r="S32180" s="27"/>
      <c r="T32180" s="27"/>
      <c r="U32180" s="27"/>
    </row>
    <row r="32182">
      <c r="S32182" s="27"/>
      <c r="T32182" s="27"/>
      <c r="U32182" s="27"/>
    </row>
    <row r="32183">
      <c r="S32183" s="27"/>
      <c r="T32183" s="27"/>
      <c r="U32183" s="27"/>
    </row>
    <row r="32185">
      <c r="S32185" s="26"/>
      <c r="T32185" s="26"/>
      <c r="U32185" s="26"/>
    </row>
    <row r="32191">
      <c r="S32191" s="27"/>
      <c r="T32191" s="27"/>
      <c r="U32191" s="27"/>
    </row>
    <row r="32194">
      <c r="S32194" s="27"/>
      <c r="T32194" s="27"/>
      <c r="U32194" s="27"/>
    </row>
    <row r="32195">
      <c r="S32195" s="27"/>
      <c r="T32195" s="27"/>
      <c r="U32195" s="27"/>
    </row>
    <row r="32197">
      <c r="S32197" s="27"/>
      <c r="T32197" s="27"/>
      <c r="U32197" s="27"/>
    </row>
    <row r="32198">
      <c r="S32198" s="27"/>
      <c r="T32198" s="27"/>
      <c r="U32198" s="27"/>
    </row>
    <row r="32200">
      <c r="S32200" s="27"/>
      <c r="T32200" s="27"/>
      <c r="U32200" s="27"/>
    </row>
    <row r="32201">
      <c r="S32201" s="27"/>
      <c r="T32201" s="27"/>
      <c r="U32201" s="27"/>
    </row>
    <row r="32203">
      <c r="S32203" s="27"/>
      <c r="T32203" s="27"/>
      <c r="U32203" s="27"/>
    </row>
    <row r="32204">
      <c r="S32204" s="27"/>
      <c r="T32204" s="27"/>
      <c r="U32204" s="27"/>
    </row>
    <row r="32206">
      <c r="S32206" s="27"/>
      <c r="T32206" s="27"/>
      <c r="U32206" s="27"/>
    </row>
    <row r="32207">
      <c r="S32207" s="27"/>
      <c r="T32207" s="27"/>
      <c r="U32207" s="27"/>
    </row>
    <row r="32209">
      <c r="S32209" s="27"/>
      <c r="T32209" s="27"/>
      <c r="U32209" s="27"/>
    </row>
    <row r="32210">
      <c r="S32210" s="27"/>
      <c r="T32210" s="27"/>
      <c r="U32210" s="27"/>
    </row>
    <row r="32212">
      <c r="S32212" s="27"/>
      <c r="T32212" s="27"/>
      <c r="U32212" s="27"/>
    </row>
    <row r="32213">
      <c r="S32213" s="27"/>
      <c r="T32213" s="27"/>
      <c r="U32213" s="27"/>
    </row>
    <row r="32215">
      <c r="S32215" s="27"/>
      <c r="T32215" s="27"/>
      <c r="U32215" s="27"/>
    </row>
    <row r="32216">
      <c r="S32216" s="27"/>
      <c r="T32216" s="27"/>
      <c r="U32216" s="27"/>
    </row>
    <row r="32218">
      <c r="S32218" s="27"/>
      <c r="T32218" s="27"/>
      <c r="U32218" s="27"/>
    </row>
    <row r="32219">
      <c r="S32219" s="27"/>
      <c r="T32219" s="27"/>
      <c r="U32219" s="27"/>
    </row>
    <row r="32221">
      <c r="S32221" s="27"/>
      <c r="T32221" s="27"/>
      <c r="U32221" s="27"/>
    </row>
    <row r="32222">
      <c r="S32222" s="27"/>
      <c r="T32222" s="27"/>
      <c r="U32222" s="27"/>
    </row>
    <row r="32224">
      <c r="S32224" s="27"/>
      <c r="T32224" s="27"/>
      <c r="U32224" s="27"/>
    </row>
    <row r="32225">
      <c r="S32225" s="27"/>
      <c r="T32225" s="27"/>
      <c r="U32225" s="27"/>
    </row>
    <row r="32227">
      <c r="S32227" s="27"/>
      <c r="T32227" s="27"/>
      <c r="U32227" s="27"/>
    </row>
    <row r="32228">
      <c r="S32228" s="27"/>
      <c r="T32228" s="27"/>
      <c r="U32228" s="27"/>
    </row>
    <row r="32230">
      <c r="S32230" s="27"/>
      <c r="T32230" s="27"/>
      <c r="U32230" s="27"/>
    </row>
    <row r="32231">
      <c r="S32231" s="27"/>
      <c r="T32231" s="27"/>
      <c r="U32231" s="27"/>
    </row>
    <row r="32233">
      <c r="S32233" s="27"/>
      <c r="T32233" s="27"/>
      <c r="U32233" s="27"/>
    </row>
    <row r="32234">
      <c r="S32234" s="27"/>
      <c r="T32234" s="27"/>
      <c r="U32234" s="27"/>
    </row>
    <row r="32236">
      <c r="S32236" s="27"/>
      <c r="T32236" s="27"/>
      <c r="U32236" s="27"/>
    </row>
    <row r="32237">
      <c r="S32237" s="27"/>
      <c r="T32237" s="27"/>
      <c r="U32237" s="27"/>
    </row>
    <row r="32239">
      <c r="S32239" s="27"/>
      <c r="T32239" s="27"/>
      <c r="U32239" s="27"/>
    </row>
    <row r="32240">
      <c r="S32240" s="27"/>
      <c r="T32240" s="27"/>
      <c r="U32240" s="27"/>
    </row>
    <row r="32242">
      <c r="S32242" s="27"/>
      <c r="T32242" s="27"/>
      <c r="U32242" s="27"/>
    </row>
    <row r="32243">
      <c r="S32243" s="27"/>
      <c r="T32243" s="27"/>
      <c r="U32243" s="27"/>
    </row>
    <row r="32245">
      <c r="S32245" s="27"/>
      <c r="T32245" s="27"/>
      <c r="U32245" s="27"/>
    </row>
    <row r="32246">
      <c r="S32246" s="27"/>
      <c r="T32246" s="27"/>
      <c r="U32246" s="27"/>
    </row>
    <row r="32248">
      <c r="S32248" s="27"/>
      <c r="T32248" s="27"/>
      <c r="U32248" s="27"/>
    </row>
    <row r="32249">
      <c r="S32249" s="27"/>
      <c r="T32249" s="27"/>
      <c r="U32249" s="27"/>
    </row>
    <row r="32251">
      <c r="S32251" s="27"/>
      <c r="T32251" s="27"/>
      <c r="U32251" s="27"/>
    </row>
    <row r="32252">
      <c r="S32252" s="27"/>
      <c r="T32252" s="27"/>
      <c r="U32252" s="27"/>
    </row>
    <row r="32254">
      <c r="S32254" s="27"/>
      <c r="T32254" s="27"/>
      <c r="U32254" s="27"/>
    </row>
    <row r="32255">
      <c r="S32255" s="27"/>
      <c r="T32255" s="27"/>
      <c r="U32255" s="27"/>
    </row>
    <row r="32257">
      <c r="S32257" s="27"/>
      <c r="T32257" s="27"/>
      <c r="U32257" s="27"/>
    </row>
    <row r="32258">
      <c r="S32258" s="27"/>
      <c r="T32258" s="27"/>
      <c r="U32258" s="27"/>
    </row>
    <row r="32260">
      <c r="S32260" s="27"/>
      <c r="T32260" s="27"/>
      <c r="U32260" s="27"/>
    </row>
    <row r="32261">
      <c r="S32261" s="27"/>
      <c r="T32261" s="27"/>
      <c r="U32261" s="27"/>
    </row>
    <row r="32263">
      <c r="S32263" s="27"/>
      <c r="T32263" s="27"/>
      <c r="U32263" s="27"/>
    </row>
    <row r="32264">
      <c r="S32264" s="27"/>
      <c r="T32264" s="27"/>
      <c r="U32264" s="27"/>
    </row>
    <row r="32269">
      <c r="S32269" s="27"/>
      <c r="T32269" s="27"/>
      <c r="U32269" s="27"/>
    </row>
    <row r="32270">
      <c r="S32270" s="27"/>
      <c r="T32270" s="27"/>
      <c r="U32270" s="27"/>
    </row>
    <row r="32272">
      <c r="S32272" s="27"/>
      <c r="T32272" s="27"/>
      <c r="U32272" s="27"/>
    </row>
    <row r="32275">
      <c r="S32275" s="33"/>
      <c r="T32275" s="27"/>
    </row>
    <row r="32276">
      <c r="S32276" s="27"/>
      <c r="T32276" s="27"/>
    </row>
    <row r="32278">
      <c r="S32278" s="27"/>
      <c r="T32278" s="27"/>
      <c r="U32278" s="27"/>
    </row>
    <row r="32279">
      <c r="S32279" s="27"/>
      <c r="T32279" s="27"/>
    </row>
    <row r="32281">
      <c r="S32281" s="27"/>
      <c r="T32281" s="27"/>
      <c r="U32281" s="27"/>
    </row>
    <row r="32285">
      <c r="S32285" s="27"/>
      <c r="T32285" s="27"/>
      <c r="U32285" s="27"/>
    </row>
    <row r="32286">
      <c r="S32286" s="27"/>
      <c r="T32286" s="27"/>
      <c r="U32286" s="27"/>
    </row>
    <row r="32288">
      <c r="S32288" s="27"/>
      <c r="T32288" s="27"/>
      <c r="U32288" s="27"/>
    </row>
    <row r="32289">
      <c r="S32289" s="27"/>
      <c r="T32289" s="27"/>
      <c r="U32289" s="27"/>
    </row>
    <row r="32294">
      <c r="T32294" s="27"/>
      <c r="U32294" s="27"/>
    </row>
    <row r="32299">
      <c r="S32299" s="27"/>
      <c r="T32299" s="27"/>
    </row>
    <row r="32301">
      <c r="S32301" s="26"/>
      <c r="T32301" s="26"/>
      <c r="U32301" s="26"/>
    </row>
    <row r="32304">
      <c r="S32304" s="27"/>
      <c r="T32304" s="27"/>
      <c r="U32304" s="27"/>
    </row>
    <row r="32307">
      <c r="S32307" s="27"/>
      <c r="T32307" s="27"/>
      <c r="U32307" s="27"/>
    </row>
    <row r="32308">
      <c r="S32308" s="27"/>
      <c r="T32308" s="27"/>
      <c r="U32308" s="27"/>
    </row>
    <row r="32310">
      <c r="S32310" s="27"/>
      <c r="T32310" s="27"/>
      <c r="U32310" s="27"/>
    </row>
    <row r="32311">
      <c r="S32311" s="27"/>
      <c r="T32311" s="27"/>
      <c r="U32311" s="27"/>
    </row>
    <row r="32313">
      <c r="S32313" s="27"/>
      <c r="T32313" s="27"/>
      <c r="U32313" s="27"/>
    </row>
    <row r="32314">
      <c r="S32314" s="27"/>
      <c r="U32314" s="27"/>
    </row>
    <row r="32316">
      <c r="S32316" s="27"/>
      <c r="T32316" s="27"/>
      <c r="U32316" s="27"/>
    </row>
    <row r="32317">
      <c r="S32317" s="27"/>
      <c r="T32317" s="27"/>
      <c r="U32317" s="27"/>
    </row>
    <row r="32319">
      <c r="S32319" s="27"/>
      <c r="T32319" s="27"/>
      <c r="U32319" s="27"/>
    </row>
    <row r="32320">
      <c r="S32320" s="27"/>
      <c r="T32320" s="27"/>
      <c r="U32320" s="27"/>
    </row>
    <row r="32325">
      <c r="S32325" s="27"/>
      <c r="T32325" s="27"/>
      <c r="U32325" s="27"/>
    </row>
    <row r="32326">
      <c r="S32326" s="27"/>
      <c r="T32326" s="27"/>
      <c r="U32326" s="27"/>
    </row>
    <row r="32328">
      <c r="T32328" s="27"/>
      <c r="U32328" s="27"/>
    </row>
    <row r="32329">
      <c r="T32329" s="27"/>
      <c r="U32329" s="27"/>
    </row>
    <row r="32331">
      <c r="S32331" s="27"/>
      <c r="T32331" s="27"/>
      <c r="U32331" s="27"/>
    </row>
    <row r="32332">
      <c r="S32332" s="27"/>
      <c r="T32332" s="27"/>
      <c r="U32332" s="27"/>
    </row>
    <row r="32337">
      <c r="S32337" s="27"/>
      <c r="T32337" s="27"/>
      <c r="U32337" s="27"/>
    </row>
    <row r="32340">
      <c r="S32340" s="27"/>
      <c r="T32340" s="27"/>
      <c r="U32340" s="27"/>
    </row>
    <row r="32341">
      <c r="S32341" s="27"/>
      <c r="T32341" s="27"/>
      <c r="U32341" s="27"/>
    </row>
    <row r="32344">
      <c r="S32344" s="26"/>
      <c r="T32344" s="26"/>
      <c r="U32344" s="26"/>
    </row>
    <row r="32347">
      <c r="S32347" s="27"/>
      <c r="T32347" s="27"/>
      <c r="U32347" s="27"/>
    </row>
    <row r="32348">
      <c r="S32348" s="27"/>
      <c r="T32348" s="27"/>
      <c r="U32348" s="27"/>
    </row>
    <row r="32350">
      <c r="S32350" s="27"/>
      <c r="T32350" s="27"/>
      <c r="U32350" s="27"/>
    </row>
    <row r="32351">
      <c r="S32351" s="27"/>
      <c r="T32351" s="27"/>
      <c r="U32351" s="27"/>
    </row>
    <row r="32353">
      <c r="S32353" s="27"/>
      <c r="T32353" s="27"/>
      <c r="U32353" s="27"/>
    </row>
    <row r="32354">
      <c r="S32354" s="27"/>
      <c r="T32354" s="27"/>
      <c r="U32354" s="27"/>
    </row>
    <row r="32359">
      <c r="T32359" s="27"/>
      <c r="U32359" s="27"/>
    </row>
    <row r="32360">
      <c r="S32360" s="27"/>
      <c r="T32360" s="27"/>
      <c r="U32360" s="27"/>
    </row>
    <row r="32362">
      <c r="S32362" s="27"/>
      <c r="T32362" s="27"/>
      <c r="U32362" s="27"/>
    </row>
    <row r="32363">
      <c r="S32363" s="27"/>
      <c r="T32363" s="27"/>
      <c r="U32363" s="27"/>
    </row>
    <row r="32365">
      <c r="S32365" s="27"/>
      <c r="T32365" s="27"/>
      <c r="U32365" s="27"/>
    </row>
    <row r="32368">
      <c r="S32368" s="26"/>
      <c r="T32368" s="27"/>
      <c r="U32368" s="27"/>
    </row>
    <row r="32369">
      <c r="T32369" s="27"/>
      <c r="U32369" s="27"/>
    </row>
    <row r="32371">
      <c r="S32371" s="27"/>
      <c r="T32371" s="27"/>
      <c r="U32371" s="27"/>
    </row>
    <row r="32372">
      <c r="S32372" s="27"/>
      <c r="T32372" s="27"/>
      <c r="U32372" s="27"/>
    </row>
    <row r="32374">
      <c r="S32374" s="27"/>
      <c r="T32374" s="27"/>
      <c r="U32374" s="27"/>
    </row>
    <row r="32375">
      <c r="S32375" s="27"/>
      <c r="T32375" s="27"/>
      <c r="U32375" s="27"/>
    </row>
    <row r="32377">
      <c r="S32377" s="27"/>
      <c r="T32377" s="27"/>
      <c r="U32377" s="27"/>
    </row>
    <row r="32378">
      <c r="S32378" s="26"/>
      <c r="T32378" s="26"/>
      <c r="U32378" s="26"/>
    </row>
    <row r="32380">
      <c r="S32380" s="26"/>
      <c r="T32380" s="26"/>
      <c r="U32380" s="26"/>
    </row>
    <row r="32381">
      <c r="S32381" s="26"/>
      <c r="T32381" s="26"/>
      <c r="U32381" s="26"/>
    </row>
    <row r="32383">
      <c r="S32383" s="26"/>
      <c r="T32383" s="26"/>
      <c r="U32383" s="26"/>
    </row>
    <row r="32386">
      <c r="S32386" s="27"/>
      <c r="T32386" s="27"/>
      <c r="U32386" s="27"/>
    </row>
    <row r="32389">
      <c r="S32389" s="27"/>
      <c r="T32389" s="27"/>
      <c r="U32389" s="27"/>
    </row>
    <row r="32390">
      <c r="S32390" s="27"/>
      <c r="T32390" s="27"/>
      <c r="U32390" s="27"/>
    </row>
    <row r="32392">
      <c r="S32392" s="33"/>
      <c r="T32392" s="27"/>
      <c r="U32392" s="27"/>
    </row>
    <row r="32393">
      <c r="T32393" s="27"/>
      <c r="U32393" s="27"/>
    </row>
    <row r="32395">
      <c r="S32395" s="27"/>
      <c r="T32395" s="27"/>
      <c r="U32395" s="27"/>
    </row>
    <row r="32396">
      <c r="S32396" s="27"/>
      <c r="T32396" s="27"/>
      <c r="U32396" s="27"/>
    </row>
    <row r="32398">
      <c r="S32398" s="26"/>
    </row>
    <row r="32402">
      <c r="S32402" s="27"/>
      <c r="T32402" s="27"/>
      <c r="U32402" s="27"/>
    </row>
    <row r="32403">
      <c r="S32403" s="27"/>
      <c r="T32403" s="27"/>
      <c r="U32403" s="27"/>
    </row>
    <row r="32405">
      <c r="S32405" s="27"/>
      <c r="T32405" s="27"/>
      <c r="U32405" s="27"/>
    </row>
    <row r="32406">
      <c r="S32406" s="27"/>
      <c r="T32406" s="27"/>
      <c r="U32406" s="27"/>
    </row>
    <row r="32408">
      <c r="S32408" s="27"/>
      <c r="T32408" s="27"/>
      <c r="U32408" s="27"/>
    </row>
    <row r="32409">
      <c r="S32409" s="27"/>
      <c r="T32409" s="27"/>
      <c r="U32409" s="27"/>
    </row>
    <row r="32411">
      <c r="S32411" s="27"/>
      <c r="T32411" s="27"/>
      <c r="U32411" s="27"/>
    </row>
    <row r="32412">
      <c r="S32412" s="27"/>
      <c r="T32412" s="27"/>
      <c r="U32412" s="27"/>
    </row>
    <row r="32414">
      <c r="S32414" s="27"/>
      <c r="T32414" s="27"/>
      <c r="U32414" s="33"/>
    </row>
    <row r="32415">
      <c r="S32415" s="27"/>
      <c r="T32415" s="27"/>
      <c r="U32415" s="33"/>
    </row>
    <row r="32417">
      <c r="S32417" s="27"/>
      <c r="T32417" s="27"/>
      <c r="U32417" s="27"/>
    </row>
    <row r="32418">
      <c r="S32418" s="27"/>
      <c r="T32418" s="27"/>
      <c r="U32418" s="27"/>
    </row>
    <row r="32420">
      <c r="S32420" s="27"/>
      <c r="T32420" s="27"/>
      <c r="U32420" s="27"/>
    </row>
    <row r="32421">
      <c r="S32421" s="27"/>
      <c r="T32421" s="27"/>
      <c r="U32421" s="27"/>
    </row>
    <row r="32423">
      <c r="S32423" s="27"/>
      <c r="T32423" s="27"/>
      <c r="U32423" s="27"/>
    </row>
    <row r="32424">
      <c r="S32424" s="27"/>
      <c r="T32424" s="27"/>
      <c r="U32424" s="27"/>
    </row>
    <row r="32426">
      <c r="S32426" s="27"/>
      <c r="T32426" s="27"/>
      <c r="U32426" s="27"/>
    </row>
    <row r="32427">
      <c r="S32427" s="27"/>
      <c r="T32427" s="27"/>
      <c r="U32427" s="27"/>
    </row>
    <row r="32429">
      <c r="S32429" s="27"/>
      <c r="T32429" s="27"/>
      <c r="U32429" s="27"/>
    </row>
    <row r="32430">
      <c r="S32430" s="27"/>
      <c r="T32430" s="27"/>
      <c r="U32430" s="27"/>
    </row>
    <row r="32432">
      <c r="S32432" s="27"/>
      <c r="T32432" s="27"/>
      <c r="U32432" s="27"/>
    </row>
    <row r="32433">
      <c r="S32433" s="27"/>
      <c r="T32433" s="27"/>
      <c r="U32433" s="27"/>
    </row>
    <row r="32435">
      <c r="S32435" s="27"/>
      <c r="T32435" s="27"/>
      <c r="U32435" s="27"/>
    </row>
    <row r="32436">
      <c r="S32436" s="27"/>
      <c r="T32436" s="27"/>
      <c r="U32436" s="27"/>
    </row>
    <row r="32438">
      <c r="S32438" s="27"/>
      <c r="T32438" s="27"/>
      <c r="U32438" s="27"/>
    </row>
    <row r="32439">
      <c r="S32439" s="27"/>
      <c r="T32439" s="27"/>
      <c r="U32439" s="27"/>
    </row>
    <row r="32441">
      <c r="S32441" s="27"/>
      <c r="T32441" s="27"/>
      <c r="U32441" s="27"/>
    </row>
    <row r="32442">
      <c r="S32442" s="27"/>
      <c r="T32442" s="27"/>
      <c r="U32442" s="27"/>
    </row>
    <row r="32444">
      <c r="S32444" s="27"/>
      <c r="T32444" s="27"/>
      <c r="U32444" s="27"/>
    </row>
    <row r="32445">
      <c r="S32445" s="27"/>
      <c r="T32445" s="27"/>
      <c r="U32445" s="27"/>
    </row>
    <row r="32447">
      <c r="S32447" s="27"/>
      <c r="T32447" s="27"/>
      <c r="U32447" s="27"/>
    </row>
    <row r="32448">
      <c r="S32448" s="27"/>
      <c r="T32448" s="27"/>
      <c r="U32448" s="27"/>
    </row>
    <row r="32450">
      <c r="S32450" s="27"/>
      <c r="T32450" s="27"/>
      <c r="U32450" s="27"/>
    </row>
    <row r="32451">
      <c r="S32451" s="27"/>
      <c r="T32451" s="27"/>
      <c r="U32451" s="27"/>
    </row>
    <row r="32453">
      <c r="S32453" s="27"/>
      <c r="T32453" s="27"/>
      <c r="U32453" s="27"/>
    </row>
    <row r="32454">
      <c r="S32454" s="27"/>
      <c r="T32454" s="27"/>
      <c r="U32454" s="27"/>
    </row>
    <row r="32456">
      <c r="S32456" s="27"/>
      <c r="T32456" s="27"/>
      <c r="U32456" s="27"/>
    </row>
    <row r="32457">
      <c r="S32457" s="27"/>
      <c r="T32457" s="27"/>
      <c r="U32457" s="27"/>
    </row>
    <row r="32459">
      <c r="S32459" s="27"/>
      <c r="T32459" s="27"/>
      <c r="U32459" s="27"/>
    </row>
    <row r="32460">
      <c r="S32460" s="27"/>
      <c r="T32460" s="27"/>
      <c r="U32460" s="27"/>
    </row>
    <row r="32462">
      <c r="S32462" s="27"/>
      <c r="T32462" s="27"/>
      <c r="U32462" s="27"/>
    </row>
    <row r="32463">
      <c r="S32463" s="27"/>
      <c r="T32463" s="27"/>
      <c r="U32463" s="27"/>
    </row>
    <row r="32465">
      <c r="S32465" s="27"/>
      <c r="T32465" s="27"/>
      <c r="U32465" s="27"/>
    </row>
    <row r="32466">
      <c r="S32466" s="27"/>
      <c r="T32466" s="27"/>
      <c r="U32466" s="27"/>
    </row>
    <row r="32468">
      <c r="S32468" s="27"/>
      <c r="T32468" s="27"/>
      <c r="U32468" s="27"/>
    </row>
    <row r="32469">
      <c r="S32469" s="27"/>
      <c r="T32469" s="27"/>
      <c r="U32469" s="27"/>
    </row>
    <row r="32471">
      <c r="S32471" s="27"/>
      <c r="T32471" s="27"/>
      <c r="U32471" s="27"/>
    </row>
    <row r="32472">
      <c r="S32472" s="27"/>
      <c r="T32472" s="27"/>
      <c r="U32472" s="27"/>
    </row>
    <row r="32474">
      <c r="S32474" s="27"/>
      <c r="T32474" s="27"/>
      <c r="U32474" s="27"/>
    </row>
    <row r="32475">
      <c r="S32475" s="27"/>
      <c r="T32475" s="27"/>
      <c r="U32475" s="27"/>
    </row>
    <row r="32477">
      <c r="S32477" s="27"/>
      <c r="T32477" s="27"/>
      <c r="U32477" s="27"/>
    </row>
    <row r="32478">
      <c r="S32478" s="27"/>
      <c r="T32478" s="27"/>
      <c r="U32478" s="27"/>
    </row>
    <row r="32480">
      <c r="S32480" s="27"/>
      <c r="T32480" s="27"/>
      <c r="U32480" s="27"/>
    </row>
    <row r="32481">
      <c r="S32481" s="27"/>
      <c r="T32481" s="27"/>
      <c r="U32481" s="27"/>
    </row>
    <row r="32483">
      <c r="S32483" s="27"/>
      <c r="T32483" s="27"/>
      <c r="U32483" s="27"/>
    </row>
    <row r="32484">
      <c r="S32484" s="27"/>
      <c r="T32484" s="27"/>
      <c r="U32484" s="27"/>
    </row>
    <row r="32486">
      <c r="S32486" s="27"/>
      <c r="T32486" s="27"/>
      <c r="U32486" s="27"/>
    </row>
    <row r="32487">
      <c r="S32487" s="27"/>
      <c r="T32487" s="27"/>
      <c r="U32487" s="27"/>
    </row>
    <row r="32489">
      <c r="S32489" s="27"/>
      <c r="T32489" s="27"/>
      <c r="U32489" s="27"/>
    </row>
    <row r="32490">
      <c r="S32490" s="27"/>
      <c r="T32490" s="27"/>
      <c r="U32490" s="27"/>
    </row>
    <row r="32492">
      <c r="S32492" s="27"/>
      <c r="T32492" s="27"/>
      <c r="U32492" s="27"/>
    </row>
    <row r="32494">
      <c r="S32494" s="27"/>
      <c r="T32494" s="27"/>
      <c r="U32494" s="27"/>
    </row>
    <row r="32495">
      <c r="S32495" s="27"/>
      <c r="T32495" s="27"/>
      <c r="U32495" s="27"/>
    </row>
    <row r="32497">
      <c r="S32497" s="27"/>
      <c r="T32497" s="27"/>
      <c r="U32497" s="27"/>
    </row>
    <row r="32498">
      <c r="S32498" s="27"/>
      <c r="T32498" s="27"/>
      <c r="U32498" s="27"/>
    </row>
    <row r="32500">
      <c r="S32500" s="27"/>
      <c r="T32500" s="27"/>
      <c r="U32500" s="27"/>
    </row>
    <row r="32501">
      <c r="S32501" s="27"/>
      <c r="T32501" s="27"/>
      <c r="U32501" s="27"/>
    </row>
    <row r="32503">
      <c r="S32503" s="27"/>
      <c r="T32503" s="27"/>
      <c r="U32503" s="27"/>
    </row>
    <row r="32504">
      <c r="S32504" s="27"/>
      <c r="T32504" s="27"/>
      <c r="U32504" s="27"/>
    </row>
    <row r="32506">
      <c r="S32506" s="27"/>
      <c r="T32506" s="27"/>
      <c r="U32506" s="27"/>
    </row>
    <row r="32507">
      <c r="S32507" s="27"/>
      <c r="T32507" s="27"/>
      <c r="U32507" s="27"/>
    </row>
    <row r="32509">
      <c r="S32509" s="27"/>
      <c r="T32509" s="27"/>
      <c r="U32509" s="27"/>
    </row>
    <row r="32510">
      <c r="S32510" s="27"/>
      <c r="T32510" s="27"/>
      <c r="U32510" s="27"/>
    </row>
    <row r="32512">
      <c r="S32512" s="27"/>
      <c r="T32512" s="27"/>
      <c r="U32512" s="27"/>
    </row>
    <row r="32513">
      <c r="S32513" s="27"/>
      <c r="T32513" s="27"/>
      <c r="U32513" s="27"/>
    </row>
    <row r="32515">
      <c r="S32515" s="27"/>
      <c r="T32515" s="27"/>
      <c r="U32515" s="27"/>
    </row>
    <row r="32517">
      <c r="S32517" s="27"/>
      <c r="T32517" s="27"/>
      <c r="U32517" s="27"/>
    </row>
    <row r="32519">
      <c r="S32519" s="27"/>
      <c r="T32519" s="27"/>
      <c r="U32519" s="27"/>
    </row>
    <row r="32521">
      <c r="S32521" s="27"/>
      <c r="T32521" s="27"/>
      <c r="U32521" s="27"/>
    </row>
    <row r="32523">
      <c r="S32523" s="27"/>
      <c r="T32523" s="27"/>
      <c r="U32523" s="27"/>
    </row>
    <row r="32524">
      <c r="S32524" s="27"/>
      <c r="T32524" s="27"/>
      <c r="U32524" s="27"/>
    </row>
    <row r="32526">
      <c r="S32526" s="27"/>
      <c r="T32526" s="27"/>
      <c r="U32526" s="27"/>
    </row>
    <row r="32527">
      <c r="S32527" s="27"/>
      <c r="T32527" s="27"/>
      <c r="U32527" s="27"/>
    </row>
    <row r="32529">
      <c r="S32529" s="27"/>
      <c r="T32529" s="27"/>
      <c r="U32529" s="27"/>
    </row>
    <row r="32530">
      <c r="S32530" s="27"/>
      <c r="T32530" s="27"/>
      <c r="U32530" s="27"/>
    </row>
    <row r="32532">
      <c r="S32532" s="27"/>
      <c r="T32532" s="27"/>
      <c r="U32532" s="27"/>
    </row>
    <row r="32533">
      <c r="S32533" s="27"/>
      <c r="T32533" s="27"/>
      <c r="U32533" s="27"/>
    </row>
    <row r="32535">
      <c r="S32535" s="27"/>
      <c r="T32535" s="27"/>
      <c r="U32535" s="27"/>
    </row>
    <row r="32536">
      <c r="S32536" s="27"/>
      <c r="T32536" s="27"/>
      <c r="U32536" s="27"/>
    </row>
    <row r="32538">
      <c r="S32538" s="27"/>
      <c r="T32538" s="27"/>
      <c r="U32538" s="27"/>
    </row>
    <row r="32539">
      <c r="S32539" s="27"/>
      <c r="T32539" s="27"/>
      <c r="U32539" s="27"/>
    </row>
    <row r="32541">
      <c r="S32541" s="27"/>
      <c r="T32541" s="27"/>
      <c r="U32541" s="27"/>
    </row>
    <row r="32542">
      <c r="S32542" s="27"/>
      <c r="T32542" s="27"/>
      <c r="U32542" s="27"/>
    </row>
    <row r="32544">
      <c r="S32544" s="27"/>
      <c r="T32544" s="27"/>
      <c r="U32544" s="27"/>
    </row>
    <row r="32547">
      <c r="S32547" s="27"/>
      <c r="T32547" s="27"/>
      <c r="U32547" s="27"/>
    </row>
    <row r="32550">
      <c r="S32550" s="27"/>
      <c r="T32550" s="27"/>
      <c r="U32550" s="27"/>
    </row>
    <row r="32551">
      <c r="S32551" s="27"/>
      <c r="T32551" s="27"/>
      <c r="U32551" s="27"/>
    </row>
    <row r="32553">
      <c r="S32553" s="27"/>
      <c r="T32553" s="27"/>
      <c r="U32553" s="27"/>
    </row>
    <row r="32554">
      <c r="S32554" s="27"/>
      <c r="T32554" s="27"/>
      <c r="U32554" s="27"/>
    </row>
    <row r="32556">
      <c r="S32556" s="27"/>
      <c r="T32556" s="27"/>
      <c r="U32556" s="27"/>
    </row>
    <row r="32557">
      <c r="S32557" s="27"/>
      <c r="T32557" s="27"/>
      <c r="U32557" s="27"/>
    </row>
    <row r="32559">
      <c r="U32559" s="26"/>
    </row>
    <row r="32562">
      <c r="S32562" s="27"/>
      <c r="T32562" s="27"/>
      <c r="U32562" s="27"/>
    </row>
    <row r="32563">
      <c r="S32563" s="27"/>
      <c r="T32563" s="27"/>
      <c r="U32563" s="27"/>
    </row>
    <row r="32565">
      <c r="S32565" s="27"/>
      <c r="T32565" s="27"/>
      <c r="U32565" s="27"/>
    </row>
    <row r="32566">
      <c r="S32566" s="27"/>
      <c r="T32566" s="27"/>
      <c r="U32566" s="27"/>
    </row>
    <row r="32568">
      <c r="T32568" s="27"/>
    </row>
    <row r="32569">
      <c r="S32569" s="27"/>
      <c r="U32569" s="27"/>
    </row>
    <row r="32571">
      <c r="U32571" s="27"/>
    </row>
    <row r="32574">
      <c r="S32574" s="26"/>
      <c r="T32574" s="26"/>
      <c r="U32574" s="26"/>
    </row>
    <row r="32577">
      <c r="S32577" s="27"/>
      <c r="T32577" s="27"/>
      <c r="U32577" s="27"/>
    </row>
    <row r="32578">
      <c r="S32578" s="27"/>
      <c r="T32578" s="27"/>
      <c r="U32578" s="27"/>
    </row>
    <row r="32580">
      <c r="S32580" s="27"/>
      <c r="T32580" s="27"/>
      <c r="U32580" s="27"/>
    </row>
    <row r="32581">
      <c r="S32581" s="27"/>
      <c r="T32581" s="27"/>
      <c r="U32581" s="27"/>
    </row>
    <row r="32583">
      <c r="S32583" s="27"/>
      <c r="T32583" s="27"/>
      <c r="U32583" s="27"/>
    </row>
    <row r="32589">
      <c r="S32589" s="27"/>
      <c r="T32589" s="27"/>
      <c r="U32589" s="27"/>
    </row>
    <row r="32592">
      <c r="S32592" s="27"/>
      <c r="T32592" s="27"/>
      <c r="U32592" s="27"/>
    </row>
    <row r="32593">
      <c r="S32593" s="27"/>
      <c r="T32593" s="27"/>
      <c r="U32593" s="27"/>
    </row>
    <row r="32595">
      <c r="S32595" s="27"/>
      <c r="T32595" s="27"/>
      <c r="U32595" s="27"/>
    </row>
    <row r="32596">
      <c r="S32596" s="27"/>
      <c r="T32596" s="27"/>
      <c r="U32596" s="27"/>
    </row>
    <row r="32598">
      <c r="S32598" s="27"/>
      <c r="T32598" s="27"/>
      <c r="U32598" s="27"/>
    </row>
    <row r="32599">
      <c r="S32599" s="27"/>
      <c r="T32599" s="27"/>
      <c r="U32599" s="27"/>
    </row>
    <row r="32601">
      <c r="S32601" s="27"/>
      <c r="T32601" s="27"/>
      <c r="U32601" s="27"/>
    </row>
    <row r="32602">
      <c r="S32602" s="27"/>
      <c r="T32602" s="27"/>
      <c r="U32602" s="27"/>
    </row>
    <row r="32604">
      <c r="S32604" s="27"/>
      <c r="T32604" s="27"/>
      <c r="U32604" s="27"/>
    </row>
    <row r="32605">
      <c r="S32605" s="27"/>
      <c r="T32605" s="27"/>
      <c r="U32605" s="27"/>
    </row>
    <row r="32607">
      <c r="S32607" s="27"/>
      <c r="T32607" s="27"/>
      <c r="U32607" s="27"/>
    </row>
    <row r="32608">
      <c r="S32608" s="27"/>
      <c r="T32608" s="27"/>
      <c r="U32608" s="27"/>
    </row>
    <row r="32610">
      <c r="S32610" s="27"/>
      <c r="T32610" s="27"/>
      <c r="U32610" s="27"/>
    </row>
    <row r="32611">
      <c r="S32611" s="27"/>
      <c r="T32611" s="27"/>
      <c r="U32611" s="27"/>
    </row>
    <row r="32613">
      <c r="S32613" s="27"/>
      <c r="T32613" s="27"/>
      <c r="U32613" s="27"/>
    </row>
    <row r="32614">
      <c r="S32614" s="27"/>
      <c r="T32614" s="27"/>
      <c r="U32614" s="27"/>
    </row>
    <row r="32616">
      <c r="S32616" s="27"/>
      <c r="T32616" s="27"/>
      <c r="U32616" s="27"/>
    </row>
    <row r="32617">
      <c r="S32617" s="27"/>
      <c r="T32617" s="27"/>
      <c r="U32617" s="27"/>
    </row>
    <row r="32619">
      <c r="S32619" s="27"/>
      <c r="T32619" s="27"/>
      <c r="U32619" s="27"/>
    </row>
    <row r="32620">
      <c r="S32620" s="27"/>
      <c r="T32620" s="27"/>
      <c r="U32620" s="27"/>
    </row>
    <row r="32622">
      <c r="S32622" s="27"/>
      <c r="T32622" s="27"/>
      <c r="U32622" s="27"/>
    </row>
    <row r="32623">
      <c r="S32623" s="27"/>
      <c r="T32623" s="27"/>
      <c r="U32623" s="27"/>
    </row>
    <row r="32625">
      <c r="S32625" s="27"/>
      <c r="T32625" s="27"/>
      <c r="U32625" s="27"/>
    </row>
    <row r="32626">
      <c r="S32626" s="27"/>
      <c r="T32626" s="27"/>
      <c r="U32626" s="27"/>
    </row>
    <row r="32628">
      <c r="S32628" s="27"/>
      <c r="T32628" s="27"/>
      <c r="U32628" s="27"/>
    </row>
    <row r="32629">
      <c r="S32629" s="27"/>
      <c r="T32629" s="27"/>
      <c r="U32629" s="27"/>
    </row>
    <row r="32631">
      <c r="S32631" s="27"/>
      <c r="T32631" s="27"/>
      <c r="U32631" s="27"/>
    </row>
    <row r="32632">
      <c r="S32632" s="27"/>
      <c r="T32632" s="27"/>
      <c r="U32632" s="27"/>
    </row>
    <row r="32634">
      <c r="S32634" s="27"/>
      <c r="T32634" s="27"/>
      <c r="U32634" s="27"/>
    </row>
    <row r="32635">
      <c r="S32635" s="27"/>
      <c r="T32635" s="27"/>
      <c r="U32635" s="27"/>
    </row>
    <row r="32637">
      <c r="S32637" s="27"/>
      <c r="T32637" s="27"/>
      <c r="U32637" s="27"/>
    </row>
    <row r="32638">
      <c r="S32638" s="27"/>
      <c r="T32638" s="27"/>
      <c r="U32638" s="27"/>
    </row>
    <row r="32640">
      <c r="S32640" s="27"/>
      <c r="T32640" s="27"/>
      <c r="U32640" s="27"/>
    </row>
    <row r="32641">
      <c r="S32641" s="27"/>
      <c r="T32641" s="27"/>
      <c r="U32641" s="27"/>
    </row>
    <row r="32643">
      <c r="S32643" s="27"/>
      <c r="T32643" s="27"/>
      <c r="U32643" s="27"/>
    </row>
    <row r="32644">
      <c r="S32644" s="27"/>
      <c r="T32644" s="27"/>
      <c r="U32644" s="27"/>
    </row>
    <row r="32646">
      <c r="S32646" s="27"/>
      <c r="T32646" s="27"/>
      <c r="U32646" s="27"/>
    </row>
    <row r="32647">
      <c r="S32647" s="27"/>
      <c r="T32647" s="27"/>
      <c r="U32647" s="27"/>
    </row>
    <row r="32649">
      <c r="S32649" s="27"/>
      <c r="T32649" s="27"/>
      <c r="U32649" s="27"/>
    </row>
    <row r="32650">
      <c r="S32650" s="27"/>
      <c r="T32650" s="27"/>
      <c r="U32650" s="27"/>
    </row>
    <row r="32652">
      <c r="S32652" s="27"/>
      <c r="T32652" s="27"/>
      <c r="U32652" s="27"/>
    </row>
    <row r="32653">
      <c r="S32653" s="27"/>
      <c r="T32653" s="27"/>
      <c r="U32653" s="27"/>
    </row>
    <row r="32655">
      <c r="S32655" s="27"/>
      <c r="T32655" s="27"/>
      <c r="U32655" s="27"/>
    </row>
    <row r="32656">
      <c r="S32656" s="27"/>
      <c r="T32656" s="27"/>
      <c r="U32656" s="27"/>
    </row>
    <row r="32658">
      <c r="S32658" s="27"/>
      <c r="T32658" s="27"/>
      <c r="U32658" s="27"/>
    </row>
    <row r="32659">
      <c r="S32659" s="27"/>
      <c r="T32659" s="27"/>
      <c r="U32659" s="27"/>
    </row>
    <row r="32661">
      <c r="S32661" s="27"/>
      <c r="T32661" s="27"/>
      <c r="U32661" s="27"/>
    </row>
    <row r="32662">
      <c r="S32662" s="27"/>
      <c r="T32662" s="27"/>
      <c r="U32662" s="27"/>
    </row>
    <row r="32664">
      <c r="S32664" s="27"/>
      <c r="T32664" s="27"/>
      <c r="U32664" s="27"/>
    </row>
    <row r="32665">
      <c r="S32665" s="27"/>
      <c r="T32665" s="27"/>
      <c r="U32665" s="27"/>
    </row>
    <row r="32667">
      <c r="S32667" s="27"/>
      <c r="T32667" s="27"/>
      <c r="U32667" s="27"/>
    </row>
    <row r="32668">
      <c r="S32668" s="27"/>
      <c r="T32668" s="27"/>
      <c r="U32668" s="27"/>
    </row>
    <row r="32670">
      <c r="S32670" s="27"/>
      <c r="T32670" s="27"/>
      <c r="U32670" s="27"/>
    </row>
    <row r="32671">
      <c r="S32671" s="27"/>
    </row>
    <row r="32673">
      <c r="T32673" s="27"/>
      <c r="U32673" s="33"/>
    </row>
    <row r="32674">
      <c r="S32674" s="26"/>
      <c r="T32674" s="34"/>
      <c r="U32674" s="27"/>
    </row>
    <row r="32676">
      <c r="S32676" s="27"/>
      <c r="T32676" s="27"/>
      <c r="U32676" s="27"/>
    </row>
    <row r="32677">
      <c r="S32677" s="27"/>
      <c r="T32677" s="27"/>
      <c r="U32677" s="27"/>
    </row>
    <row r="32679">
      <c r="T32679" s="27"/>
      <c r="U32679" s="27"/>
    </row>
    <row r="32680">
      <c r="S32680" s="27"/>
      <c r="T32680" s="26"/>
      <c r="U32680" s="26"/>
    </row>
    <row r="32682">
      <c r="S32682" s="27"/>
      <c r="U32682" s="27"/>
    </row>
    <row r="32683">
      <c r="S32683" s="27"/>
      <c r="T32683" s="27"/>
      <c r="U32683" s="27"/>
    </row>
    <row r="32685">
      <c r="S32685" s="27"/>
      <c r="T32685" s="27"/>
      <c r="U32685" s="27"/>
    </row>
    <row r="32686">
      <c r="S32686" s="27"/>
      <c r="T32686" s="27"/>
      <c r="U32686" s="27"/>
    </row>
    <row r="32688">
      <c r="S32688" s="27"/>
      <c r="T32688" s="27"/>
      <c r="U32688" s="27"/>
    </row>
    <row r="32689">
      <c r="S32689" s="27"/>
      <c r="T32689" s="27"/>
      <c r="U32689" s="27"/>
    </row>
    <row r="32691">
      <c r="T32691" s="27"/>
      <c r="U32691" s="34"/>
    </row>
    <row r="32694">
      <c r="S32694" s="26"/>
      <c r="U32694" s="27"/>
    </row>
    <row r="32697">
      <c r="S32697" s="27"/>
      <c r="T32697" s="27"/>
      <c r="U32697" s="27"/>
    </row>
    <row r="32699">
      <c r="S32699" s="27"/>
      <c r="T32699" s="27"/>
      <c r="U32699" s="27"/>
    </row>
    <row r="32701">
      <c r="S32701" s="27"/>
      <c r="T32701" s="26"/>
      <c r="U32701" s="26"/>
    </row>
    <row r="32704">
      <c r="S32704" s="27"/>
      <c r="T32704" s="27"/>
    </row>
    <row r="32707">
      <c r="S32707" s="27"/>
      <c r="T32707" s="27"/>
      <c r="U32707" s="27"/>
    </row>
    <row r="32708">
      <c r="S32708" s="27"/>
      <c r="T32708" s="27"/>
      <c r="U32708" s="27"/>
    </row>
    <row r="32710">
      <c r="S32710" s="27"/>
      <c r="T32710" s="27"/>
      <c r="U32710" s="27"/>
    </row>
    <row r="32711">
      <c r="S32711" s="27"/>
      <c r="T32711" s="27"/>
      <c r="U32711" s="27"/>
    </row>
    <row r="32713">
      <c r="T32713" s="27"/>
      <c r="U32713" s="27"/>
    </row>
    <row r="32714">
      <c r="S32714" s="27"/>
      <c r="T32714" s="27"/>
      <c r="U32714" s="27"/>
    </row>
    <row r="32716">
      <c r="S32716" s="27"/>
      <c r="T32716" s="27"/>
      <c r="U32716" s="27"/>
    </row>
    <row r="32717">
      <c r="S32717" s="27"/>
      <c r="T32717" s="27"/>
      <c r="U32717" s="27"/>
    </row>
    <row r="32719">
      <c r="S32719" s="27"/>
      <c r="T32719" s="27"/>
    </row>
    <row r="32720">
      <c r="S32720" s="27"/>
      <c r="T32720" s="27"/>
      <c r="U32720" s="27"/>
    </row>
    <row r="32725">
      <c r="S32725" s="27"/>
      <c r="T32725" s="27"/>
      <c r="U32725" s="27"/>
    </row>
    <row r="32726">
      <c r="S32726" s="27"/>
      <c r="T32726" s="27"/>
      <c r="U32726" s="27"/>
    </row>
    <row r="32728">
      <c r="S32728" s="27"/>
      <c r="T32728" s="27"/>
      <c r="U32728" s="27"/>
    </row>
    <row r="32729">
      <c r="S32729" s="27"/>
      <c r="T32729" s="27"/>
      <c r="U32729" s="27"/>
    </row>
    <row r="32731">
      <c r="S32731" s="27"/>
      <c r="T32731" s="27"/>
      <c r="U32731" s="27"/>
    </row>
    <row r="32732">
      <c r="S32732" s="27"/>
      <c r="T32732" s="27"/>
      <c r="U32732" s="27"/>
    </row>
    <row r="32734">
      <c r="S32734" s="33"/>
      <c r="T32734" s="33"/>
      <c r="U32734" s="33"/>
    </row>
    <row r="32737">
      <c r="S32737" s="27"/>
      <c r="T32737" s="27"/>
    </row>
    <row r="32738">
      <c r="S32738" s="27"/>
      <c r="T32738" s="27"/>
    </row>
    <row r="32740">
      <c r="S32740" s="27"/>
      <c r="T32740" s="27"/>
      <c r="U32740" s="27"/>
    </row>
    <row r="32743">
      <c r="S32743" s="27"/>
      <c r="T32743" s="27"/>
      <c r="U32743" s="27"/>
    </row>
    <row r="32744">
      <c r="S32744" s="33"/>
      <c r="T32744" s="33"/>
      <c r="U32744" s="33"/>
    </row>
    <row r="32746">
      <c r="S32746" s="27"/>
    </row>
    <row r="32747">
      <c r="S32747" s="26"/>
      <c r="T32747" s="26"/>
      <c r="U32747" s="26"/>
    </row>
    <row r="32749">
      <c r="S32749" s="27"/>
      <c r="T32749" s="27"/>
      <c r="U32749" s="27"/>
    </row>
    <row r="32750">
      <c r="S32750" s="27"/>
      <c r="T32750" s="27"/>
      <c r="U32750" s="27"/>
    </row>
    <row r="32752">
      <c r="S32752" s="27"/>
      <c r="T32752" s="27"/>
      <c r="U32752" s="27"/>
    </row>
    <row r="32753">
      <c r="S32753" s="27"/>
      <c r="T32753" s="27"/>
      <c r="U32753" s="27"/>
    </row>
    <row r="32755">
      <c r="S32755" s="27"/>
      <c r="T32755" s="27"/>
      <c r="U32755" s="27"/>
    </row>
    <row r="32756">
      <c r="S32756" s="27"/>
      <c r="T32756" s="27"/>
      <c r="U32756" s="27"/>
    </row>
    <row r="32758">
      <c r="S32758" s="27"/>
      <c r="T32758" s="27"/>
      <c r="U32758" s="27"/>
    </row>
    <row r="32759">
      <c r="S32759" s="27"/>
      <c r="T32759" s="27"/>
      <c r="U32759" s="27"/>
    </row>
    <row r="32761">
      <c r="T32761" s="26"/>
    </row>
    <row r="32764">
      <c r="S32764" s="27"/>
      <c r="T32764" s="33"/>
      <c r="U32764" s="27"/>
    </row>
    <row r="32765">
      <c r="S32765" s="27"/>
      <c r="T32765" s="27"/>
      <c r="U32765" s="27"/>
    </row>
    <row r="32767">
      <c r="S32767" s="27"/>
      <c r="T32767" s="27"/>
      <c r="U32767" s="27"/>
    </row>
    <row r="32768">
      <c r="S32768" s="27"/>
      <c r="T32768" s="27"/>
      <c r="U32768" s="27"/>
    </row>
    <row r="32770">
      <c r="S32770" s="27"/>
      <c r="T32770" s="27"/>
      <c r="U32770" s="27"/>
    </row>
    <row r="32773">
      <c r="S32773" s="26"/>
      <c r="T32773" s="27"/>
    </row>
    <row r="32774">
      <c r="T32774" s="27"/>
    </row>
    <row r="32776">
      <c r="S32776" s="27"/>
      <c r="T32776" s="27"/>
      <c r="U32776" s="27"/>
    </row>
    <row r="32777">
      <c r="S32777" s="27"/>
      <c r="T32777" s="27"/>
      <c r="U32777" s="27"/>
    </row>
    <row r="32779">
      <c r="S32779" s="27"/>
      <c r="T32779" s="27"/>
      <c r="U32779" s="27"/>
    </row>
    <row r="32780">
      <c r="S32780" s="27"/>
      <c r="T32780" s="27"/>
      <c r="U32780" s="27"/>
    </row>
    <row r="32782">
      <c r="S32782" s="27"/>
      <c r="T32782" s="27"/>
      <c r="U32782" s="27"/>
    </row>
    <row r="32783">
      <c r="S32783" s="26"/>
      <c r="T32783" s="26"/>
      <c r="U32783" s="26"/>
    </row>
    <row r="32785">
      <c r="S32785" s="34"/>
      <c r="T32785" s="34"/>
      <c r="U32785" s="34"/>
    </row>
    <row r="32786">
      <c r="S32786" s="26"/>
      <c r="T32786" s="26"/>
      <c r="U32786" s="26"/>
    </row>
    <row r="32791">
      <c r="S32791" s="27"/>
      <c r="T32791" s="27"/>
      <c r="U32791" s="27"/>
    </row>
    <row r="32794">
      <c r="S32794" s="27"/>
      <c r="T32794" s="27"/>
      <c r="U32794" s="27"/>
    </row>
    <row r="32795">
      <c r="S32795" s="27"/>
      <c r="T32795" s="27"/>
      <c r="U32795" s="27"/>
    </row>
    <row r="32797">
      <c r="S32797" s="27"/>
      <c r="T32797" s="27"/>
      <c r="U32797" s="27"/>
    </row>
    <row r="32798">
      <c r="S32798" s="27"/>
      <c r="T32798" s="27"/>
      <c r="U32798" s="27"/>
    </row>
    <row r="32800">
      <c r="S32800" s="27"/>
      <c r="T32800" s="27"/>
      <c r="U32800" s="27"/>
    </row>
    <row r="32801">
      <c r="S32801" s="27"/>
      <c r="T32801" s="27"/>
      <c r="U32801" s="27"/>
    </row>
    <row r="32803">
      <c r="S32803" s="27"/>
    </row>
    <row r="32804">
      <c r="T32804" s="26"/>
      <c r="U32804" s="26"/>
    </row>
    <row r="32806">
      <c r="S32806" s="27"/>
      <c r="T32806" s="27"/>
      <c r="U32806" s="27"/>
    </row>
    <row r="32807">
      <c r="S32807" s="27"/>
      <c r="T32807" s="27"/>
      <c r="U32807" s="27"/>
    </row>
    <row r="32809">
      <c r="S32809" s="27"/>
      <c r="T32809" s="27"/>
      <c r="U32809" s="27"/>
    </row>
    <row r="32810">
      <c r="S32810" s="27"/>
      <c r="T32810" s="27"/>
      <c r="U32810" s="27"/>
    </row>
    <row r="32812">
      <c r="S32812" s="27"/>
      <c r="T32812" s="27"/>
      <c r="U32812" s="27"/>
    </row>
    <row r="32813">
      <c r="S32813" s="27"/>
      <c r="T32813" s="27"/>
      <c r="U32813" s="27"/>
    </row>
    <row r="32815">
      <c r="S32815" s="27"/>
      <c r="T32815" s="27"/>
      <c r="U32815" s="27"/>
    </row>
    <row r="32816">
      <c r="S32816" s="27"/>
      <c r="T32816" s="27"/>
      <c r="U32816" s="27"/>
    </row>
    <row r="32818">
      <c r="S32818" s="27"/>
      <c r="T32818" s="27"/>
      <c r="U32818" s="27"/>
    </row>
    <row r="32819">
      <c r="S32819" s="27"/>
      <c r="T32819" s="27"/>
      <c r="U32819" s="27"/>
    </row>
    <row r="32821">
      <c r="S32821" s="27"/>
      <c r="T32821" s="27"/>
      <c r="U32821" s="27"/>
    </row>
    <row r="32822">
      <c r="S32822" s="27"/>
      <c r="T32822" s="27"/>
      <c r="U32822" s="27"/>
    </row>
    <row r="32824">
      <c r="S32824" s="27"/>
      <c r="T32824" s="27"/>
      <c r="U32824" s="27"/>
    </row>
    <row r="32825">
      <c r="S32825" s="27"/>
      <c r="T32825" s="27"/>
      <c r="U32825" s="27"/>
    </row>
    <row r="32827">
      <c r="S32827" s="27"/>
      <c r="T32827" s="27"/>
      <c r="U32827" s="27"/>
    </row>
    <row r="32828">
      <c r="S32828" s="27"/>
      <c r="T32828" s="27"/>
      <c r="U32828" s="27"/>
    </row>
    <row r="32830">
      <c r="S32830" s="27"/>
      <c r="T32830" s="27"/>
      <c r="U32830" s="27"/>
    </row>
    <row r="32831">
      <c r="S32831" s="27"/>
      <c r="T32831" s="27"/>
      <c r="U32831" s="27"/>
    </row>
    <row r="32833">
      <c r="S32833" s="27"/>
      <c r="T32833" s="27"/>
      <c r="U32833" s="27"/>
    </row>
    <row r="32834">
      <c r="S32834" s="27"/>
      <c r="T32834" s="27"/>
      <c r="U32834" s="27"/>
    </row>
    <row r="32836">
      <c r="S32836" s="27"/>
      <c r="T32836" s="27"/>
      <c r="U32836" s="27"/>
    </row>
    <row r="32837">
      <c r="S32837" s="27"/>
      <c r="T32837" s="27"/>
      <c r="U32837" s="27"/>
    </row>
    <row r="32839">
      <c r="S32839" s="27"/>
      <c r="T32839" s="27"/>
      <c r="U32839" s="27"/>
    </row>
    <row r="32840">
      <c r="S32840" s="27"/>
      <c r="T32840" s="27"/>
      <c r="U32840" s="27"/>
    </row>
    <row r="32842">
      <c r="S32842" s="27"/>
      <c r="T32842" s="27"/>
      <c r="U32842" s="27"/>
    </row>
    <row r="32843">
      <c r="S32843" s="27"/>
      <c r="T32843" s="27"/>
      <c r="U32843" s="27"/>
    </row>
    <row r="32845">
      <c r="S32845" s="27"/>
      <c r="T32845" s="27"/>
      <c r="U32845" s="27"/>
    </row>
    <row r="32846">
      <c r="S32846" s="27"/>
      <c r="T32846" s="27"/>
      <c r="U32846" s="27"/>
    </row>
    <row r="32848">
      <c r="S32848" s="27"/>
      <c r="T32848" s="27"/>
      <c r="U32848" s="27"/>
    </row>
    <row r="32849">
      <c r="S32849" s="27"/>
      <c r="T32849" s="27"/>
      <c r="U32849" s="27"/>
    </row>
    <row r="32851">
      <c r="S32851" s="27"/>
      <c r="T32851" s="27"/>
      <c r="U32851" s="27"/>
    </row>
    <row r="32852">
      <c r="S32852" s="27"/>
      <c r="T32852" s="27"/>
      <c r="U32852" s="27"/>
    </row>
    <row r="32854">
      <c r="S32854" s="27"/>
      <c r="T32854" s="27"/>
      <c r="U32854" s="27"/>
    </row>
    <row r="32855">
      <c r="S32855" s="27"/>
      <c r="T32855" s="27"/>
      <c r="U32855" s="27"/>
    </row>
    <row r="32857">
      <c r="S32857" s="27"/>
      <c r="T32857" s="27"/>
      <c r="U32857" s="27"/>
    </row>
    <row r="32858">
      <c r="S32858" s="27"/>
      <c r="T32858" s="27"/>
      <c r="U32858" s="27"/>
    </row>
    <row r="32860">
      <c r="S32860" s="27"/>
      <c r="T32860" s="27"/>
      <c r="U32860" s="27"/>
    </row>
    <row r="32861">
      <c r="S32861" s="27"/>
      <c r="T32861" s="27"/>
      <c r="U32861" s="27"/>
    </row>
    <row r="32863">
      <c r="S32863" s="27"/>
      <c r="T32863" s="27"/>
      <c r="U32863" s="27"/>
    </row>
    <row r="32864">
      <c r="S32864" s="27"/>
      <c r="T32864" s="27"/>
      <c r="U32864" s="27"/>
    </row>
    <row r="32866">
      <c r="S32866" s="27"/>
      <c r="T32866" s="27"/>
      <c r="U32866" s="27"/>
    </row>
    <row r="32867">
      <c r="S32867" s="27"/>
      <c r="T32867" s="27"/>
      <c r="U32867" s="27"/>
    </row>
    <row r="32869">
      <c r="S32869" s="27"/>
      <c r="T32869" s="27"/>
      <c r="U32869" s="27"/>
    </row>
    <row r="32870">
      <c r="S32870" s="27"/>
      <c r="T32870" s="27"/>
      <c r="U32870" s="27"/>
    </row>
    <row r="32872">
      <c r="S32872" s="27"/>
      <c r="T32872" s="27"/>
      <c r="U32872" s="27"/>
    </row>
    <row r="32873">
      <c r="S32873" s="27"/>
      <c r="T32873" s="27"/>
      <c r="U32873" s="27"/>
    </row>
    <row r="32875">
      <c r="S32875" s="27"/>
      <c r="T32875" s="27"/>
      <c r="U32875" s="27"/>
    </row>
    <row r="32876">
      <c r="S32876" s="27"/>
      <c r="T32876" s="27"/>
      <c r="U32876" s="27"/>
    </row>
    <row r="32878">
      <c r="S32878" s="27"/>
      <c r="T32878" s="27"/>
      <c r="U32878" s="27"/>
    </row>
    <row r="32879">
      <c r="S32879" s="27"/>
      <c r="T32879" s="27"/>
      <c r="U32879" s="27"/>
    </row>
    <row r="32881">
      <c r="S32881" s="27"/>
      <c r="T32881" s="27"/>
      <c r="U32881" s="27"/>
    </row>
    <row r="32882">
      <c r="S32882" s="27"/>
      <c r="T32882" s="27"/>
      <c r="U32882" s="27"/>
    </row>
    <row r="32884">
      <c r="S32884" s="27"/>
      <c r="T32884" s="27"/>
      <c r="U32884" s="27"/>
    </row>
    <row r="32885">
      <c r="S32885" s="27"/>
      <c r="T32885" s="27"/>
      <c r="U32885" s="27"/>
    </row>
    <row r="32887">
      <c r="S32887" s="27"/>
      <c r="T32887" s="27"/>
      <c r="U32887" s="27"/>
    </row>
    <row r="32888">
      <c r="S32888" s="27"/>
      <c r="T32888" s="27"/>
      <c r="U32888" s="27"/>
    </row>
    <row r="32890">
      <c r="S32890" s="27"/>
      <c r="T32890" s="27"/>
      <c r="U32890" s="27"/>
    </row>
    <row r="32891">
      <c r="S32891" s="27"/>
      <c r="T32891" s="27"/>
      <c r="U32891" s="27"/>
    </row>
    <row r="32893">
      <c r="S32893" s="27"/>
      <c r="T32893" s="27"/>
      <c r="U32893" s="27"/>
    </row>
    <row r="32894">
      <c r="S32894" s="27"/>
      <c r="T32894" s="27"/>
      <c r="U32894" s="27"/>
    </row>
    <row r="32896">
      <c r="S32896" s="27"/>
      <c r="T32896" s="27"/>
      <c r="U32896" s="27"/>
    </row>
    <row r="32897">
      <c r="S32897" s="27"/>
      <c r="T32897" s="27"/>
      <c r="U32897" s="27"/>
    </row>
    <row r="32899">
      <c r="S32899" s="27"/>
      <c r="T32899" s="27"/>
      <c r="U32899" s="27"/>
    </row>
    <row r="32900">
      <c r="S32900" s="27"/>
      <c r="T32900" s="27"/>
      <c r="U32900" s="27"/>
    </row>
    <row r="32902">
      <c r="S32902" s="27"/>
      <c r="T32902" s="27"/>
      <c r="U32902" s="27"/>
    </row>
    <row r="32904">
      <c r="S32904" s="27"/>
      <c r="T32904" s="27"/>
    </row>
    <row r="32905">
      <c r="S32905" s="27"/>
      <c r="T32905" s="27"/>
      <c r="U32905" s="27"/>
    </row>
    <row r="32907">
      <c r="S32907" s="27"/>
      <c r="T32907" s="27"/>
      <c r="U32907" s="27"/>
    </row>
    <row r="32908">
      <c r="S32908" s="27"/>
      <c r="T32908" s="27"/>
      <c r="U32908" s="27"/>
    </row>
    <row r="32910">
      <c r="S32910" s="27"/>
      <c r="T32910" s="27"/>
      <c r="U32910" s="27"/>
    </row>
    <row r="32911">
      <c r="S32911" s="27"/>
      <c r="T32911" s="27"/>
      <c r="U32911" s="27"/>
    </row>
    <row r="32913">
      <c r="S32913" s="27"/>
      <c r="T32913" s="27"/>
      <c r="U32913" s="27"/>
    </row>
    <row r="32914">
      <c r="S32914" s="27"/>
      <c r="T32914" s="27"/>
      <c r="U32914" s="27"/>
    </row>
    <row r="32916">
      <c r="S32916" s="27"/>
      <c r="T32916" s="27"/>
      <c r="U32916" s="27"/>
    </row>
    <row r="32917">
      <c r="S32917" s="27"/>
      <c r="T32917" s="27"/>
      <c r="U32917" s="27"/>
    </row>
    <row r="32919">
      <c r="S32919" s="27"/>
      <c r="T32919" s="27"/>
      <c r="U32919" s="27"/>
    </row>
    <row r="32920">
      <c r="S32920" s="27"/>
      <c r="T32920" s="27"/>
      <c r="U32920" s="27"/>
    </row>
    <row r="32922">
      <c r="S32922" s="27"/>
      <c r="T32922" s="27"/>
      <c r="U32922" s="27"/>
    </row>
    <row r="32923">
      <c r="S32923" s="27"/>
      <c r="T32923" s="27"/>
      <c r="U32923" s="27"/>
    </row>
    <row r="32925">
      <c r="S32925" s="27"/>
      <c r="T32925" s="27"/>
      <c r="U32925" s="27"/>
    </row>
    <row r="32927">
      <c r="S32927" s="27"/>
      <c r="T32927" s="27"/>
      <c r="U32927" s="27"/>
    </row>
    <row r="32929">
      <c r="U32929" s="27"/>
    </row>
    <row r="32931">
      <c r="S32931" s="27"/>
      <c r="T32931" s="27"/>
      <c r="U32931" s="27"/>
    </row>
    <row r="32933">
      <c r="S32933" s="27"/>
      <c r="T32933" s="27"/>
      <c r="U32933" s="27"/>
    </row>
    <row r="32934">
      <c r="S32934" s="27"/>
      <c r="T32934" s="27"/>
      <c r="U32934" s="27"/>
    </row>
    <row r="32936">
      <c r="S32936" s="27"/>
      <c r="T32936" s="27"/>
      <c r="U32936" s="27"/>
    </row>
    <row r="32937">
      <c r="S32937" s="27"/>
      <c r="T32937" s="27"/>
      <c r="U32937" s="27"/>
    </row>
    <row r="32939">
      <c r="S32939" s="27"/>
      <c r="T32939" s="27"/>
      <c r="U32939" s="27"/>
    </row>
    <row r="32940">
      <c r="S32940" s="33"/>
      <c r="T32940" s="33"/>
      <c r="U32940" s="33"/>
    </row>
    <row r="32942">
      <c r="S32942" s="27"/>
      <c r="T32942" s="27"/>
      <c r="U32942" s="27"/>
    </row>
    <row r="32943">
      <c r="S32943" s="27"/>
      <c r="T32943" s="27"/>
      <c r="U32943" s="27"/>
    </row>
    <row r="32945">
      <c r="S32945" s="27"/>
      <c r="T32945" s="27"/>
      <c r="U32945" s="27"/>
    </row>
    <row r="32946">
      <c r="S32946" s="27"/>
      <c r="T32946" s="27"/>
      <c r="U32946" s="27"/>
    </row>
    <row r="32948">
      <c r="S32948" s="27"/>
      <c r="T32948" s="27"/>
      <c r="U32948" s="27"/>
    </row>
    <row r="32949">
      <c r="S32949" s="27"/>
      <c r="T32949" s="27"/>
      <c r="U32949" s="27"/>
    </row>
    <row r="32951">
      <c r="S32951" s="27"/>
      <c r="T32951" s="27"/>
      <c r="U32951" s="27"/>
    </row>
    <row r="32952">
      <c r="S32952" s="27"/>
      <c r="T32952" s="27"/>
      <c r="U32952" s="27"/>
    </row>
    <row r="32954">
      <c r="S32954" s="26"/>
      <c r="T32954" s="26"/>
      <c r="U32954" s="26"/>
    </row>
    <row r="32957">
      <c r="S32957" s="27"/>
      <c r="T32957" s="27"/>
      <c r="U32957" s="27"/>
    </row>
    <row r="32960">
      <c r="S32960" s="27"/>
      <c r="T32960" s="27"/>
      <c r="U32960" s="27"/>
    </row>
    <row r="32961">
      <c r="S32961" s="27"/>
      <c r="T32961" s="27"/>
      <c r="U32961" s="27"/>
    </row>
    <row r="32963">
      <c r="S32963" s="27"/>
      <c r="T32963" s="27"/>
      <c r="U32963" s="27"/>
    </row>
    <row r="32964">
      <c r="S32964" s="27"/>
      <c r="T32964" s="27"/>
      <c r="U32964" s="27"/>
    </row>
    <row r="32966">
      <c r="S32966" s="27"/>
      <c r="T32966" s="27"/>
      <c r="U32966" s="27"/>
    </row>
    <row r="32967">
      <c r="S32967" s="27"/>
      <c r="T32967" s="27"/>
      <c r="U32967" s="27"/>
    </row>
    <row r="32969">
      <c r="S32969" s="26"/>
      <c r="T32969" s="26"/>
      <c r="U32969" s="26"/>
    </row>
    <row r="32972">
      <c r="S32972" s="27"/>
      <c r="T32972" s="27"/>
      <c r="U32972" s="27"/>
    </row>
    <row r="32973">
      <c r="S32973" s="27"/>
      <c r="T32973" s="27"/>
      <c r="U32973" s="27"/>
    </row>
    <row r="32975">
      <c r="S32975" s="27"/>
      <c r="T32975" s="27"/>
      <c r="U32975" s="27"/>
    </row>
    <row r="32976">
      <c r="S32976" s="27"/>
      <c r="T32976" s="27"/>
      <c r="U32976" s="27"/>
    </row>
    <row r="32978">
      <c r="S32978" s="27"/>
      <c r="U32978" s="26"/>
    </row>
    <row r="32979">
      <c r="S32979" s="27"/>
      <c r="T32979" s="27"/>
    </row>
    <row r="32984">
      <c r="S32984" s="26"/>
      <c r="T32984" s="26"/>
      <c r="U32984" s="26"/>
    </row>
    <row r="32987">
      <c r="S32987" s="27"/>
      <c r="T32987" s="27"/>
      <c r="U32987" s="27"/>
    </row>
    <row r="32988">
      <c r="S32988" s="27"/>
      <c r="T32988" s="27"/>
      <c r="U32988" s="27"/>
    </row>
    <row r="32990">
      <c r="S32990" s="27"/>
      <c r="T32990" s="27"/>
      <c r="U32990" s="27"/>
    </row>
    <row r="32991">
      <c r="S32991" s="27"/>
      <c r="T32991" s="27"/>
      <c r="U32991" s="27"/>
    </row>
    <row r="32996">
      <c r="S32996" s="27"/>
      <c r="T32996" s="27"/>
      <c r="U32996" s="27"/>
    </row>
    <row r="32999">
      <c r="S32999" s="27"/>
      <c r="T32999" s="27"/>
      <c r="U32999" s="27"/>
    </row>
    <row r="33000">
      <c r="S33000" s="27"/>
      <c r="T33000" s="27"/>
      <c r="U33000" s="27"/>
    </row>
    <row r="33002">
      <c r="S33002" s="27"/>
      <c r="T33002" s="27"/>
      <c r="U33002" s="27"/>
    </row>
    <row r="33003">
      <c r="S33003" s="27"/>
      <c r="T33003" s="27"/>
      <c r="U33003" s="27"/>
    </row>
    <row r="33005">
      <c r="S33005" s="27"/>
      <c r="T33005" s="27"/>
      <c r="U33005" s="27"/>
    </row>
    <row r="33006">
      <c r="S33006" s="27"/>
      <c r="T33006" s="27"/>
      <c r="U33006" s="27"/>
    </row>
    <row r="33008">
      <c r="S33008" s="27"/>
      <c r="T33008" s="27"/>
      <c r="U33008" s="27"/>
    </row>
    <row r="33009">
      <c r="S33009" s="27"/>
      <c r="T33009" s="27"/>
      <c r="U33009" s="27"/>
    </row>
    <row r="33011">
      <c r="S33011" s="27"/>
      <c r="T33011" s="27"/>
      <c r="U33011" s="27"/>
    </row>
    <row r="33012">
      <c r="S33012" s="27"/>
      <c r="T33012" s="27"/>
      <c r="U33012" s="27"/>
    </row>
    <row r="33014">
      <c r="S33014" s="27"/>
      <c r="T33014" s="27"/>
      <c r="U33014" s="27"/>
    </row>
    <row r="33015">
      <c r="S33015" s="27"/>
      <c r="T33015" s="27"/>
      <c r="U33015" s="27"/>
    </row>
    <row r="33017">
      <c r="S33017" s="27"/>
      <c r="T33017" s="27"/>
      <c r="U33017" s="27"/>
    </row>
    <row r="33018">
      <c r="S33018" s="27"/>
      <c r="T33018" s="27"/>
      <c r="U33018" s="27"/>
    </row>
    <row r="33020">
      <c r="S33020" s="27"/>
      <c r="T33020" s="27"/>
      <c r="U33020" s="27"/>
    </row>
    <row r="33021">
      <c r="S33021" s="27"/>
      <c r="T33021" s="27"/>
      <c r="U33021" s="27"/>
    </row>
    <row r="33023">
      <c r="S33023" s="27"/>
      <c r="T33023" s="27"/>
      <c r="U33023" s="27"/>
    </row>
    <row r="33024">
      <c r="S33024" s="27"/>
      <c r="T33024" s="27"/>
      <c r="U33024" s="27"/>
    </row>
    <row r="33026">
      <c r="S33026" s="27"/>
      <c r="T33026" s="27"/>
      <c r="U33026" s="27"/>
    </row>
    <row r="33027">
      <c r="S33027" s="27"/>
      <c r="T33027" s="27"/>
      <c r="U33027" s="27"/>
    </row>
    <row r="33029">
      <c r="S33029" s="27"/>
      <c r="T33029" s="27"/>
      <c r="U33029" s="27"/>
    </row>
    <row r="33030">
      <c r="S33030" s="27"/>
      <c r="T33030" s="27"/>
      <c r="U33030" s="27"/>
    </row>
    <row r="33032">
      <c r="S33032" s="27"/>
      <c r="T33032" s="27"/>
      <c r="U33032" s="27"/>
    </row>
    <row r="33033">
      <c r="S33033" s="27"/>
      <c r="T33033" s="27"/>
      <c r="U33033" s="27"/>
    </row>
    <row r="33035">
      <c r="S33035" s="27"/>
      <c r="T33035" s="27"/>
      <c r="U33035" s="27"/>
    </row>
    <row r="33036">
      <c r="S33036" s="27"/>
      <c r="T33036" s="27"/>
      <c r="U33036" s="27"/>
    </row>
    <row r="33038">
      <c r="S33038" s="27"/>
      <c r="T33038" s="27"/>
      <c r="U33038" s="27"/>
    </row>
    <row r="33039">
      <c r="S33039" s="27"/>
      <c r="T33039" s="27"/>
      <c r="U33039" s="27"/>
    </row>
    <row r="33041">
      <c r="S33041" s="27"/>
      <c r="T33041" s="27"/>
      <c r="U33041" s="27"/>
    </row>
    <row r="33042">
      <c r="S33042" s="27"/>
      <c r="T33042" s="27"/>
      <c r="U33042" s="27"/>
    </row>
    <row r="33044">
      <c r="S33044" s="27"/>
      <c r="T33044" s="27"/>
      <c r="U33044" s="27"/>
    </row>
    <row r="33045">
      <c r="S33045" s="27"/>
      <c r="T33045" s="27"/>
      <c r="U33045" s="27"/>
    </row>
    <row r="33047">
      <c r="S33047" s="27"/>
      <c r="T33047" s="27"/>
      <c r="U33047" s="27"/>
    </row>
    <row r="33048">
      <c r="S33048" s="27"/>
      <c r="T33048" s="27"/>
      <c r="U33048" s="27"/>
    </row>
    <row r="33050">
      <c r="S33050" s="27"/>
      <c r="T33050" s="27"/>
      <c r="U33050" s="27"/>
    </row>
    <row r="33051">
      <c r="S33051" s="27"/>
      <c r="T33051" s="27"/>
      <c r="U33051" s="27"/>
    </row>
    <row r="33053">
      <c r="S33053" s="27"/>
      <c r="T33053" s="27"/>
      <c r="U33053" s="27"/>
    </row>
    <row r="33054">
      <c r="S33054" s="27"/>
      <c r="T33054" s="27"/>
      <c r="U33054" s="27"/>
    </row>
    <row r="33056">
      <c r="S33056" s="27"/>
      <c r="T33056" s="27"/>
      <c r="U33056" s="27"/>
    </row>
    <row r="33057">
      <c r="S33057" s="27"/>
      <c r="T33057" s="27"/>
      <c r="U33057" s="27"/>
    </row>
    <row r="33059">
      <c r="S33059" s="27"/>
      <c r="T33059" s="27"/>
      <c r="U33059" s="27"/>
    </row>
    <row r="33060">
      <c r="S33060" s="27"/>
      <c r="T33060" s="27"/>
      <c r="U33060" s="27"/>
    </row>
    <row r="33062">
      <c r="S33062" s="27"/>
      <c r="T33062" s="27"/>
      <c r="U33062" s="27"/>
    </row>
    <row r="33063">
      <c r="S33063" s="27"/>
      <c r="T33063" s="27"/>
      <c r="U33063" s="27"/>
    </row>
    <row r="33065">
      <c r="S33065" s="27"/>
      <c r="T33065" s="27"/>
      <c r="U33065" s="27"/>
    </row>
    <row r="33066">
      <c r="S33066" s="27"/>
      <c r="T33066" s="27"/>
      <c r="U33066" s="27"/>
    </row>
    <row r="33068">
      <c r="S33068" s="27"/>
      <c r="T33068" s="27"/>
      <c r="U33068" s="27"/>
    </row>
    <row r="33069">
      <c r="S33069" s="27"/>
      <c r="T33069" s="27"/>
      <c r="U33069" s="27"/>
    </row>
    <row r="33074">
      <c r="S33074" s="27"/>
      <c r="T33074" s="27"/>
      <c r="U33074" s="27"/>
    </row>
    <row r="33075">
      <c r="S33075" s="27"/>
      <c r="T33075" s="27"/>
      <c r="U33075" s="27"/>
    </row>
    <row r="33077">
      <c r="S33077" s="27"/>
      <c r="T33077" s="27"/>
      <c r="U33077" s="27"/>
    </row>
    <row r="33083">
      <c r="S33083" s="27"/>
      <c r="T33083" s="27"/>
      <c r="U33083" s="27"/>
    </row>
    <row r="33084">
      <c r="S33084" s="27"/>
      <c r="T33084" s="27"/>
      <c r="U33084" s="27"/>
    </row>
    <row r="33087">
      <c r="S33087" s="27"/>
      <c r="U33087" s="27"/>
    </row>
    <row r="33088">
      <c r="S33088" s="27"/>
      <c r="T33088" s="27"/>
      <c r="U33088" s="27"/>
    </row>
    <row r="33090">
      <c r="S33090" s="27"/>
      <c r="T33090" s="27"/>
      <c r="U33090" s="27"/>
    </row>
    <row r="33091">
      <c r="S33091" s="27"/>
      <c r="T33091" s="27"/>
      <c r="U33091" s="27"/>
    </row>
    <row r="33093">
      <c r="S33093" s="27"/>
      <c r="T33093" s="27"/>
      <c r="U33093" s="27"/>
    </row>
    <row r="33094">
      <c r="S33094" s="27"/>
      <c r="T33094" s="27"/>
      <c r="U33094" s="27"/>
    </row>
    <row r="33096">
      <c r="T33096" s="26"/>
      <c r="U33096" s="27"/>
    </row>
    <row r="33099">
      <c r="S33099" s="26"/>
      <c r="T33099" s="26"/>
      <c r="U33099" s="26"/>
    </row>
    <row r="33102">
      <c r="S33102" s="27"/>
      <c r="T33102" s="27"/>
      <c r="U33102" s="27"/>
    </row>
    <row r="33104">
      <c r="S33104" s="27"/>
      <c r="T33104" s="27"/>
      <c r="U33104" s="27"/>
    </row>
    <row r="33106">
      <c r="S33106" s="26"/>
      <c r="T33106" s="26"/>
      <c r="U33106" s="26"/>
    </row>
    <row r="33109">
      <c r="S33109" s="27"/>
      <c r="T33109" s="27"/>
      <c r="U33109" s="27"/>
    </row>
    <row r="33112">
      <c r="S33112" s="27"/>
      <c r="T33112" s="27"/>
      <c r="U33112" s="27"/>
    </row>
    <row r="33113">
      <c r="S33113" s="27"/>
      <c r="T33113" s="27"/>
      <c r="U33113" s="27"/>
    </row>
    <row r="33115">
      <c r="S33115" s="27"/>
      <c r="T33115" s="27"/>
      <c r="U33115" s="27"/>
    </row>
    <row r="33116">
      <c r="S33116" s="27"/>
      <c r="T33116" s="27"/>
      <c r="U33116" s="27"/>
    </row>
    <row r="33118">
      <c r="S33118" s="27"/>
      <c r="T33118" s="27"/>
      <c r="U33118" s="27"/>
    </row>
    <row r="33119">
      <c r="T33119" s="27"/>
      <c r="U33119" s="27"/>
    </row>
    <row r="33121">
      <c r="S33121" s="27"/>
      <c r="T33121" s="27"/>
      <c r="U33121" s="27"/>
    </row>
    <row r="33122">
      <c r="S33122" s="27"/>
      <c r="T33122" s="27"/>
      <c r="U33122" s="27"/>
    </row>
    <row r="33124">
      <c r="S33124" s="27"/>
      <c r="T33124" s="27"/>
      <c r="U33124" s="27"/>
    </row>
    <row r="33125">
      <c r="S33125" s="27"/>
      <c r="T33125" s="27"/>
      <c r="U33125" s="27"/>
    </row>
    <row r="33130">
      <c r="S33130" s="27"/>
      <c r="T33130" s="27"/>
      <c r="U33130" s="27"/>
    </row>
    <row r="33131">
      <c r="S33131" s="27"/>
      <c r="T33131" s="27"/>
      <c r="U33131" s="27"/>
    </row>
    <row r="33133">
      <c r="S33133" s="27"/>
      <c r="T33133" s="27"/>
      <c r="U33133" s="27"/>
    </row>
    <row r="33134">
      <c r="S33134" s="27"/>
      <c r="T33134" s="27"/>
      <c r="U33134" s="27"/>
    </row>
    <row r="33136">
      <c r="S33136" s="27"/>
      <c r="T33136" s="27"/>
      <c r="U33136" s="27"/>
    </row>
    <row r="33137">
      <c r="S33137" s="27"/>
      <c r="T33137" s="27"/>
      <c r="U33137" s="27"/>
    </row>
    <row r="33139">
      <c r="S33139" s="27"/>
      <c r="T33139" s="27"/>
      <c r="U33139" s="33"/>
    </row>
    <row r="33145">
      <c r="S33145" s="27"/>
      <c r="T33145" s="27"/>
      <c r="U33145" s="27"/>
    </row>
    <row r="33148">
      <c r="S33148" s="27"/>
      <c r="T33148" s="27"/>
      <c r="U33148" s="27"/>
    </row>
    <row r="33149">
      <c r="S33149" s="27"/>
      <c r="T33149" s="27"/>
      <c r="U33149" s="27"/>
    </row>
    <row r="33152">
      <c r="S33152" s="26"/>
      <c r="T33152" s="26"/>
      <c r="U33152" s="26"/>
    </row>
    <row r="33154">
      <c r="S33154" s="27"/>
      <c r="T33154" s="27"/>
      <c r="U33154" s="27"/>
    </row>
    <row r="33155">
      <c r="S33155" s="27"/>
      <c r="T33155" s="27"/>
      <c r="U33155" s="27"/>
    </row>
    <row r="33157">
      <c r="S33157" s="27"/>
      <c r="T33157" s="27"/>
      <c r="U33157" s="27"/>
    </row>
    <row r="33158">
      <c r="S33158" s="27"/>
      <c r="T33158" s="27"/>
      <c r="U33158" s="27"/>
    </row>
    <row r="33160">
      <c r="S33160" s="27"/>
      <c r="T33160" s="27"/>
      <c r="U33160" s="27"/>
    </row>
    <row r="33161">
      <c r="S33161" s="27"/>
      <c r="T33161" s="27"/>
      <c r="U33161" s="27"/>
    </row>
    <row r="33163">
      <c r="S33163" s="27"/>
      <c r="T33163" s="27"/>
      <c r="U33163" s="27"/>
    </row>
    <row r="33164">
      <c r="S33164" s="27"/>
      <c r="T33164" s="27"/>
      <c r="U33164" s="27"/>
    </row>
    <row r="33166">
      <c r="S33166" s="27"/>
      <c r="T33166" s="27"/>
      <c r="U33166" s="27"/>
    </row>
    <row r="33167">
      <c r="S33167" s="27"/>
      <c r="T33167" s="27"/>
      <c r="U33167" s="27"/>
    </row>
    <row r="33169">
      <c r="S33169" s="27"/>
      <c r="T33169" s="27"/>
      <c r="U33169" s="27"/>
    </row>
    <row r="33170">
      <c r="S33170" s="27"/>
      <c r="T33170" s="27"/>
      <c r="U33170" s="27"/>
    </row>
    <row r="33172">
      <c r="U33172" s="27"/>
    </row>
    <row r="33175">
      <c r="S33175" s="27"/>
      <c r="T33175" s="27"/>
      <c r="U33175" s="27"/>
    </row>
    <row r="33176">
      <c r="S33176" s="27"/>
      <c r="T33176" s="27"/>
      <c r="U33176" s="27"/>
    </row>
    <row r="33178">
      <c r="S33178" s="27"/>
      <c r="T33178" s="27"/>
      <c r="U33178" s="27"/>
    </row>
    <row r="33179">
      <c r="S33179" s="27"/>
      <c r="T33179" s="27"/>
      <c r="U33179" s="27"/>
    </row>
    <row r="33181">
      <c r="S33181" s="27"/>
      <c r="T33181" s="27"/>
      <c r="U33181" s="27"/>
    </row>
    <row r="33182">
      <c r="S33182" s="27"/>
      <c r="T33182" s="27"/>
      <c r="U33182" s="27"/>
    </row>
    <row r="33184">
      <c r="S33184" s="27"/>
      <c r="T33184" s="27"/>
      <c r="U33184" s="27"/>
    </row>
    <row r="33185">
      <c r="S33185" s="26"/>
      <c r="T33185" s="26"/>
      <c r="U33185" s="26"/>
    </row>
    <row r="33187">
      <c r="S33187" s="27"/>
      <c r="T33187" s="27"/>
      <c r="U33187" s="27"/>
    </row>
    <row r="33188">
      <c r="S33188" s="27"/>
      <c r="T33188" s="27"/>
      <c r="U33188" s="27"/>
    </row>
    <row r="33190">
      <c r="S33190" s="26"/>
      <c r="T33190" s="26"/>
      <c r="U33190" s="26"/>
    </row>
    <row r="33193">
      <c r="S33193" s="27"/>
      <c r="T33193" s="27"/>
      <c r="U33193" s="27"/>
    </row>
    <row r="33196">
      <c r="S33196" s="27"/>
      <c r="T33196" s="27"/>
      <c r="U33196" s="27"/>
    </row>
    <row r="33197">
      <c r="S33197" s="27"/>
      <c r="T33197" s="27"/>
      <c r="U33197" s="27"/>
    </row>
    <row r="33199">
      <c r="S33199" s="27"/>
      <c r="T33199" s="27"/>
      <c r="U33199" s="27"/>
    </row>
    <row r="33200">
      <c r="S33200" s="27"/>
      <c r="T33200" s="27"/>
      <c r="U33200" s="27"/>
    </row>
    <row r="33202">
      <c r="S33202" s="26"/>
      <c r="T33202" s="26"/>
      <c r="U33202" s="26"/>
    </row>
    <row r="33203">
      <c r="S33203" s="26"/>
      <c r="T33203" s="26"/>
      <c r="U33203" s="26"/>
    </row>
    <row r="33205">
      <c r="S33205" s="27"/>
      <c r="T33205" s="27"/>
      <c r="U33205" s="27"/>
    </row>
    <row r="33206">
      <c r="S33206" s="27"/>
      <c r="T33206" s="27"/>
      <c r="U33206" s="27"/>
    </row>
    <row r="33208">
      <c r="S33208" s="27"/>
      <c r="T33208" s="27"/>
      <c r="U33208" s="27"/>
    </row>
    <row r="33209">
      <c r="S33209" s="27"/>
      <c r="T33209" s="27"/>
      <c r="U33209" s="27"/>
    </row>
    <row r="33211">
      <c r="S33211" s="27"/>
      <c r="T33211" s="27"/>
      <c r="U33211" s="27"/>
    </row>
    <row r="33212">
      <c r="S33212" s="27"/>
      <c r="T33212" s="27"/>
      <c r="U33212" s="27"/>
    </row>
    <row r="33214">
      <c r="S33214" s="27"/>
      <c r="T33214" s="27"/>
      <c r="U33214" s="27"/>
    </row>
    <row r="33215">
      <c r="S33215" s="27"/>
      <c r="T33215" s="27"/>
      <c r="U33215" s="27"/>
    </row>
    <row r="33217">
      <c r="S33217" s="27"/>
      <c r="T33217" s="27"/>
      <c r="U33217" s="27"/>
    </row>
    <row r="33218">
      <c r="S33218" s="27"/>
      <c r="T33218" s="27"/>
      <c r="U33218" s="27"/>
    </row>
    <row r="33220">
      <c r="S33220" s="27"/>
      <c r="T33220" s="27"/>
      <c r="U33220" s="27"/>
    </row>
    <row r="33221">
      <c r="S33221" s="27"/>
      <c r="T33221" s="27"/>
      <c r="U33221" s="27"/>
    </row>
    <row r="33223">
      <c r="S33223" s="27"/>
      <c r="T33223" s="27"/>
      <c r="U33223" s="27"/>
    </row>
    <row r="33224">
      <c r="S33224" s="27"/>
      <c r="T33224" s="27"/>
      <c r="U33224" s="27"/>
    </row>
    <row r="33226">
      <c r="S33226" s="27"/>
      <c r="T33226" s="27"/>
      <c r="U33226" s="27"/>
    </row>
    <row r="33227">
      <c r="S33227" s="27"/>
      <c r="T33227" s="27"/>
      <c r="U33227" s="27"/>
    </row>
    <row r="33229">
      <c r="S33229" s="27"/>
      <c r="T33229" s="27"/>
      <c r="U33229" s="27"/>
    </row>
    <row r="33230">
      <c r="S33230" s="27"/>
      <c r="T33230" s="27"/>
      <c r="U33230" s="27"/>
    </row>
    <row r="33232">
      <c r="S33232" s="27"/>
      <c r="T33232" s="27"/>
      <c r="U33232" s="27"/>
    </row>
    <row r="33233">
      <c r="S33233" s="27"/>
      <c r="T33233" s="27"/>
      <c r="U33233" s="27"/>
    </row>
    <row r="33235">
      <c r="S33235" s="27"/>
      <c r="T33235" s="27"/>
      <c r="U33235" s="27"/>
    </row>
    <row r="33236">
      <c r="S33236" s="27"/>
      <c r="T33236" s="27"/>
      <c r="U33236" s="27"/>
    </row>
    <row r="33238">
      <c r="S33238" s="27"/>
      <c r="T33238" s="27"/>
      <c r="U33238" s="27"/>
    </row>
    <row r="33239">
      <c r="S33239" s="27"/>
      <c r="T33239" s="27"/>
      <c r="U33239" s="27"/>
    </row>
    <row r="33241">
      <c r="S33241" s="27"/>
      <c r="T33241" s="27"/>
      <c r="U33241" s="27"/>
    </row>
    <row r="33242">
      <c r="S33242" s="27"/>
      <c r="T33242" s="27"/>
      <c r="U33242" s="27"/>
    </row>
    <row r="33244">
      <c r="S33244" s="27"/>
      <c r="T33244" s="27"/>
      <c r="U33244" s="27"/>
    </row>
    <row r="33245">
      <c r="S33245" s="27"/>
      <c r="T33245" s="27"/>
      <c r="U33245" s="27"/>
    </row>
    <row r="33247">
      <c r="S33247" s="27"/>
      <c r="T33247" s="27"/>
      <c r="U33247" s="27"/>
    </row>
    <row r="33248">
      <c r="S33248" s="27"/>
      <c r="T33248" s="27"/>
      <c r="U33248" s="27"/>
    </row>
    <row r="33250">
      <c r="S33250" s="27"/>
      <c r="T33250" s="27"/>
      <c r="U33250" s="27"/>
    </row>
    <row r="33251">
      <c r="S33251" s="27"/>
      <c r="T33251" s="27"/>
      <c r="U33251" s="27"/>
    </row>
    <row r="33253">
      <c r="S33253" s="27"/>
      <c r="T33253" s="27"/>
      <c r="U33253" s="27"/>
    </row>
    <row r="33254">
      <c r="S33254" s="27"/>
      <c r="T33254" s="27"/>
      <c r="U33254" s="27"/>
    </row>
    <row r="33256">
      <c r="S33256" s="27"/>
      <c r="T33256" s="27"/>
      <c r="U33256" s="27"/>
    </row>
    <row r="33257">
      <c r="S33257" s="27"/>
      <c r="T33257" s="27"/>
      <c r="U33257" s="27"/>
    </row>
    <row r="33259">
      <c r="S33259" s="27"/>
      <c r="T33259" s="27"/>
      <c r="U33259" s="27"/>
    </row>
    <row r="33260">
      <c r="S33260" s="27"/>
      <c r="T33260" s="27"/>
      <c r="U33260" s="27"/>
    </row>
    <row r="33262">
      <c r="S33262" s="27"/>
      <c r="T33262" s="27"/>
      <c r="U33262" s="27"/>
    </row>
    <row r="33263">
      <c r="S33263" s="27"/>
      <c r="T33263" s="27"/>
      <c r="U33263" s="27"/>
    </row>
    <row r="33265">
      <c r="S33265" s="27"/>
      <c r="T33265" s="27"/>
      <c r="U33265" s="27"/>
    </row>
    <row r="33266">
      <c r="S33266" s="27"/>
      <c r="T33266" s="27"/>
      <c r="U33266" s="27"/>
    </row>
    <row r="33268">
      <c r="S33268" s="27"/>
      <c r="T33268" s="27"/>
      <c r="U33268" s="27"/>
    </row>
    <row r="33269">
      <c r="S33269" s="27"/>
      <c r="T33269" s="27"/>
      <c r="U33269" s="27"/>
    </row>
    <row r="33271">
      <c r="S33271" s="27"/>
      <c r="T33271" s="27"/>
      <c r="U33271" s="27"/>
    </row>
    <row r="33272">
      <c r="S33272" s="27"/>
      <c r="T33272" s="27"/>
      <c r="U33272" s="27"/>
    </row>
    <row r="33274">
      <c r="S33274" s="27"/>
      <c r="T33274" s="27"/>
      <c r="U33274" s="27"/>
    </row>
    <row r="33275">
      <c r="S33275" s="27"/>
      <c r="T33275" s="27"/>
      <c r="U33275" s="27"/>
    </row>
    <row r="33277">
      <c r="S33277" s="27"/>
      <c r="T33277" s="27"/>
      <c r="U33277" s="27"/>
    </row>
    <row r="33278">
      <c r="S33278" s="27"/>
      <c r="T33278" s="27"/>
      <c r="U33278" s="27"/>
    </row>
    <row r="33280">
      <c r="S33280" s="27"/>
      <c r="T33280" s="27"/>
      <c r="U33280" s="27"/>
    </row>
    <row r="33281">
      <c r="S33281" s="27"/>
      <c r="T33281" s="27"/>
      <c r="U33281" s="27"/>
    </row>
    <row r="33283">
      <c r="S33283" s="27"/>
      <c r="T33283" s="27"/>
      <c r="U33283" s="27"/>
    </row>
    <row r="33284">
      <c r="S33284" s="27"/>
      <c r="T33284" s="27"/>
      <c r="U33284" s="27"/>
    </row>
    <row r="33286">
      <c r="S33286" s="27"/>
      <c r="T33286" s="27"/>
      <c r="U33286" s="27"/>
    </row>
    <row r="33287">
      <c r="S33287" s="27"/>
      <c r="T33287" s="27"/>
      <c r="U33287" s="27"/>
    </row>
    <row r="33289">
      <c r="S33289" s="27"/>
      <c r="T33289" s="27"/>
      <c r="U33289" s="27"/>
    </row>
    <row r="33290">
      <c r="S33290" s="27"/>
      <c r="T33290" s="27"/>
      <c r="U33290" s="27"/>
    </row>
    <row r="33292">
      <c r="S33292" s="27"/>
      <c r="T33292" s="27"/>
      <c r="U33292" s="27"/>
    </row>
    <row r="33293">
      <c r="S33293" s="27"/>
      <c r="T33293" s="27"/>
      <c r="U33293" s="27"/>
    </row>
    <row r="33295">
      <c r="S33295" s="27"/>
      <c r="T33295" s="27"/>
      <c r="U33295" s="27"/>
    </row>
    <row r="33296">
      <c r="S33296" s="27"/>
      <c r="T33296" s="27"/>
      <c r="U33296" s="27"/>
    </row>
    <row r="33298">
      <c r="S33298" s="27"/>
      <c r="T33298" s="27"/>
      <c r="U33298" s="27"/>
    </row>
    <row r="33300">
      <c r="S33300" s="27"/>
      <c r="T33300" s="27"/>
      <c r="U33300" s="27"/>
    </row>
    <row r="33301">
      <c r="S33301" s="27"/>
      <c r="T33301" s="27"/>
      <c r="U33301" s="27"/>
    </row>
    <row r="33303">
      <c r="S33303" s="27"/>
      <c r="T33303" s="27"/>
      <c r="U33303" s="27"/>
    </row>
    <row r="33304">
      <c r="S33304" s="27"/>
      <c r="T33304" s="27"/>
      <c r="U33304" s="27"/>
    </row>
    <row r="33306">
      <c r="S33306" s="27"/>
      <c r="T33306" s="27"/>
      <c r="U33306" s="27"/>
    </row>
    <row r="33307">
      <c r="S33307" s="27"/>
      <c r="T33307" s="27"/>
      <c r="U33307" s="27"/>
    </row>
    <row r="33309">
      <c r="S33309" s="27"/>
      <c r="T33309" s="27"/>
      <c r="U33309" s="27"/>
    </row>
    <row r="33310">
      <c r="S33310" s="27"/>
      <c r="T33310" s="27"/>
      <c r="U33310" s="27"/>
    </row>
    <row r="33312">
      <c r="S33312" s="27"/>
      <c r="T33312" s="27"/>
      <c r="U33312" s="27"/>
    </row>
    <row r="33313">
      <c r="S33313" s="27"/>
      <c r="T33313" s="27"/>
      <c r="U33313" s="27"/>
    </row>
    <row r="33315">
      <c r="S33315" s="27"/>
      <c r="T33315" s="27"/>
      <c r="U33315" s="27"/>
    </row>
    <row r="33316">
      <c r="S33316" s="27"/>
      <c r="T33316" s="27"/>
      <c r="U33316" s="27"/>
    </row>
    <row r="33318">
      <c r="S33318" s="27"/>
      <c r="T33318" s="27"/>
      <c r="U33318" s="27"/>
    </row>
    <row r="33319">
      <c r="S33319" s="27"/>
      <c r="T33319" s="27"/>
      <c r="U33319" s="27"/>
    </row>
    <row r="33321">
      <c r="S33321" s="27"/>
      <c r="T33321" s="27"/>
      <c r="U33321" s="27"/>
    </row>
    <row r="33323">
      <c r="S33323" s="27"/>
      <c r="T33323" s="27"/>
      <c r="U33323" s="27"/>
    </row>
    <row r="33325">
      <c r="S33325" s="27"/>
      <c r="T33325" s="27"/>
      <c r="U33325" s="27"/>
    </row>
    <row r="33327">
      <c r="S33327" s="27"/>
      <c r="T33327" s="27"/>
      <c r="U33327" s="27"/>
    </row>
    <row r="33329">
      <c r="S33329" s="27"/>
      <c r="T33329" s="27"/>
      <c r="U33329" s="27"/>
    </row>
    <row r="33330">
      <c r="S33330" s="27"/>
      <c r="T33330" s="27"/>
      <c r="U33330" s="27"/>
    </row>
    <row r="33332">
      <c r="S33332" s="27"/>
      <c r="T33332" s="27"/>
      <c r="U33332" s="27"/>
    </row>
    <row r="33333">
      <c r="S33333" s="27"/>
      <c r="T33333" s="27"/>
      <c r="U33333" s="27"/>
    </row>
    <row r="33335">
      <c r="S33335" s="27"/>
      <c r="T33335" s="27"/>
      <c r="U33335" s="27"/>
    </row>
    <row r="33338">
      <c r="S33338" s="27"/>
      <c r="T33338" s="27"/>
      <c r="U33338" s="27"/>
    </row>
    <row r="33339">
      <c r="S33339" s="27"/>
      <c r="T33339" s="27"/>
      <c r="U33339" s="27"/>
    </row>
    <row r="33341">
      <c r="S33341" s="27"/>
      <c r="T33341" s="27"/>
      <c r="U33341" s="27"/>
    </row>
    <row r="33342">
      <c r="S33342" s="27"/>
      <c r="T33342" s="27"/>
      <c r="U33342" s="27"/>
    </row>
    <row r="33345">
      <c r="S33345" s="27"/>
      <c r="T33345" s="27"/>
      <c r="U33345" s="27"/>
    </row>
    <row r="33346">
      <c r="S33346" s="27"/>
      <c r="T33346" s="27"/>
      <c r="U33346" s="27"/>
    </row>
    <row r="33348">
      <c r="S33348" s="27"/>
      <c r="T33348" s="27"/>
      <c r="U33348" s="27"/>
    </row>
    <row r="33351">
      <c r="S33351" s="27"/>
      <c r="T33351" s="27"/>
      <c r="U33351" s="27"/>
    </row>
    <row r="33354">
      <c r="S33354" s="27"/>
      <c r="T33354" s="27"/>
      <c r="U33354" s="27"/>
    </row>
    <row r="33355">
      <c r="S33355" s="27"/>
      <c r="T33355" s="27"/>
      <c r="U33355" s="27"/>
    </row>
    <row r="33357">
      <c r="S33357" s="27"/>
      <c r="T33357" s="27"/>
      <c r="U33357" s="27"/>
    </row>
    <row r="33358">
      <c r="S33358" s="27"/>
      <c r="T33358" s="27"/>
      <c r="U33358" s="27"/>
    </row>
    <row r="33360">
      <c r="S33360" s="27"/>
      <c r="T33360" s="27"/>
    </row>
    <row r="33361">
      <c r="S33361" s="27"/>
      <c r="T33361" s="27"/>
    </row>
    <row r="33363">
      <c r="U33363" s="34"/>
    </row>
    <row r="33366">
      <c r="S33366" s="27"/>
      <c r="T33366" s="27"/>
      <c r="U33366" s="27"/>
    </row>
    <row r="33367">
      <c r="S33367" s="27"/>
      <c r="T33367" s="27"/>
      <c r="U33367" s="27"/>
    </row>
    <row r="33369">
      <c r="S33369" s="27"/>
      <c r="T33369" s="27"/>
      <c r="U33369" s="27"/>
    </row>
    <row r="33370">
      <c r="S33370" s="27"/>
      <c r="T33370" s="27"/>
      <c r="U33370" s="27"/>
    </row>
    <row r="33372">
      <c r="T33372" s="27"/>
      <c r="U33372" s="27"/>
    </row>
    <row r="33373">
      <c r="S33373" s="27"/>
      <c r="T33373" s="27"/>
      <c r="U33373" s="27"/>
    </row>
    <row r="33375">
      <c r="U33375" s="27"/>
    </row>
    <row r="33378">
      <c r="S33378" s="26"/>
      <c r="T33378" s="26"/>
      <c r="U33378" s="26"/>
    </row>
    <row r="33381">
      <c r="S33381" s="27"/>
      <c r="T33381" s="27"/>
      <c r="U33381" s="27"/>
    </row>
    <row r="33382">
      <c r="S33382" s="27"/>
      <c r="T33382" s="27"/>
      <c r="U33382" s="27"/>
    </row>
    <row r="33384">
      <c r="S33384" s="27"/>
      <c r="T33384" s="27"/>
      <c r="U33384" s="27"/>
    </row>
    <row r="33385">
      <c r="S33385" s="27"/>
      <c r="T33385" s="27"/>
      <c r="U33385" s="27"/>
    </row>
    <row r="33393">
      <c r="S33393" s="27"/>
      <c r="T33393" s="27"/>
      <c r="U33393" s="27"/>
    </row>
    <row r="33396">
      <c r="S33396" s="27"/>
      <c r="T33396" s="27"/>
      <c r="U33396" s="27"/>
    </row>
    <row r="33397">
      <c r="S33397" s="27"/>
      <c r="T33397" s="27"/>
      <c r="U33397" s="27"/>
    </row>
    <row r="33399">
      <c r="S33399" s="27"/>
      <c r="T33399" s="27"/>
      <c r="U33399" s="27"/>
    </row>
    <row r="33400">
      <c r="S33400" s="27"/>
      <c r="T33400" s="27"/>
      <c r="U33400" s="27"/>
    </row>
    <row r="33402">
      <c r="S33402" s="27"/>
      <c r="T33402" s="27"/>
      <c r="U33402" s="27"/>
    </row>
    <row r="33403">
      <c r="S33403" s="27"/>
      <c r="T33403" s="27"/>
      <c r="U33403" s="27"/>
    </row>
    <row r="33405">
      <c r="S33405" s="27"/>
      <c r="T33405" s="27"/>
      <c r="U33405" s="27"/>
    </row>
    <row r="33406">
      <c r="S33406" s="27"/>
      <c r="T33406" s="27"/>
      <c r="U33406" s="27"/>
    </row>
    <row r="33408">
      <c r="S33408" s="27"/>
      <c r="T33408" s="27"/>
      <c r="U33408" s="27"/>
    </row>
    <row r="33409">
      <c r="S33409" s="27"/>
      <c r="T33409" s="27"/>
      <c r="U33409" s="27"/>
    </row>
    <row r="33411">
      <c r="S33411" s="27"/>
      <c r="T33411" s="27"/>
      <c r="U33411" s="27"/>
    </row>
    <row r="33412">
      <c r="S33412" s="27"/>
      <c r="T33412" s="27"/>
      <c r="U33412" s="27"/>
    </row>
    <row r="33414">
      <c r="S33414" s="27"/>
      <c r="T33414" s="27"/>
      <c r="U33414" s="27"/>
    </row>
    <row r="33415">
      <c r="S33415" s="27"/>
      <c r="T33415" s="27"/>
      <c r="U33415" s="27"/>
    </row>
    <row r="33417">
      <c r="S33417" s="27"/>
      <c r="T33417" s="27"/>
      <c r="U33417" s="27"/>
    </row>
    <row r="33418">
      <c r="S33418" s="27"/>
      <c r="T33418" s="27"/>
      <c r="U33418" s="27"/>
    </row>
    <row r="33420">
      <c r="S33420" s="27"/>
      <c r="T33420" s="27"/>
      <c r="U33420" s="27"/>
    </row>
    <row r="33421">
      <c r="S33421" s="27"/>
      <c r="T33421" s="27"/>
      <c r="U33421" s="27"/>
    </row>
    <row r="33423">
      <c r="S33423" s="27"/>
      <c r="T33423" s="27"/>
      <c r="U33423" s="27"/>
    </row>
    <row r="33424">
      <c r="S33424" s="27"/>
      <c r="T33424" s="27"/>
      <c r="U33424" s="27"/>
    </row>
    <row r="33426">
      <c r="S33426" s="27"/>
      <c r="T33426" s="27"/>
      <c r="U33426" s="27"/>
    </row>
    <row r="33427">
      <c r="S33427" s="27"/>
      <c r="T33427" s="27"/>
      <c r="U33427" s="27"/>
    </row>
    <row r="33429">
      <c r="S33429" s="27"/>
      <c r="T33429" s="27"/>
      <c r="U33429" s="27"/>
    </row>
    <row r="33430">
      <c r="S33430" s="27"/>
      <c r="T33430" s="27"/>
      <c r="U33430" s="27"/>
    </row>
    <row r="33432">
      <c r="S33432" s="27"/>
      <c r="T33432" s="27"/>
      <c r="U33432" s="27"/>
    </row>
    <row r="33433">
      <c r="S33433" s="27"/>
      <c r="T33433" s="27"/>
      <c r="U33433" s="27"/>
    </row>
    <row r="33435">
      <c r="S33435" s="27"/>
      <c r="T33435" s="27"/>
      <c r="U33435" s="27"/>
    </row>
    <row r="33436">
      <c r="S33436" s="27"/>
      <c r="T33436" s="27"/>
      <c r="U33436" s="27"/>
    </row>
    <row r="33438">
      <c r="S33438" s="27"/>
      <c r="T33438" s="27"/>
      <c r="U33438" s="27"/>
    </row>
    <row r="33439">
      <c r="S33439" s="27"/>
      <c r="T33439" s="27"/>
      <c r="U33439" s="27"/>
    </row>
    <row r="33441">
      <c r="S33441" s="27"/>
      <c r="T33441" s="27"/>
      <c r="U33441" s="27"/>
    </row>
    <row r="33442">
      <c r="S33442" s="27"/>
      <c r="T33442" s="27"/>
      <c r="U33442" s="27"/>
    </row>
    <row r="33444">
      <c r="S33444" s="27"/>
      <c r="T33444" s="27"/>
      <c r="U33444" s="27"/>
    </row>
    <row r="33445">
      <c r="S33445" s="27"/>
      <c r="T33445" s="27"/>
      <c r="U33445" s="27"/>
    </row>
    <row r="33447">
      <c r="S33447" s="27"/>
      <c r="T33447" s="27"/>
      <c r="U33447" s="27"/>
    </row>
    <row r="33448">
      <c r="S33448" s="27"/>
      <c r="T33448" s="27"/>
      <c r="U33448" s="27"/>
    </row>
    <row r="33450">
      <c r="S33450" s="27"/>
      <c r="T33450" s="27"/>
      <c r="U33450" s="27"/>
    </row>
    <row r="33451">
      <c r="S33451" s="27"/>
      <c r="T33451" s="27"/>
      <c r="U33451" s="27"/>
    </row>
    <row r="33453">
      <c r="S33453" s="27"/>
      <c r="T33453" s="27"/>
      <c r="U33453" s="27"/>
    </row>
    <row r="33454">
      <c r="S33454" s="27"/>
      <c r="T33454" s="27"/>
      <c r="U33454" s="27"/>
    </row>
    <row r="33456">
      <c r="S33456" s="27"/>
      <c r="T33456" s="27"/>
      <c r="U33456" s="27"/>
    </row>
    <row r="33457">
      <c r="S33457" s="27"/>
      <c r="T33457" s="27"/>
      <c r="U33457" s="27"/>
    </row>
    <row r="33459">
      <c r="S33459" s="27"/>
      <c r="T33459" s="27"/>
      <c r="U33459" s="27"/>
    </row>
    <row r="33460">
      <c r="S33460" s="27"/>
      <c r="T33460" s="27"/>
      <c r="U33460" s="27"/>
    </row>
    <row r="33462">
      <c r="S33462" s="27"/>
      <c r="T33462" s="27"/>
      <c r="U33462" s="27"/>
    </row>
    <row r="33463">
      <c r="S33463" s="27"/>
      <c r="T33463" s="27"/>
      <c r="U33463" s="27"/>
    </row>
    <row r="33465">
      <c r="S33465" s="27"/>
      <c r="T33465" s="27"/>
      <c r="U33465" s="27"/>
    </row>
    <row r="33466">
      <c r="S33466" s="27"/>
      <c r="T33466" s="27"/>
      <c r="U33466" s="27"/>
    </row>
    <row r="33468">
      <c r="S33468" s="27"/>
      <c r="T33468" s="27"/>
      <c r="U33468" s="27"/>
    </row>
    <row r="33469">
      <c r="S33469" s="27"/>
      <c r="T33469" s="27"/>
      <c r="U33469" s="27"/>
    </row>
    <row r="33471">
      <c r="U33471" s="27"/>
    </row>
    <row r="33472">
      <c r="U33472" s="27"/>
    </row>
    <row r="33474">
      <c r="S33474" s="27"/>
      <c r="T33474" s="27"/>
      <c r="U33474" s="27"/>
    </row>
    <row r="33475">
      <c r="T33475" s="27"/>
      <c r="U33475" s="27"/>
    </row>
    <row r="33477">
      <c r="S33477" s="27"/>
      <c r="T33477" s="33"/>
      <c r="U33477" s="27"/>
    </row>
    <row r="33478">
      <c r="T33478" s="27"/>
      <c r="U33478" s="27"/>
    </row>
    <row r="33480">
      <c r="U33480" s="27"/>
    </row>
    <row r="33481">
      <c r="S33481" s="27"/>
      <c r="T33481" s="27"/>
      <c r="U33481" s="27"/>
    </row>
    <row r="33483">
      <c r="S33483" s="27"/>
      <c r="T33483" s="27"/>
      <c r="U33483" s="27"/>
    </row>
    <row r="33486">
      <c r="S33486" s="27"/>
      <c r="T33486" s="27"/>
      <c r="U33486" s="27"/>
    </row>
    <row r="33487">
      <c r="S33487" s="27"/>
      <c r="T33487" s="27"/>
      <c r="U33487" s="27"/>
    </row>
    <row r="33489">
      <c r="S33489" s="27"/>
      <c r="T33489" s="27"/>
      <c r="U33489" s="27"/>
    </row>
    <row r="33490">
      <c r="S33490" s="27"/>
      <c r="T33490" s="27"/>
      <c r="U33490" s="27"/>
    </row>
    <row r="33492">
      <c r="S33492" s="27"/>
      <c r="T33492" s="27"/>
      <c r="U33492" s="27"/>
    </row>
    <row r="33493">
      <c r="S33493" s="27"/>
      <c r="T33493" s="27"/>
      <c r="U33493" s="27"/>
    </row>
    <row r="33498">
      <c r="S33498" s="26"/>
    </row>
    <row r="33503">
      <c r="S33503" s="27"/>
      <c r="T33503" s="27"/>
      <c r="U33503" s="27"/>
    </row>
    <row r="33505">
      <c r="S33505" s="27"/>
      <c r="T33505" s="27"/>
      <c r="U33505" s="27"/>
    </row>
    <row r="33508">
      <c r="U33508" s="27"/>
    </row>
    <row r="33511">
      <c r="S33511" s="27"/>
      <c r="T33511" s="27"/>
      <c r="U33511" s="27"/>
    </row>
    <row r="33512">
      <c r="S33512" s="27"/>
      <c r="T33512" s="27"/>
      <c r="U33512" s="27"/>
    </row>
    <row r="33514">
      <c r="S33514" s="27"/>
      <c r="T33514" s="27"/>
      <c r="U33514" s="27"/>
    </row>
    <row r="33515">
      <c r="S33515" s="27"/>
      <c r="T33515" s="27"/>
      <c r="U33515" s="27"/>
    </row>
    <row r="33517">
      <c r="S33517" s="27"/>
      <c r="T33517" s="27"/>
      <c r="U33517" s="33"/>
    </row>
    <row r="33518">
      <c r="S33518" s="27"/>
      <c r="T33518" s="27"/>
      <c r="U33518" s="27"/>
    </row>
    <row r="33520">
      <c r="S33520" s="27"/>
      <c r="T33520" s="27"/>
      <c r="U33520" s="27"/>
    </row>
    <row r="33521">
      <c r="S33521" s="27"/>
      <c r="T33521" s="26"/>
      <c r="U33521" s="26"/>
    </row>
    <row r="33523">
      <c r="S33523" s="27"/>
      <c r="T33523" s="27"/>
      <c r="U33523" s="27"/>
    </row>
    <row r="33524">
      <c r="S33524" s="27"/>
      <c r="T33524" s="27"/>
      <c r="U33524" s="27"/>
    </row>
    <row r="33529">
      <c r="S33529" s="27"/>
      <c r="T33529" s="27"/>
      <c r="U33529" s="27"/>
    </row>
    <row r="33530">
      <c r="S33530" s="27"/>
      <c r="T33530" s="27"/>
      <c r="U33530" s="27"/>
    </row>
    <row r="33532">
      <c r="S33532" s="27"/>
      <c r="T33532" s="27"/>
      <c r="U33532" s="27"/>
    </row>
    <row r="33533">
      <c r="T33533" s="27"/>
      <c r="U33533" s="27"/>
    </row>
    <row r="33535">
      <c r="S33535" s="27"/>
      <c r="T33535" s="27"/>
      <c r="U33535" s="27"/>
    </row>
    <row r="33536">
      <c r="S33536" s="27"/>
      <c r="T33536" s="27"/>
      <c r="U33536" s="27"/>
    </row>
    <row r="33538">
      <c r="S33538" s="33"/>
      <c r="T33538" s="33"/>
      <c r="U33538" s="27"/>
    </row>
    <row r="33541">
      <c r="S33541" s="27"/>
      <c r="T33541" s="27"/>
      <c r="U33541" s="27"/>
    </row>
    <row r="33542">
      <c r="S33542" s="27"/>
      <c r="T33542" s="27"/>
      <c r="U33542" s="27"/>
    </row>
    <row r="33544">
      <c r="S33544" s="27"/>
      <c r="T33544" s="27"/>
      <c r="U33544" s="27"/>
    </row>
    <row r="33547">
      <c r="S33547" s="27"/>
      <c r="T33547" s="27"/>
      <c r="U33547" s="27"/>
    </row>
    <row r="33548">
      <c r="S33548" s="27"/>
      <c r="T33548" s="27"/>
      <c r="U33548" s="27"/>
    </row>
    <row r="33553">
      <c r="S33553" s="27"/>
      <c r="T33553" s="27"/>
      <c r="U33553" s="27"/>
    </row>
    <row r="33554">
      <c r="S33554" s="27"/>
      <c r="T33554" s="27"/>
      <c r="U33554" s="27"/>
    </row>
    <row r="33556">
      <c r="S33556" s="27"/>
      <c r="T33556" s="27"/>
      <c r="U33556" s="27"/>
    </row>
    <row r="33557">
      <c r="S33557" s="27"/>
      <c r="T33557" s="27"/>
      <c r="U33557" s="27"/>
    </row>
    <row r="33559">
      <c r="S33559" s="27"/>
      <c r="T33559" s="27"/>
      <c r="U33559" s="27"/>
    </row>
    <row r="33560">
      <c r="S33560" s="27"/>
      <c r="T33560" s="27"/>
      <c r="U33560" s="27"/>
    </row>
    <row r="33562">
      <c r="S33562" s="27"/>
      <c r="T33562" s="27"/>
      <c r="U33562" s="27"/>
    </row>
    <row r="33563">
      <c r="S33563" s="27"/>
      <c r="T33563" s="27"/>
      <c r="U33563" s="27"/>
    </row>
    <row r="33565">
      <c r="T33565" s="26"/>
      <c r="U33565" s="26"/>
    </row>
    <row r="33568">
      <c r="S33568" s="27"/>
      <c r="T33568" s="27"/>
      <c r="U33568" s="27"/>
    </row>
    <row r="33569">
      <c r="S33569" s="27"/>
      <c r="T33569" s="27"/>
      <c r="U33569" s="27"/>
    </row>
    <row r="33571">
      <c r="S33571" s="27"/>
      <c r="T33571" s="27"/>
      <c r="U33571" s="27"/>
    </row>
    <row r="33572">
      <c r="S33572" s="27"/>
      <c r="T33572" s="27"/>
      <c r="U33572" s="27"/>
    </row>
    <row r="33574">
      <c r="S33574" s="27"/>
      <c r="U33574" s="27"/>
    </row>
    <row r="33575">
      <c r="S33575" s="26"/>
      <c r="U33575" s="26"/>
    </row>
    <row r="33577">
      <c r="S33577" s="27"/>
      <c r="U33577" s="27"/>
    </row>
    <row r="33578">
      <c r="S33578" s="27"/>
      <c r="T33578" s="27"/>
    </row>
    <row r="33580">
      <c r="S33580" s="27"/>
      <c r="T33580" s="27"/>
      <c r="U33580" s="27"/>
    </row>
    <row r="33581">
      <c r="S33581" s="27"/>
      <c r="T33581" s="27"/>
      <c r="U33581" s="27"/>
    </row>
    <row r="33587">
      <c r="S33587" s="27"/>
      <c r="T33587" s="27"/>
      <c r="U33587" s="27"/>
    </row>
    <row r="33588">
      <c r="S33588" s="27"/>
      <c r="T33588" s="27"/>
      <c r="U33588" s="27"/>
    </row>
    <row r="33590">
      <c r="S33590" s="26"/>
      <c r="T33590" s="26"/>
      <c r="U33590" s="26"/>
    </row>
    <row r="33593">
      <c r="S33593" s="27"/>
      <c r="T33593" s="27"/>
      <c r="U33593" s="27"/>
    </row>
    <row r="33596">
      <c r="S33596" s="27"/>
      <c r="T33596" s="27"/>
      <c r="U33596" s="27"/>
    </row>
    <row r="33597">
      <c r="S33597" s="27"/>
      <c r="T33597" s="27"/>
      <c r="U33597" s="27"/>
    </row>
    <row r="33599">
      <c r="S33599" s="27"/>
      <c r="T33599" s="27"/>
      <c r="U33599" s="27"/>
    </row>
    <row r="33600">
      <c r="S33600" s="27"/>
      <c r="T33600" s="27"/>
      <c r="U33600" s="27"/>
    </row>
    <row r="33602">
      <c r="S33602" s="27"/>
      <c r="T33602" s="27"/>
      <c r="U33602" s="27"/>
    </row>
    <row r="33603">
      <c r="S33603" s="27"/>
      <c r="T33603" s="27"/>
      <c r="U33603" s="27"/>
    </row>
    <row r="33605">
      <c r="S33605" s="26"/>
    </row>
    <row r="33608">
      <c r="S33608" s="27"/>
      <c r="T33608" s="27"/>
      <c r="U33608" s="27"/>
    </row>
    <row r="33609">
      <c r="S33609" s="27"/>
      <c r="T33609" s="27"/>
      <c r="U33609" s="27"/>
    </row>
    <row r="33611">
      <c r="S33611" s="27"/>
      <c r="T33611" s="27"/>
      <c r="U33611" s="27"/>
    </row>
    <row r="33612">
      <c r="S33612" s="27"/>
      <c r="T33612" s="27"/>
      <c r="U33612" s="27"/>
    </row>
    <row r="33614">
      <c r="S33614" s="27"/>
      <c r="T33614" s="27"/>
      <c r="U33614" s="27"/>
    </row>
    <row r="33615">
      <c r="S33615" s="27"/>
      <c r="T33615" s="27"/>
      <c r="U33615" s="27"/>
    </row>
    <row r="33617">
      <c r="S33617" s="27"/>
      <c r="T33617" s="27"/>
      <c r="U33617" s="27"/>
    </row>
    <row r="33618">
      <c r="S33618" s="27"/>
      <c r="T33618" s="27"/>
      <c r="U33618" s="27"/>
    </row>
    <row r="33620">
      <c r="S33620" s="27"/>
      <c r="T33620" s="27"/>
      <c r="U33620" s="27"/>
    </row>
    <row r="33621">
      <c r="S33621" s="27"/>
      <c r="T33621" s="27"/>
      <c r="U33621" s="27"/>
    </row>
    <row r="33623">
      <c r="S33623" s="27"/>
      <c r="T33623" s="27"/>
      <c r="U33623" s="27"/>
    </row>
    <row r="33624">
      <c r="S33624" s="27"/>
      <c r="T33624" s="27"/>
      <c r="U33624" s="27"/>
    </row>
    <row r="33626">
      <c r="S33626" s="27"/>
      <c r="T33626" s="27"/>
      <c r="U33626" s="27"/>
    </row>
    <row r="33627">
      <c r="S33627" s="27"/>
      <c r="T33627" s="27"/>
      <c r="U33627" s="27"/>
    </row>
    <row r="33629">
      <c r="S33629" s="27"/>
      <c r="T33629" s="27"/>
      <c r="U33629" s="27"/>
    </row>
    <row r="33630">
      <c r="S33630" s="27"/>
      <c r="T33630" s="27"/>
      <c r="U33630" s="27"/>
    </row>
    <row r="33632">
      <c r="S33632" s="27"/>
      <c r="T33632" s="27"/>
      <c r="U33632" s="27"/>
    </row>
    <row r="33633">
      <c r="S33633" s="27"/>
      <c r="T33633" s="27"/>
      <c r="U33633" s="27"/>
    </row>
    <row r="33635">
      <c r="S33635" s="27"/>
      <c r="T33635" s="27"/>
      <c r="U33635" s="27"/>
    </row>
    <row r="33636">
      <c r="S33636" s="27"/>
      <c r="T33636" s="27"/>
      <c r="U33636" s="27"/>
    </row>
    <row r="33638">
      <c r="S33638" s="27"/>
      <c r="T33638" s="27"/>
      <c r="U33638" s="27"/>
    </row>
    <row r="33639">
      <c r="S33639" s="27"/>
      <c r="T33639" s="27"/>
      <c r="U33639" s="27"/>
    </row>
    <row r="33641">
      <c r="S33641" s="27"/>
      <c r="T33641" s="27"/>
      <c r="U33641" s="27"/>
    </row>
    <row r="33642">
      <c r="S33642" s="27"/>
      <c r="T33642" s="27"/>
      <c r="U33642" s="27"/>
    </row>
    <row r="33644">
      <c r="S33644" s="27"/>
      <c r="T33644" s="27"/>
      <c r="U33644" s="27"/>
    </row>
    <row r="33645">
      <c r="S33645" s="27"/>
      <c r="T33645" s="27"/>
      <c r="U33645" s="27"/>
    </row>
    <row r="33647">
      <c r="S33647" s="27"/>
      <c r="T33647" s="27"/>
      <c r="U33647" s="27"/>
    </row>
    <row r="33648">
      <c r="S33648" s="27"/>
      <c r="T33648" s="27"/>
      <c r="U33648" s="27"/>
    </row>
    <row r="33650">
      <c r="S33650" s="27"/>
      <c r="T33650" s="27"/>
      <c r="U33650" s="27"/>
    </row>
    <row r="33651">
      <c r="S33651" s="27"/>
      <c r="T33651" s="27"/>
      <c r="U33651" s="27"/>
    </row>
    <row r="33653">
      <c r="S33653" s="27"/>
      <c r="T33653" s="27"/>
      <c r="U33653" s="27"/>
    </row>
    <row r="33654">
      <c r="S33654" s="27"/>
      <c r="T33654" s="27"/>
      <c r="U33654" s="27"/>
    </row>
    <row r="33656">
      <c r="S33656" s="27"/>
      <c r="T33656" s="27"/>
      <c r="U33656" s="27"/>
    </row>
    <row r="33657">
      <c r="S33657" s="27"/>
      <c r="T33657" s="27"/>
      <c r="U33657" s="27"/>
    </row>
    <row r="33659">
      <c r="S33659" s="27"/>
      <c r="T33659" s="27"/>
      <c r="U33659" s="27"/>
    </row>
    <row r="33660">
      <c r="S33660" s="27"/>
      <c r="T33660" s="27"/>
      <c r="U33660" s="27"/>
    </row>
    <row r="33662">
      <c r="S33662" s="27"/>
      <c r="T33662" s="27"/>
      <c r="U33662" s="27"/>
    </row>
    <row r="33663">
      <c r="S33663" s="27"/>
      <c r="T33663" s="27"/>
      <c r="U33663" s="27"/>
    </row>
    <row r="33665">
      <c r="S33665" s="27"/>
      <c r="T33665" s="27"/>
      <c r="U33665" s="27"/>
    </row>
    <row r="33666">
      <c r="S33666" s="27"/>
      <c r="T33666" s="27"/>
      <c r="U33666" s="27"/>
    </row>
    <row r="33668">
      <c r="S33668" s="27"/>
      <c r="T33668" s="27"/>
      <c r="U33668" s="27"/>
    </row>
    <row r="33669">
      <c r="S33669" s="27"/>
      <c r="T33669" s="27"/>
      <c r="U33669" s="27"/>
    </row>
    <row r="33671">
      <c r="S33671" s="27"/>
      <c r="T33671" s="27"/>
      <c r="U33671" s="27"/>
    </row>
    <row r="33672">
      <c r="S33672" s="27"/>
      <c r="T33672" s="27"/>
      <c r="U33672" s="27"/>
    </row>
    <row r="33674">
      <c r="S33674" s="27"/>
      <c r="T33674" s="27"/>
      <c r="U33674" s="27"/>
    </row>
    <row r="33675">
      <c r="S33675" s="27"/>
      <c r="T33675" s="27"/>
      <c r="U33675" s="27"/>
    </row>
    <row r="33677">
      <c r="S33677" s="27"/>
      <c r="T33677" s="27"/>
      <c r="U33677" s="27"/>
    </row>
    <row r="33678">
      <c r="S33678" s="27"/>
      <c r="T33678" s="27"/>
      <c r="U33678" s="27"/>
    </row>
    <row r="33680">
      <c r="S33680" s="27"/>
      <c r="T33680" s="27"/>
      <c r="U33680" s="27"/>
    </row>
    <row r="33681">
      <c r="S33681" s="27"/>
      <c r="T33681" s="27"/>
      <c r="U33681" s="27"/>
    </row>
    <row r="33683">
      <c r="S33683" s="27"/>
      <c r="T33683" s="27"/>
      <c r="U33683" s="27"/>
    </row>
    <row r="33684">
      <c r="S33684" s="27"/>
      <c r="T33684" s="27"/>
      <c r="U33684" s="27"/>
    </row>
    <row r="33686">
      <c r="S33686" s="27"/>
      <c r="T33686" s="27"/>
      <c r="U33686" s="27"/>
    </row>
    <row r="33687">
      <c r="S33687" s="27"/>
      <c r="T33687" s="27"/>
      <c r="U33687" s="27"/>
    </row>
    <row r="33689">
      <c r="S33689" s="27"/>
      <c r="T33689" s="27"/>
      <c r="U33689" s="27"/>
    </row>
    <row r="33690">
      <c r="S33690" s="27"/>
      <c r="T33690" s="27"/>
      <c r="U33690" s="27"/>
    </row>
    <row r="33692">
      <c r="S33692" s="27"/>
      <c r="T33692" s="27"/>
      <c r="U33692" s="27"/>
    </row>
    <row r="33693">
      <c r="S33693" s="27"/>
      <c r="T33693" s="27"/>
      <c r="U33693" s="27"/>
    </row>
    <row r="33695">
      <c r="S33695" s="27"/>
      <c r="T33695" s="27"/>
      <c r="U33695" s="27"/>
    </row>
    <row r="33696">
      <c r="S33696" s="27"/>
      <c r="T33696" s="27"/>
      <c r="U33696" s="27"/>
    </row>
    <row r="33698">
      <c r="S33698" s="27"/>
      <c r="T33698" s="27"/>
      <c r="U33698" s="27"/>
    </row>
    <row r="33699">
      <c r="S33699" s="27"/>
      <c r="T33699" s="27"/>
      <c r="U33699" s="27"/>
    </row>
    <row r="33701">
      <c r="S33701" s="27"/>
      <c r="T33701" s="27"/>
      <c r="U33701" s="27"/>
    </row>
    <row r="33702">
      <c r="S33702" s="27"/>
      <c r="T33702" s="27"/>
      <c r="U33702" s="27"/>
    </row>
    <row r="33704">
      <c r="S33704" s="27"/>
      <c r="T33704" s="27"/>
      <c r="U33704" s="27"/>
    </row>
    <row r="33706">
      <c r="S33706" s="27"/>
      <c r="T33706" s="27"/>
    </row>
    <row r="33707">
      <c r="S33707" s="27"/>
      <c r="T33707" s="27"/>
      <c r="U33707" s="27"/>
    </row>
    <row r="33709">
      <c r="S33709" s="27"/>
      <c r="T33709" s="27"/>
      <c r="U33709" s="27"/>
    </row>
    <row r="33710">
      <c r="S33710" s="27"/>
      <c r="T33710" s="27"/>
      <c r="U33710" s="27"/>
    </row>
    <row r="33712">
      <c r="S33712" s="27"/>
      <c r="T33712" s="27"/>
      <c r="U33712" s="27"/>
    </row>
    <row r="33713">
      <c r="S33713" s="27"/>
      <c r="T33713" s="27"/>
      <c r="U33713" s="27"/>
    </row>
    <row r="33715">
      <c r="S33715" s="27"/>
      <c r="T33715" s="27"/>
      <c r="U33715" s="27"/>
    </row>
    <row r="33716">
      <c r="S33716" s="27"/>
      <c r="T33716" s="27"/>
      <c r="U33716" s="27"/>
    </row>
    <row r="33718">
      <c r="S33718" s="27"/>
      <c r="T33718" s="27"/>
      <c r="U33718" s="27"/>
    </row>
    <row r="33719">
      <c r="S33719" s="27"/>
      <c r="T33719" s="27"/>
      <c r="U33719" s="27"/>
    </row>
    <row r="33721">
      <c r="S33721" s="27"/>
      <c r="T33721" s="27"/>
      <c r="U33721" s="27"/>
    </row>
    <row r="33722">
      <c r="S33722" s="27"/>
      <c r="T33722" s="27"/>
      <c r="U33722" s="27"/>
    </row>
    <row r="33724">
      <c r="S33724" s="27"/>
      <c r="T33724" s="27"/>
      <c r="U33724" s="27"/>
    </row>
    <row r="33725">
      <c r="S33725" s="27"/>
      <c r="T33725" s="27"/>
      <c r="U33725" s="27"/>
    </row>
    <row r="33727">
      <c r="S33727" s="27"/>
      <c r="T33727" s="27"/>
      <c r="U33727" s="27"/>
    </row>
    <row r="33729">
      <c r="S33729" s="27"/>
      <c r="T33729" s="27"/>
      <c r="U33729" s="27"/>
    </row>
    <row r="33731">
      <c r="S33731" s="27"/>
      <c r="T33731" s="27"/>
      <c r="U33731" s="27"/>
    </row>
    <row r="33733">
      <c r="S33733" s="27"/>
      <c r="T33733" s="27"/>
      <c r="U33733" s="27"/>
    </row>
    <row r="33735">
      <c r="S33735" s="27"/>
      <c r="T33735" s="27"/>
      <c r="U33735" s="27"/>
    </row>
    <row r="33736">
      <c r="S33736" s="27"/>
      <c r="T33736" s="27"/>
      <c r="U33736" s="27"/>
    </row>
    <row r="33738">
      <c r="S33738" s="27"/>
      <c r="T33738" s="27"/>
      <c r="U33738" s="27"/>
    </row>
    <row r="33739">
      <c r="S33739" s="27"/>
      <c r="T33739" s="27"/>
      <c r="U33739" s="27"/>
    </row>
    <row r="33741">
      <c r="S33741" s="27"/>
      <c r="T33741" s="27"/>
      <c r="U33741" s="27"/>
    </row>
    <row r="33742">
      <c r="S33742" s="27"/>
      <c r="T33742" s="27"/>
      <c r="U33742" s="33"/>
    </row>
    <row r="33744">
      <c r="S33744" s="27"/>
      <c r="T33744" s="27"/>
      <c r="U33744" s="27"/>
    </row>
    <row r="33745">
      <c r="S33745" s="27"/>
      <c r="T33745" s="27"/>
      <c r="U33745" s="27"/>
    </row>
    <row r="33747">
      <c r="S33747" s="27"/>
      <c r="T33747" s="27"/>
      <c r="U33747" s="27"/>
    </row>
    <row r="33748">
      <c r="S33748" s="27"/>
      <c r="T33748" s="27"/>
      <c r="U33748" s="27"/>
    </row>
    <row r="33750">
      <c r="S33750" s="27"/>
      <c r="T33750" s="27"/>
      <c r="U33750" s="27"/>
    </row>
    <row r="33751">
      <c r="S33751" s="27"/>
      <c r="T33751" s="27"/>
      <c r="U33751" s="27"/>
    </row>
    <row r="33753">
      <c r="S33753" s="27"/>
      <c r="T33753" s="27"/>
      <c r="U33753" s="27"/>
    </row>
    <row r="33754">
      <c r="S33754" s="27"/>
      <c r="T33754" s="27"/>
      <c r="U33754" s="27"/>
    </row>
    <row r="33756">
      <c r="S33756" s="26"/>
      <c r="T33756" s="26"/>
      <c r="U33756" s="27"/>
    </row>
    <row r="33759">
      <c r="S33759" s="33"/>
      <c r="T33759" s="33"/>
      <c r="U33759" s="33"/>
    </row>
    <row r="33760">
      <c r="S33760" s="26"/>
      <c r="T33760" s="26"/>
      <c r="U33760" s="26"/>
    </row>
    <row r="33762">
      <c r="S33762" s="27"/>
      <c r="T33762" s="27"/>
      <c r="U33762" s="27"/>
    </row>
    <row r="33763">
      <c r="S33763" s="27"/>
      <c r="T33763" s="27"/>
      <c r="U33763" s="27"/>
    </row>
    <row r="33765">
      <c r="S33765" s="27"/>
      <c r="T33765" s="27"/>
      <c r="U33765" s="27"/>
    </row>
    <row r="33766">
      <c r="S33766" s="27"/>
      <c r="T33766" s="27"/>
      <c r="U33766" s="27"/>
    </row>
    <row r="33768">
      <c r="S33768" s="27"/>
      <c r="T33768" s="27"/>
      <c r="U33768" s="27"/>
    </row>
    <row r="33769">
      <c r="S33769" s="27"/>
      <c r="T33769" s="27"/>
      <c r="U33769" s="27"/>
    </row>
    <row r="33771">
      <c r="S33771" s="27"/>
      <c r="T33771" s="27"/>
      <c r="U33771" s="27"/>
    </row>
    <row r="33774">
      <c r="S33774" s="27"/>
      <c r="T33774" s="27"/>
      <c r="U33774" s="27"/>
    </row>
    <row r="33775">
      <c r="S33775" s="27"/>
      <c r="T33775" s="27"/>
      <c r="U33775" s="27"/>
    </row>
    <row r="33777">
      <c r="S33777" s="27"/>
      <c r="T33777" s="27"/>
      <c r="U33777" s="27"/>
    </row>
    <row r="33778">
      <c r="S33778" s="27"/>
      <c r="T33778" s="27"/>
      <c r="U33778" s="27"/>
    </row>
    <row r="33780">
      <c r="S33780" s="27"/>
      <c r="T33780" s="26"/>
    </row>
    <row r="33781">
      <c r="S33781" s="27"/>
      <c r="U33781" s="27"/>
    </row>
    <row r="33786">
      <c r="S33786" s="26"/>
      <c r="T33786" s="26"/>
      <c r="U33786" s="26"/>
    </row>
    <row r="33789">
      <c r="S33789" s="27"/>
      <c r="T33789" s="27"/>
      <c r="U33789" s="27"/>
    </row>
    <row r="33790">
      <c r="S33790" s="27"/>
      <c r="T33790" s="27"/>
      <c r="U33790" s="27"/>
    </row>
    <row r="33792">
      <c r="S33792" s="27"/>
      <c r="T33792" s="27"/>
      <c r="U33792" s="27"/>
    </row>
    <row r="33793">
      <c r="S33793" s="27"/>
      <c r="T33793" s="27"/>
      <c r="U33793" s="27"/>
    </row>
    <row r="33795">
      <c r="S33795" s="26"/>
      <c r="T33795" s="26"/>
      <c r="U33795" s="26"/>
    </row>
    <row r="33801">
      <c r="S33801" s="27"/>
      <c r="T33801" s="27"/>
      <c r="U33801" s="27"/>
    </row>
    <row r="33804">
      <c r="S33804" s="27"/>
      <c r="T33804" s="27"/>
      <c r="U33804" s="27"/>
    </row>
    <row r="33805">
      <c r="S33805" s="27"/>
      <c r="T33805" s="27"/>
      <c r="U33805" s="27"/>
    </row>
    <row r="33807">
      <c r="S33807" s="27"/>
      <c r="T33807" s="27"/>
      <c r="U33807" s="27"/>
    </row>
    <row r="33808">
      <c r="S33808" s="27"/>
      <c r="T33808" s="27"/>
      <c r="U33808" s="27"/>
    </row>
    <row r="33810">
      <c r="S33810" s="27"/>
      <c r="T33810" s="27"/>
      <c r="U33810" s="27"/>
    </row>
    <row r="33811">
      <c r="S33811" s="27"/>
      <c r="T33811" s="27"/>
      <c r="U33811" s="27"/>
    </row>
    <row r="33813">
      <c r="S33813" s="27"/>
      <c r="T33813" s="27"/>
      <c r="U33813" s="27"/>
    </row>
    <row r="33814">
      <c r="S33814" s="27"/>
      <c r="T33814" s="27"/>
      <c r="U33814" s="27"/>
    </row>
    <row r="33816">
      <c r="S33816" s="27"/>
      <c r="T33816" s="27"/>
      <c r="U33816" s="27"/>
    </row>
    <row r="33817">
      <c r="S33817" s="27"/>
      <c r="T33817" s="27"/>
      <c r="U33817" s="27"/>
    </row>
    <row r="33819">
      <c r="S33819" s="27"/>
      <c r="T33819" s="27"/>
      <c r="U33819" s="27"/>
    </row>
    <row r="33820">
      <c r="S33820" s="27"/>
      <c r="T33820" s="27"/>
      <c r="U33820" s="27"/>
    </row>
    <row r="33822">
      <c r="S33822" s="27"/>
      <c r="T33822" s="27"/>
      <c r="U33822" s="27"/>
    </row>
    <row r="33823">
      <c r="S33823" s="27"/>
      <c r="T33823" s="27"/>
      <c r="U33823" s="27"/>
    </row>
    <row r="33825">
      <c r="S33825" s="27"/>
      <c r="T33825" s="27"/>
      <c r="U33825" s="27"/>
    </row>
    <row r="33826">
      <c r="S33826" s="27"/>
      <c r="T33826" s="27"/>
      <c r="U33826" s="27"/>
    </row>
    <row r="33828">
      <c r="S33828" s="27"/>
      <c r="T33828" s="27"/>
      <c r="U33828" s="27"/>
    </row>
    <row r="33829">
      <c r="S33829" s="27"/>
      <c r="T33829" s="27"/>
      <c r="U33829" s="27"/>
    </row>
    <row r="33831">
      <c r="S33831" s="27"/>
      <c r="T33831" s="27"/>
      <c r="U33831" s="27"/>
    </row>
    <row r="33832">
      <c r="S33832" s="27"/>
      <c r="T33832" s="27"/>
      <c r="U33832" s="27"/>
    </row>
    <row r="33834">
      <c r="S33834" s="27"/>
      <c r="T33834" s="27"/>
      <c r="U33834" s="27"/>
    </row>
    <row r="33835">
      <c r="S33835" s="27"/>
      <c r="T33835" s="27"/>
      <c r="U33835" s="27"/>
    </row>
    <row r="33837">
      <c r="T33837" s="27"/>
      <c r="U33837" s="27"/>
    </row>
    <row r="33838">
      <c r="T33838" s="27"/>
      <c r="U33838" s="27"/>
    </row>
    <row r="33840">
      <c r="S33840" s="27"/>
      <c r="T33840" s="27"/>
      <c r="U33840" s="27"/>
    </row>
    <row r="33841">
      <c r="S33841" s="27"/>
      <c r="T33841" s="27"/>
      <c r="U33841" s="27"/>
    </row>
    <row r="33843">
      <c r="S33843" s="27"/>
      <c r="T33843" s="27"/>
      <c r="U33843" s="27"/>
    </row>
    <row r="33844">
      <c r="S33844" s="27"/>
      <c r="T33844" s="27"/>
      <c r="U33844" s="27"/>
    </row>
    <row r="33846">
      <c r="S33846" s="27"/>
      <c r="T33846" s="27"/>
      <c r="U33846" s="27"/>
    </row>
    <row r="33847">
      <c r="S33847" s="27"/>
      <c r="T33847" s="27"/>
      <c r="U33847" s="27"/>
    </row>
    <row r="33849">
      <c r="S33849" s="27"/>
      <c r="T33849" s="27"/>
      <c r="U33849" s="27"/>
    </row>
    <row r="33850">
      <c r="S33850" s="27"/>
      <c r="T33850" s="27"/>
      <c r="U33850" s="27"/>
    </row>
    <row r="33852">
      <c r="S33852" s="27"/>
      <c r="T33852" s="27"/>
      <c r="U33852" s="27"/>
    </row>
    <row r="33853">
      <c r="S33853" s="27"/>
      <c r="T33853" s="27"/>
      <c r="U33853" s="27"/>
    </row>
    <row r="33855">
      <c r="S33855" s="27"/>
      <c r="T33855" s="27"/>
      <c r="U33855" s="27"/>
    </row>
    <row r="33856">
      <c r="S33856" s="27"/>
      <c r="T33856" s="27"/>
      <c r="U33856" s="27"/>
    </row>
    <row r="33858">
      <c r="S33858" s="27"/>
      <c r="T33858" s="27"/>
      <c r="U33858" s="27"/>
    </row>
    <row r="33859">
      <c r="S33859" s="27"/>
      <c r="T33859" s="27"/>
      <c r="U33859" s="27"/>
    </row>
    <row r="33861">
      <c r="S33861" s="26"/>
      <c r="T33861" s="26"/>
      <c r="U33861" s="26"/>
    </row>
    <row r="33862">
      <c r="S33862" s="26"/>
      <c r="T33862" s="26"/>
      <c r="U33862" s="26"/>
    </row>
    <row r="33864">
      <c r="S33864" s="27"/>
      <c r="T33864" s="27"/>
      <c r="U33864" s="27"/>
    </row>
    <row r="33865">
      <c r="S33865" s="27"/>
      <c r="T33865" s="27"/>
      <c r="U33865" s="27"/>
    </row>
    <row r="33867">
      <c r="S33867" s="27"/>
      <c r="T33867" s="27"/>
      <c r="U33867" s="27"/>
    </row>
    <row r="33868">
      <c r="S33868" s="27"/>
      <c r="T33868" s="27"/>
      <c r="U33868" s="27"/>
    </row>
    <row r="33870">
      <c r="S33870" s="27"/>
      <c r="T33870" s="27"/>
      <c r="U33870" s="27"/>
    </row>
    <row r="33871">
      <c r="S33871" s="27"/>
      <c r="T33871" s="27"/>
      <c r="U33871" s="27"/>
    </row>
    <row r="33873">
      <c r="S33873" s="27"/>
      <c r="T33873" s="27"/>
      <c r="U33873" s="27"/>
    </row>
    <row r="33874">
      <c r="S33874" s="27"/>
      <c r="T33874" s="27"/>
      <c r="U33874" s="27"/>
    </row>
    <row r="33879">
      <c r="S33879" s="27"/>
      <c r="T33879" s="27"/>
      <c r="U33879" s="27"/>
    </row>
    <row r="33880">
      <c r="S33880" s="27"/>
      <c r="T33880" s="27"/>
      <c r="U33880" s="27"/>
    </row>
    <row r="33882">
      <c r="S33882" s="27"/>
      <c r="T33882" s="27"/>
      <c r="U33882" s="27"/>
    </row>
    <row r="33885">
      <c r="S33885" s="33"/>
      <c r="T33885" s="27"/>
    </row>
    <row r="33886">
      <c r="S33886" s="27"/>
      <c r="T33886" s="27"/>
    </row>
    <row r="33888">
      <c r="S33888" s="27"/>
      <c r="T33888" s="27"/>
      <c r="U33888" s="27"/>
    </row>
    <row r="33889">
      <c r="S33889" s="27"/>
      <c r="T33889" s="27"/>
      <c r="U33889" s="27"/>
    </row>
    <row r="33891">
      <c r="S33891" s="27"/>
      <c r="T33891" s="27"/>
      <c r="U33891" s="27"/>
    </row>
    <row r="33892">
      <c r="S33892" s="26"/>
      <c r="T33892" s="26"/>
      <c r="U33892" s="26"/>
    </row>
    <row r="33894">
      <c r="S33894" s="27"/>
      <c r="T33894" s="27"/>
      <c r="U33894" s="27"/>
    </row>
    <row r="33895">
      <c r="S33895" s="27"/>
      <c r="T33895" s="27"/>
      <c r="U33895" s="27"/>
    </row>
    <row r="33897">
      <c r="S33897" s="27"/>
      <c r="T33897" s="27"/>
      <c r="U33897" s="27"/>
    </row>
    <row r="33898">
      <c r="S33898" s="27"/>
      <c r="T33898" s="27"/>
      <c r="U33898" s="27"/>
    </row>
    <row r="33900">
      <c r="S33900" s="27"/>
      <c r="T33900" s="27"/>
      <c r="U33900" s="27"/>
    </row>
    <row r="33901">
      <c r="S33901" s="27"/>
      <c r="T33901" s="27"/>
      <c r="U33901" s="27"/>
    </row>
    <row r="33903">
      <c r="T33903" s="26"/>
    </row>
    <row r="33906">
      <c r="S33906" s="26"/>
      <c r="T33906" s="26"/>
      <c r="U33906" s="26"/>
    </row>
    <row r="33909">
      <c r="S33909" s="27"/>
      <c r="T33909" s="27"/>
      <c r="U33909" s="27"/>
    </row>
    <row r="33911">
      <c r="T33911" s="27"/>
    </row>
    <row r="33914">
      <c r="S33914" s="27"/>
      <c r="T33914" s="27"/>
      <c r="U33914" s="27"/>
    </row>
    <row r="33917">
      <c r="S33917" s="27"/>
      <c r="T33917" s="27"/>
      <c r="U33917" s="27"/>
    </row>
    <row r="33918">
      <c r="S33918" s="27"/>
      <c r="T33918" s="27"/>
      <c r="U33918" s="27"/>
    </row>
    <row r="33920">
      <c r="S33920" s="27"/>
      <c r="T33920" s="27"/>
      <c r="U33920" s="27"/>
    </row>
    <row r="33921">
      <c r="S33921" s="27"/>
      <c r="T33921" s="27"/>
      <c r="U33921" s="27"/>
    </row>
    <row r="33923">
      <c r="S33923" s="27"/>
      <c r="T33923" s="27"/>
      <c r="U33923" s="27"/>
    </row>
    <row r="33924">
      <c r="S33924" s="27"/>
      <c r="U33924" s="27"/>
    </row>
    <row r="33926">
      <c r="S33926" s="27"/>
      <c r="T33926" s="26"/>
      <c r="U33926" s="27"/>
    </row>
    <row r="33927">
      <c r="S33927" s="27"/>
      <c r="T33927" s="27"/>
      <c r="U33927" s="27"/>
    </row>
    <row r="33929">
      <c r="S33929" s="27"/>
      <c r="T33929" s="27"/>
      <c r="U33929" s="27"/>
    </row>
    <row r="33930">
      <c r="S33930" s="27"/>
      <c r="T33930" s="27"/>
      <c r="U33930" s="27"/>
    </row>
    <row r="33935">
      <c r="S33935" s="27"/>
      <c r="T33935" s="27"/>
      <c r="U33935" s="27"/>
    </row>
    <row r="33936">
      <c r="S33936" s="27"/>
      <c r="T33936" s="27"/>
      <c r="U33936" s="27"/>
    </row>
    <row r="33938">
      <c r="S33938" s="27"/>
      <c r="T33938" s="27"/>
      <c r="U33938" s="27"/>
    </row>
    <row r="33939">
      <c r="S33939" s="27"/>
      <c r="T33939" s="26"/>
      <c r="U33939" s="27"/>
    </row>
    <row r="33941">
      <c r="S33941" s="27"/>
      <c r="T33941" s="27"/>
      <c r="U33941" s="27"/>
    </row>
    <row r="33942">
      <c r="S33942" s="27"/>
      <c r="T33942" s="27"/>
      <c r="U33942" s="27"/>
    </row>
    <row r="33944">
      <c r="S33944" s="33"/>
      <c r="T33944" s="33"/>
      <c r="U33944" s="33"/>
    </row>
    <row r="33950">
      <c r="S33950" s="27"/>
      <c r="T33950" s="27"/>
      <c r="U33950" s="27"/>
    </row>
    <row r="33953">
      <c r="S33953" s="27"/>
      <c r="T33953" s="27"/>
      <c r="U33953" s="27"/>
    </row>
    <row r="33954">
      <c r="S33954" s="27"/>
      <c r="T33954" s="27"/>
      <c r="U33954" s="27"/>
    </row>
    <row r="33956">
      <c r="S33956" s="34"/>
    </row>
    <row r="33957">
      <c r="S33957" s="26"/>
      <c r="T33957" s="26"/>
      <c r="U33957" s="26"/>
    </row>
    <row r="33959">
      <c r="S33959" s="27"/>
      <c r="T33959" s="27"/>
      <c r="U33959" s="27"/>
    </row>
    <row r="33960">
      <c r="S33960" s="27"/>
      <c r="T33960" s="27"/>
      <c r="U33960" s="27"/>
    </row>
    <row r="33962">
      <c r="S33962" s="27"/>
      <c r="T33962" s="27"/>
      <c r="U33962" s="27"/>
    </row>
    <row r="33963">
      <c r="S33963" s="27"/>
      <c r="T33963" s="27"/>
      <c r="U33963" s="27"/>
    </row>
    <row r="33965">
      <c r="S33965" s="27"/>
      <c r="T33965" s="27"/>
      <c r="U33965" s="27"/>
    </row>
    <row r="33966">
      <c r="S33966" s="27"/>
      <c r="T33966" s="27"/>
      <c r="U33966" s="27"/>
    </row>
    <row r="33968">
      <c r="S33968" s="27"/>
      <c r="T33968" s="27"/>
      <c r="U33968" s="27"/>
    </row>
    <row r="33969">
      <c r="S33969" s="27"/>
      <c r="T33969" s="27"/>
      <c r="U33969" s="27"/>
    </row>
    <row r="33971">
      <c r="S33971" s="26"/>
      <c r="U33971" s="27"/>
    </row>
    <row r="33974">
      <c r="S33974" s="27"/>
      <c r="T33974" s="27"/>
      <c r="U33974" s="27"/>
    </row>
    <row r="33975">
      <c r="S33975" s="27"/>
      <c r="T33975" s="27"/>
      <c r="U33975" s="27"/>
    </row>
    <row r="33977">
      <c r="S33977" s="27"/>
      <c r="T33977" s="27"/>
      <c r="U33977" s="27"/>
    </row>
    <row r="33978">
      <c r="S33978" s="27"/>
      <c r="T33978" s="27"/>
      <c r="U33978" s="27"/>
    </row>
    <row r="33980">
      <c r="S33980" s="27"/>
      <c r="T33980" s="27"/>
      <c r="U33980" s="27"/>
    </row>
    <row r="33981">
      <c r="S33981" s="26"/>
      <c r="T33981" s="26"/>
      <c r="U33981" s="26"/>
    </row>
    <row r="33983">
      <c r="T33983" s="27"/>
      <c r="U33983" s="27"/>
    </row>
    <row r="33984">
      <c r="S33984" s="27"/>
      <c r="T33984" s="27"/>
      <c r="U33984" s="27"/>
    </row>
    <row r="33986">
      <c r="S33986" s="27"/>
      <c r="T33986" s="27"/>
      <c r="U33986" s="27"/>
    </row>
    <row r="33987">
      <c r="S33987" s="27"/>
      <c r="T33987" s="27"/>
      <c r="U33987" s="27"/>
    </row>
    <row r="33989">
      <c r="S33989" s="27"/>
      <c r="T33989" s="27"/>
      <c r="U33989" s="27"/>
    </row>
    <row r="33990">
      <c r="S33990" s="27"/>
      <c r="T33990" s="27"/>
      <c r="U33990" s="27"/>
    </row>
    <row r="33993">
      <c r="S33993" s="26"/>
      <c r="T33993" s="26"/>
      <c r="U33993" s="26"/>
    </row>
    <row r="33995">
      <c r="S33995" s="27"/>
      <c r="T33995" s="27"/>
      <c r="U33995" s="27"/>
    </row>
    <row r="33996">
      <c r="S33996" s="27"/>
      <c r="T33996" s="27"/>
      <c r="U33996" s="27"/>
    </row>
    <row r="33998">
      <c r="S33998" s="26"/>
      <c r="T33998" s="26"/>
      <c r="U33998" s="26"/>
    </row>
    <row r="34001">
      <c r="S34001" s="27"/>
      <c r="T34001" s="27"/>
      <c r="U34001" s="27"/>
    </row>
    <row r="34004">
      <c r="S34004" s="27"/>
      <c r="T34004" s="27"/>
      <c r="U34004" s="27"/>
    </row>
    <row r="34005">
      <c r="S34005" s="27"/>
      <c r="T34005" s="27"/>
      <c r="U34005" s="27"/>
    </row>
    <row r="34007">
      <c r="S34007" s="27"/>
      <c r="T34007" s="27"/>
      <c r="U34007" s="27"/>
    </row>
    <row r="34008">
      <c r="S34008" s="27"/>
      <c r="T34008" s="27"/>
      <c r="U34008" s="27"/>
    </row>
    <row r="34010">
      <c r="S34010" s="27"/>
      <c r="T34010" s="27"/>
      <c r="U34010" s="27"/>
    </row>
    <row r="34011">
      <c r="S34011" s="27"/>
      <c r="T34011" s="27"/>
      <c r="U34011" s="27"/>
    </row>
    <row r="34013">
      <c r="S34013" s="27"/>
    </row>
    <row r="34014">
      <c r="T34014" s="26"/>
      <c r="U34014" s="26"/>
    </row>
    <row r="34016">
      <c r="S34016" s="27"/>
      <c r="T34016" s="27"/>
      <c r="U34016" s="27"/>
    </row>
    <row r="34017">
      <c r="S34017" s="27"/>
      <c r="T34017" s="27"/>
      <c r="U34017" s="27"/>
    </row>
    <row r="34019">
      <c r="S34019" s="27"/>
      <c r="T34019" s="27"/>
      <c r="U34019" s="27"/>
    </row>
    <row r="34020">
      <c r="S34020" s="27"/>
      <c r="T34020" s="27"/>
      <c r="U34020" s="27"/>
    </row>
    <row r="34022">
      <c r="S34022" s="27"/>
      <c r="T34022" s="27"/>
      <c r="U34022" s="27"/>
    </row>
    <row r="34023">
      <c r="S34023" s="27"/>
      <c r="T34023" s="27"/>
      <c r="U34023" s="27"/>
    </row>
    <row r="34025">
      <c r="S34025" s="27"/>
      <c r="T34025" s="27"/>
      <c r="U34025" s="27"/>
    </row>
    <row r="34026">
      <c r="S34026" s="27"/>
      <c r="T34026" s="27"/>
      <c r="U34026" s="27"/>
    </row>
    <row r="34028">
      <c r="S34028" s="27"/>
      <c r="T34028" s="27"/>
      <c r="U34028" s="27"/>
    </row>
    <row r="34029">
      <c r="S34029" s="27"/>
      <c r="T34029" s="27"/>
      <c r="U34029" s="27"/>
    </row>
    <row r="34031">
      <c r="S34031" s="27"/>
      <c r="T34031" s="27"/>
      <c r="U34031" s="27"/>
    </row>
    <row r="34032">
      <c r="S34032" s="27"/>
      <c r="T34032" s="27"/>
      <c r="U34032" s="27"/>
    </row>
    <row r="34034">
      <c r="S34034" s="27"/>
      <c r="T34034" s="27"/>
      <c r="U34034" s="27"/>
    </row>
    <row r="34035">
      <c r="S34035" s="27"/>
      <c r="T34035" s="27"/>
      <c r="U34035" s="27"/>
    </row>
    <row r="34037">
      <c r="S34037" s="27"/>
      <c r="T34037" s="27"/>
      <c r="U34037" s="27"/>
    </row>
    <row r="34038">
      <c r="S34038" s="27"/>
      <c r="T34038" s="27"/>
      <c r="U34038" s="27"/>
    </row>
    <row r="34040">
      <c r="S34040" s="27"/>
      <c r="T34040" s="27"/>
      <c r="U34040" s="27"/>
    </row>
    <row r="34041">
      <c r="S34041" s="27"/>
      <c r="T34041" s="27"/>
      <c r="U34041" s="27"/>
    </row>
    <row r="34043">
      <c r="S34043" s="27"/>
      <c r="T34043" s="27"/>
      <c r="U34043" s="27"/>
    </row>
    <row r="34044">
      <c r="S34044" s="27"/>
      <c r="T34044" s="27"/>
      <c r="U34044" s="27"/>
    </row>
    <row r="34046">
      <c r="S34046" s="27"/>
      <c r="T34046" s="27"/>
      <c r="U34046" s="27"/>
    </row>
    <row r="34047">
      <c r="S34047" s="27"/>
      <c r="T34047" s="27"/>
      <c r="U34047" s="27"/>
    </row>
    <row r="34049">
      <c r="S34049" s="27"/>
      <c r="T34049" s="27"/>
      <c r="U34049" s="27"/>
    </row>
    <row r="34050">
      <c r="S34050" s="27"/>
      <c r="T34050" s="27"/>
      <c r="U34050" s="27"/>
    </row>
    <row r="34052">
      <c r="S34052" s="27"/>
      <c r="T34052" s="27"/>
      <c r="U34052" s="27"/>
    </row>
    <row r="34053">
      <c r="S34053" s="27"/>
      <c r="T34053" s="27"/>
      <c r="U34053" s="27"/>
    </row>
    <row r="34055">
      <c r="S34055" s="27"/>
      <c r="T34055" s="27"/>
      <c r="U34055" s="27"/>
    </row>
    <row r="34056">
      <c r="S34056" s="27"/>
      <c r="T34056" s="27"/>
      <c r="U34056" s="27"/>
    </row>
    <row r="34058">
      <c r="S34058" s="27"/>
      <c r="T34058" s="27"/>
      <c r="U34058" s="27"/>
    </row>
    <row r="34059">
      <c r="S34059" s="27"/>
      <c r="T34059" s="27"/>
      <c r="U34059" s="27"/>
    </row>
    <row r="34061">
      <c r="S34061" s="27"/>
      <c r="T34061" s="27"/>
      <c r="U34061" s="27"/>
    </row>
    <row r="34062">
      <c r="S34062" s="27"/>
      <c r="T34062" s="27"/>
      <c r="U34062" s="27"/>
    </row>
    <row r="34064">
      <c r="S34064" s="27"/>
      <c r="T34064" s="27"/>
      <c r="U34064" s="27"/>
    </row>
    <row r="34065">
      <c r="S34065" s="27"/>
      <c r="T34065" s="27"/>
      <c r="U34065" s="27"/>
    </row>
    <row r="34067">
      <c r="S34067" s="27"/>
      <c r="T34067" s="27"/>
      <c r="U34067" s="27"/>
    </row>
    <row r="34068">
      <c r="S34068" s="27"/>
      <c r="T34068" s="27"/>
      <c r="U34068" s="27"/>
    </row>
    <row r="34070">
      <c r="S34070" s="27"/>
      <c r="T34070" s="27"/>
      <c r="U34070" s="27"/>
    </row>
    <row r="34071">
      <c r="S34071" s="27"/>
      <c r="T34071" s="27"/>
      <c r="U34071" s="27"/>
    </row>
    <row r="34073">
      <c r="S34073" s="27"/>
      <c r="T34073" s="27"/>
      <c r="U34073" s="27"/>
    </row>
    <row r="34074">
      <c r="S34074" s="27"/>
      <c r="T34074" s="27"/>
      <c r="U34074" s="27"/>
    </row>
    <row r="34076">
      <c r="S34076" s="27"/>
      <c r="T34076" s="27"/>
      <c r="U34076" s="27"/>
    </row>
    <row r="34077">
      <c r="S34077" s="27"/>
      <c r="T34077" s="27"/>
      <c r="U34077" s="27"/>
    </row>
    <row r="34079">
      <c r="S34079" s="27"/>
      <c r="T34079" s="27"/>
      <c r="U34079" s="27"/>
    </row>
    <row r="34080">
      <c r="S34080" s="27"/>
      <c r="T34080" s="27"/>
      <c r="U34080" s="27"/>
    </row>
    <row r="34082">
      <c r="S34082" s="27"/>
      <c r="T34082" s="27"/>
      <c r="U34082" s="27"/>
    </row>
    <row r="34083">
      <c r="S34083" s="27"/>
      <c r="T34083" s="27"/>
      <c r="U34083" s="27"/>
    </row>
    <row r="34085">
      <c r="S34085" s="27"/>
      <c r="T34085" s="27"/>
      <c r="U34085" s="27"/>
    </row>
    <row r="34086">
      <c r="S34086" s="27"/>
      <c r="T34086" s="27"/>
      <c r="U34086" s="27"/>
    </row>
    <row r="34088">
      <c r="S34088" s="27"/>
      <c r="T34088" s="27"/>
      <c r="U34088" s="27"/>
    </row>
    <row r="34089">
      <c r="S34089" s="27"/>
      <c r="T34089" s="27"/>
      <c r="U34089" s="27"/>
    </row>
    <row r="34091">
      <c r="S34091" s="27"/>
      <c r="T34091" s="27"/>
      <c r="U34091" s="27"/>
    </row>
    <row r="34092">
      <c r="S34092" s="27"/>
      <c r="T34092" s="27"/>
      <c r="U34092" s="27"/>
    </row>
    <row r="34094">
      <c r="S34094" s="27"/>
      <c r="T34094" s="27"/>
      <c r="U34094" s="27"/>
    </row>
    <row r="34095">
      <c r="S34095" s="27"/>
      <c r="T34095" s="27"/>
      <c r="U34095" s="27"/>
    </row>
    <row r="34097">
      <c r="S34097" s="27"/>
      <c r="T34097" s="27"/>
      <c r="U34097" s="27"/>
    </row>
    <row r="34098">
      <c r="S34098" s="27"/>
      <c r="T34098" s="27"/>
      <c r="U34098" s="27"/>
    </row>
    <row r="34100">
      <c r="S34100" s="27"/>
      <c r="T34100" s="27"/>
      <c r="U34100" s="27"/>
    </row>
    <row r="34101">
      <c r="S34101" s="27"/>
      <c r="T34101" s="27"/>
      <c r="U34101" s="27"/>
    </row>
    <row r="34103">
      <c r="S34103" s="27"/>
      <c r="T34103" s="27"/>
      <c r="U34103" s="27"/>
    </row>
    <row r="34104">
      <c r="S34104" s="27"/>
      <c r="T34104" s="27"/>
      <c r="U34104" s="27"/>
    </row>
    <row r="34106">
      <c r="S34106" s="27"/>
      <c r="T34106" s="27"/>
      <c r="U34106" s="27"/>
    </row>
    <row r="34107">
      <c r="S34107" s="27"/>
      <c r="T34107" s="27"/>
      <c r="U34107" s="27"/>
    </row>
    <row r="34109">
      <c r="S34109" s="27"/>
      <c r="T34109" s="27"/>
      <c r="U34109" s="27"/>
    </row>
    <row r="34111">
      <c r="S34111" s="27"/>
      <c r="T34111" s="27"/>
      <c r="U34111" s="27"/>
    </row>
    <row r="34112">
      <c r="S34112" s="27"/>
      <c r="T34112" s="27"/>
      <c r="U34112" s="27"/>
    </row>
    <row r="34114">
      <c r="S34114" s="27"/>
      <c r="T34114" s="27"/>
      <c r="U34114" s="27"/>
    </row>
    <row r="34115">
      <c r="S34115" s="27"/>
      <c r="T34115" s="27"/>
      <c r="U34115" s="27"/>
    </row>
    <row r="34117">
      <c r="S34117" s="27"/>
      <c r="T34117" s="27"/>
      <c r="U34117" s="27"/>
    </row>
    <row r="34118">
      <c r="S34118" s="27"/>
      <c r="T34118" s="27"/>
      <c r="U34118" s="27"/>
    </row>
    <row r="34120">
      <c r="S34120" s="27"/>
      <c r="T34120" s="27"/>
      <c r="U34120" s="27"/>
    </row>
    <row r="34121">
      <c r="S34121" s="27"/>
      <c r="T34121" s="27"/>
      <c r="U34121" s="27"/>
    </row>
    <row r="34123">
      <c r="S34123" s="27"/>
      <c r="T34123" s="27"/>
      <c r="U34123" s="27"/>
    </row>
    <row r="34124">
      <c r="S34124" s="27"/>
      <c r="T34124" s="27"/>
      <c r="U34124" s="27"/>
    </row>
    <row r="34126">
      <c r="S34126" s="27"/>
      <c r="T34126" s="27"/>
      <c r="U34126" s="27"/>
    </row>
    <row r="34127">
      <c r="S34127" s="27"/>
      <c r="T34127" s="33"/>
      <c r="U34127" s="27"/>
    </row>
    <row r="34129">
      <c r="S34129" s="27"/>
      <c r="T34129" s="27"/>
      <c r="U34129" s="27"/>
    </row>
    <row r="34130">
      <c r="S34130" s="27"/>
      <c r="T34130" s="27"/>
      <c r="U34130" s="27"/>
    </row>
    <row r="34132">
      <c r="S34132" s="27"/>
      <c r="T34132" s="27"/>
      <c r="U34132" s="27"/>
    </row>
    <row r="34134">
      <c r="S34134" s="27"/>
      <c r="T34134" s="27"/>
      <c r="U34134" s="27"/>
    </row>
    <row r="34136">
      <c r="S34136" s="27"/>
      <c r="U34136" s="27"/>
    </row>
    <row r="34138">
      <c r="S34138" s="33"/>
      <c r="T34138" s="27"/>
      <c r="U34138" s="27"/>
    </row>
    <row r="34140">
      <c r="S34140" s="27"/>
      <c r="T34140" s="27"/>
      <c r="U34140" s="27"/>
    </row>
    <row r="34141">
      <c r="S34141" s="27"/>
      <c r="T34141" s="27"/>
      <c r="U34141" s="27"/>
    </row>
    <row r="34143">
      <c r="S34143" s="27"/>
    </row>
    <row r="34144">
      <c r="S34144" s="27"/>
      <c r="T34144" s="27"/>
      <c r="U34144" s="27"/>
    </row>
    <row r="34146">
      <c r="S34146" s="27"/>
      <c r="T34146" s="27"/>
      <c r="U34146" s="27"/>
    </row>
    <row r="34147">
      <c r="S34147" s="27"/>
      <c r="T34147" s="27"/>
      <c r="U34147" s="27"/>
    </row>
    <row r="34149">
      <c r="S34149" s="27"/>
      <c r="T34149" s="27"/>
      <c r="U34149" s="27"/>
    </row>
    <row r="34150">
      <c r="S34150" s="27"/>
      <c r="T34150" s="27"/>
      <c r="U34150" s="27"/>
    </row>
    <row r="34152">
      <c r="S34152" s="27"/>
      <c r="T34152" s="27"/>
      <c r="U34152" s="27"/>
    </row>
    <row r="34153">
      <c r="S34153" s="27"/>
      <c r="T34153" s="27"/>
      <c r="U34153" s="27"/>
    </row>
    <row r="34155">
      <c r="S34155" s="27"/>
      <c r="T34155" s="27"/>
      <c r="U34155" s="27"/>
    </row>
    <row r="34156">
      <c r="S34156" s="27"/>
      <c r="T34156" s="27"/>
      <c r="U34156" s="27"/>
    </row>
    <row r="34158">
      <c r="S34158" s="27"/>
      <c r="T34158" s="27"/>
      <c r="U34158" s="27"/>
    </row>
    <row r="34159">
      <c r="S34159" s="27"/>
      <c r="T34159" s="27"/>
      <c r="U34159" s="27"/>
    </row>
    <row r="34161">
      <c r="S34161" s="26"/>
      <c r="T34161" s="26"/>
      <c r="U34161" s="26"/>
    </row>
    <row r="34167">
      <c r="S34167" s="27"/>
      <c r="T34167" s="27"/>
      <c r="U34167" s="27"/>
    </row>
    <row r="34168">
      <c r="S34168" s="27"/>
      <c r="T34168" s="27"/>
      <c r="U34168" s="27"/>
    </row>
    <row r="34170">
      <c r="S34170" s="27"/>
      <c r="T34170" s="27"/>
      <c r="U34170" s="27"/>
    </row>
    <row r="34171">
      <c r="S34171" s="27"/>
      <c r="T34171" s="27"/>
      <c r="U34171" s="27"/>
    </row>
    <row r="34173">
      <c r="S34173" s="27"/>
      <c r="T34173" s="27"/>
      <c r="U34173" s="27"/>
    </row>
    <row r="34174">
      <c r="S34174" s="27"/>
      <c r="T34174" s="27"/>
      <c r="U34174" s="27"/>
    </row>
    <row r="34176">
      <c r="U34176" s="27"/>
    </row>
    <row r="34179">
      <c r="S34179" s="27"/>
      <c r="T34179" s="27"/>
      <c r="U34179" s="27"/>
    </row>
    <row r="34180">
      <c r="S34180" s="27"/>
      <c r="T34180" s="27"/>
      <c r="U34180" s="27"/>
    </row>
    <row r="34182">
      <c r="S34182" s="27"/>
      <c r="T34182" s="27"/>
      <c r="U34182" s="27"/>
    </row>
    <row r="34183">
      <c r="S34183" s="27"/>
      <c r="T34183" s="27"/>
      <c r="U34183" s="27"/>
    </row>
    <row r="34185">
      <c r="S34185" s="27"/>
      <c r="U34185" s="27"/>
    </row>
    <row r="34186">
      <c r="S34186" s="27"/>
      <c r="T34186" s="27"/>
      <c r="U34186" s="27"/>
    </row>
    <row r="34188">
      <c r="S34188" s="27"/>
      <c r="T34188" s="27"/>
      <c r="U34188" s="27"/>
    </row>
    <row r="34191">
      <c r="S34191" s="26"/>
      <c r="T34191" s="26"/>
      <c r="U34191" s="27"/>
    </row>
    <row r="34194">
      <c r="S34194" s="27"/>
      <c r="T34194" s="27"/>
      <c r="U34194" s="27"/>
    </row>
    <row r="34195">
      <c r="S34195" s="27"/>
      <c r="T34195" s="27"/>
      <c r="U34195" s="27"/>
    </row>
    <row r="34197">
      <c r="S34197" s="27"/>
      <c r="T34197" s="27"/>
      <c r="U34197" s="27"/>
    </row>
    <row r="34198">
      <c r="S34198" s="27"/>
      <c r="T34198" s="27"/>
      <c r="U34198" s="27"/>
    </row>
    <row r="34200">
      <c r="S34200" s="26"/>
      <c r="T34200" s="26"/>
      <c r="U34200" s="26"/>
    </row>
    <row r="34203">
      <c r="S34203" s="27"/>
      <c r="T34203" s="27"/>
      <c r="U34203" s="27"/>
    </row>
    <row r="34209">
      <c r="S34209" s="27"/>
      <c r="T34209" s="27"/>
      <c r="U34209" s="27"/>
    </row>
    <row r="34210">
      <c r="S34210" s="27"/>
      <c r="T34210" s="27"/>
      <c r="U34210" s="27"/>
    </row>
    <row r="34212">
      <c r="S34212" s="27"/>
      <c r="T34212" s="27"/>
      <c r="U34212" s="27"/>
    </row>
    <row r="34213">
      <c r="S34213" s="27"/>
      <c r="T34213" s="27"/>
      <c r="U34213" s="27"/>
    </row>
    <row r="34215">
      <c r="S34215" s="27"/>
      <c r="T34215" s="27"/>
      <c r="U34215" s="27"/>
    </row>
    <row r="34216">
      <c r="S34216" s="27"/>
      <c r="T34216" s="27"/>
      <c r="U34216" s="27"/>
    </row>
    <row r="34218">
      <c r="S34218" s="27"/>
      <c r="T34218" s="27"/>
      <c r="U34218" s="27"/>
    </row>
    <row r="34219">
      <c r="S34219" s="27"/>
      <c r="T34219" s="27"/>
      <c r="U34219" s="27"/>
    </row>
    <row r="34221">
      <c r="S34221" s="27"/>
      <c r="T34221" s="27"/>
      <c r="U34221" s="27"/>
    </row>
    <row r="34222">
      <c r="S34222" s="27"/>
      <c r="T34222" s="27"/>
      <c r="U34222" s="27"/>
    </row>
    <row r="34224">
      <c r="S34224" s="27"/>
      <c r="T34224" s="27"/>
      <c r="U34224" s="27"/>
    </row>
    <row r="34225">
      <c r="S34225" s="27"/>
      <c r="T34225" s="27"/>
      <c r="U34225" s="27"/>
    </row>
    <row r="34227">
      <c r="S34227" s="27"/>
      <c r="T34227" s="27"/>
      <c r="U34227" s="27"/>
    </row>
    <row r="34228">
      <c r="S34228" s="27"/>
      <c r="T34228" s="27"/>
      <c r="U34228" s="27"/>
    </row>
    <row r="34230">
      <c r="S34230" s="27"/>
      <c r="T34230" s="27"/>
      <c r="U34230" s="27"/>
    </row>
    <row r="34231">
      <c r="S34231" s="27"/>
      <c r="T34231" s="27"/>
      <c r="U34231" s="27"/>
    </row>
    <row r="34233">
      <c r="S34233" s="27"/>
      <c r="T34233" s="27"/>
      <c r="U34233" s="27"/>
    </row>
    <row r="34234">
      <c r="S34234" s="27"/>
      <c r="T34234" s="27"/>
      <c r="U34234" s="27"/>
    </row>
    <row r="34236">
      <c r="S34236" s="27"/>
      <c r="T34236" s="27"/>
      <c r="U34236" s="27"/>
    </row>
    <row r="34237">
      <c r="S34237" s="27"/>
      <c r="T34237" s="27"/>
      <c r="U34237" s="27"/>
    </row>
    <row r="34239">
      <c r="S34239" s="27"/>
      <c r="T34239" s="27"/>
      <c r="U34239" s="27"/>
    </row>
    <row r="34240">
      <c r="S34240" s="27"/>
      <c r="T34240" s="27"/>
      <c r="U34240" s="27"/>
    </row>
    <row r="34242">
      <c r="T34242" s="27"/>
      <c r="U34242" s="27"/>
    </row>
    <row r="34243">
      <c r="T34243" s="27"/>
      <c r="U34243" s="27"/>
    </row>
    <row r="34245">
      <c r="S34245" s="27"/>
      <c r="T34245" s="27"/>
      <c r="U34245" s="27"/>
    </row>
    <row r="34246">
      <c r="S34246" s="27"/>
      <c r="T34246" s="27"/>
      <c r="U34246" s="27"/>
    </row>
    <row r="34248">
      <c r="S34248" s="27"/>
      <c r="T34248" s="27"/>
      <c r="U34248" s="27"/>
    </row>
    <row r="34249">
      <c r="S34249" s="27"/>
      <c r="T34249" s="27"/>
      <c r="U34249" s="27"/>
    </row>
    <row r="34251">
      <c r="S34251" s="27"/>
      <c r="T34251" s="27"/>
      <c r="U34251" s="27"/>
    </row>
    <row r="34252">
      <c r="S34252" s="27"/>
      <c r="T34252" s="27"/>
      <c r="U34252" s="27"/>
    </row>
    <row r="34254">
      <c r="S34254" s="27"/>
      <c r="T34254" s="27"/>
      <c r="U34254" s="27"/>
    </row>
    <row r="34255">
      <c r="S34255" s="27"/>
      <c r="T34255" s="27"/>
      <c r="U34255" s="27"/>
    </row>
    <row r="34257">
      <c r="S34257" s="27"/>
      <c r="T34257" s="27"/>
      <c r="U34257" s="27"/>
    </row>
    <row r="34258">
      <c r="S34258" s="27"/>
      <c r="T34258" s="27"/>
      <c r="U34258" s="27"/>
    </row>
    <row r="34260">
      <c r="S34260" s="27"/>
      <c r="T34260" s="27"/>
      <c r="U34260" s="27"/>
    </row>
    <row r="34261">
      <c r="S34261" s="27"/>
      <c r="T34261" s="27"/>
      <c r="U34261" s="27"/>
    </row>
    <row r="34263">
      <c r="S34263" s="27"/>
      <c r="T34263" s="27"/>
      <c r="U34263" s="27"/>
    </row>
    <row r="34264">
      <c r="S34264" s="27"/>
      <c r="T34264" s="27"/>
      <c r="U34264" s="27"/>
    </row>
    <row r="34266">
      <c r="S34266" s="27"/>
      <c r="T34266" s="27"/>
      <c r="U34266" s="27"/>
    </row>
    <row r="34267">
      <c r="S34267" s="27"/>
      <c r="T34267" s="27"/>
      <c r="U34267" s="27"/>
    </row>
    <row r="34269">
      <c r="S34269" s="27"/>
      <c r="T34269" s="27"/>
      <c r="U34269" s="27"/>
    </row>
    <row r="34270">
      <c r="S34270" s="27"/>
      <c r="T34270" s="27"/>
      <c r="U34270" s="27"/>
    </row>
    <row r="34272">
      <c r="S34272" s="27"/>
      <c r="T34272" s="27"/>
      <c r="U34272" s="27"/>
    </row>
    <row r="34273">
      <c r="S34273" s="27"/>
      <c r="T34273" s="27"/>
      <c r="U34273" s="27"/>
    </row>
    <row r="34275">
      <c r="S34275" s="27"/>
      <c r="T34275" s="27"/>
      <c r="U34275" s="27"/>
    </row>
    <row r="34276">
      <c r="S34276" s="27"/>
      <c r="T34276" s="27"/>
      <c r="U34276" s="27"/>
    </row>
    <row r="34278">
      <c r="S34278" s="27"/>
      <c r="T34278" s="27"/>
      <c r="U34278" s="27"/>
    </row>
    <row r="34279">
      <c r="S34279" s="27"/>
      <c r="T34279" s="27"/>
      <c r="U34279" s="27"/>
    </row>
    <row r="34281">
      <c r="S34281" s="27"/>
      <c r="T34281" s="27"/>
      <c r="U34281" s="27"/>
    </row>
    <row r="34282">
      <c r="S34282" s="27"/>
      <c r="T34282" s="27"/>
      <c r="U34282" s="27"/>
    </row>
    <row r="34284">
      <c r="S34284" s="27"/>
      <c r="U34284" s="27"/>
    </row>
    <row r="34285">
      <c r="S34285" s="27"/>
      <c r="T34285" s="27"/>
      <c r="U34285" s="27"/>
    </row>
    <row r="34287">
      <c r="S34287" s="27"/>
      <c r="T34287" s="27"/>
      <c r="U34287" s="27"/>
    </row>
    <row r="34290">
      <c r="S34290" s="27"/>
      <c r="T34290" s="33"/>
      <c r="U34290" s="27"/>
    </row>
    <row r="34291">
      <c r="T34291" s="27"/>
      <c r="U34291" s="26"/>
    </row>
    <row r="34293">
      <c r="S34293" s="27"/>
      <c r="T34293" s="27"/>
      <c r="U34293" s="27"/>
    </row>
    <row r="34294">
      <c r="S34294" s="27"/>
      <c r="T34294" s="27"/>
      <c r="U34294" s="27"/>
    </row>
    <row r="34296">
      <c r="S34296" s="27"/>
      <c r="T34296" s="27"/>
      <c r="U34296" s="27"/>
    </row>
    <row r="34297">
      <c r="T34297" s="26"/>
      <c r="U34297" s="26"/>
    </row>
    <row r="34299">
      <c r="S34299" s="27"/>
      <c r="T34299" s="27"/>
      <c r="U34299" s="27"/>
    </row>
    <row r="34300">
      <c r="S34300" s="27"/>
      <c r="T34300" s="27"/>
      <c r="U34300" s="27"/>
    </row>
    <row r="34302">
      <c r="S34302" s="27"/>
      <c r="T34302" s="27"/>
      <c r="U34302" s="27"/>
    </row>
    <row r="34303">
      <c r="S34303" s="27"/>
      <c r="T34303" s="27"/>
      <c r="U34303" s="27"/>
    </row>
    <row r="34305">
      <c r="S34305" s="27"/>
      <c r="T34305" s="27"/>
      <c r="U34305" s="27"/>
    </row>
    <row r="34306">
      <c r="S34306" s="27"/>
      <c r="T34306" s="27"/>
      <c r="U34306" s="27"/>
    </row>
    <row r="34311">
      <c r="S34311" s="26"/>
      <c r="T34311" s="26"/>
      <c r="U34311" s="26"/>
    </row>
    <row r="34316">
      <c r="S34316" s="27"/>
      <c r="T34316" s="27"/>
    </row>
    <row r="34318">
      <c r="U34318" s="26"/>
    </row>
    <row r="34321">
      <c r="S34321" s="27"/>
      <c r="T34321" s="27"/>
      <c r="U34321" s="27"/>
    </row>
    <row r="34324">
      <c r="S34324" s="27"/>
      <c r="T34324" s="27"/>
      <c r="U34324" s="27"/>
    </row>
    <row r="34325">
      <c r="S34325" s="27"/>
      <c r="T34325" s="27"/>
      <c r="U34325" s="27"/>
    </row>
    <row r="34327">
      <c r="S34327" s="27"/>
      <c r="T34327" s="27"/>
      <c r="U34327" s="27"/>
    </row>
    <row r="34328">
      <c r="S34328" s="27"/>
      <c r="T34328" s="27"/>
      <c r="U34328" s="27"/>
    </row>
    <row r="34330">
      <c r="S34330" s="27"/>
      <c r="T34330" s="27"/>
      <c r="U34330" s="27"/>
    </row>
    <row r="34331">
      <c r="U34331" s="27"/>
    </row>
    <row r="34333">
      <c r="S34333" s="27"/>
      <c r="T34333" s="27"/>
      <c r="U34333" s="27"/>
    </row>
    <row r="34334">
      <c r="S34334" s="26"/>
      <c r="T34334" s="27"/>
      <c r="U34334" s="27"/>
    </row>
    <row r="34337">
      <c r="S34337" s="27"/>
      <c r="T34337" s="27"/>
      <c r="U34337" s="27"/>
    </row>
    <row r="34342">
      <c r="S34342" s="27"/>
      <c r="T34342" s="27"/>
      <c r="U34342" s="27"/>
    </row>
    <row r="34343">
      <c r="S34343" s="27"/>
      <c r="T34343" s="27"/>
      <c r="U34343" s="27"/>
    </row>
    <row r="34345">
      <c r="S34345" s="27"/>
      <c r="T34345" s="27"/>
      <c r="U34345" s="27"/>
    </row>
    <row r="34346">
      <c r="S34346" s="27"/>
      <c r="T34346" s="27"/>
      <c r="U34346" s="27"/>
    </row>
    <row r="34348">
      <c r="S34348" s="27"/>
      <c r="T34348" s="27"/>
      <c r="U34348" s="27"/>
    </row>
    <row r="34349">
      <c r="S34349" s="27"/>
      <c r="T34349" s="27"/>
      <c r="U34349" s="27"/>
    </row>
    <row r="34351">
      <c r="S34351" s="27"/>
      <c r="T34351" s="33"/>
      <c r="U34351" s="27"/>
    </row>
    <row r="34357">
      <c r="S34357" s="27"/>
      <c r="T34357" s="27"/>
      <c r="U34357" s="27"/>
    </row>
    <row r="34360">
      <c r="S34360" s="27"/>
      <c r="T34360" s="27"/>
      <c r="U34360" s="27"/>
    </row>
    <row r="34361">
      <c r="S34361" s="33"/>
      <c r="T34361" s="33"/>
      <c r="U34361" s="33"/>
    </row>
    <row r="34363">
      <c r="T34363" s="26"/>
      <c r="U34363" s="26"/>
    </row>
    <row r="34364">
      <c r="S34364" s="26"/>
    </row>
    <row r="34366">
      <c r="S34366" s="27"/>
      <c r="T34366" s="27"/>
      <c r="U34366" s="27"/>
    </row>
    <row r="34367">
      <c r="S34367" s="27"/>
      <c r="T34367" s="27"/>
      <c r="U34367" s="27"/>
    </row>
    <row r="34369">
      <c r="S34369" s="27"/>
      <c r="T34369" s="27"/>
      <c r="U34369" s="27"/>
    </row>
    <row r="34370">
      <c r="S34370" s="27"/>
      <c r="T34370" s="27"/>
      <c r="U34370" s="27"/>
    </row>
    <row r="34372">
      <c r="S34372" s="27"/>
      <c r="T34372" s="27"/>
      <c r="U34372" s="27"/>
    </row>
    <row r="34373">
      <c r="S34373" s="27"/>
      <c r="T34373" s="27"/>
      <c r="U34373" s="27"/>
    </row>
    <row r="34376">
      <c r="S34376" s="27"/>
      <c r="T34376" s="27"/>
      <c r="U34376" s="27"/>
    </row>
    <row r="34381">
      <c r="S34381" s="27"/>
      <c r="T34381" s="27"/>
      <c r="U34381" s="27"/>
    </row>
    <row r="34382">
      <c r="S34382" s="27"/>
      <c r="T34382" s="27"/>
      <c r="U34382" s="27"/>
    </row>
    <row r="34385">
      <c r="S34385" s="27"/>
      <c r="T34385" s="27"/>
      <c r="U34385" s="27"/>
    </row>
    <row r="34387">
      <c r="S34387" s="27"/>
      <c r="T34387" s="27"/>
      <c r="U34387" s="27"/>
    </row>
    <row r="34390">
      <c r="S34390" s="27"/>
      <c r="T34390" s="26"/>
      <c r="U34390" s="27"/>
    </row>
    <row r="34391">
      <c r="S34391" s="27"/>
      <c r="U34391" s="27"/>
    </row>
    <row r="34393">
      <c r="S34393" s="27"/>
      <c r="T34393" s="27"/>
      <c r="U34393" s="27"/>
    </row>
    <row r="34394">
      <c r="S34394" s="27"/>
      <c r="T34394" s="27"/>
      <c r="U34394" s="27"/>
    </row>
    <row r="34396">
      <c r="S34396" s="27"/>
      <c r="T34396" s="27"/>
      <c r="U34396" s="27"/>
    </row>
    <row r="34397">
      <c r="S34397" s="27"/>
      <c r="T34397" s="27"/>
      <c r="U34397" s="27"/>
    </row>
    <row r="34399">
      <c r="S34399" s="27"/>
      <c r="T34399" s="27"/>
      <c r="U34399" s="27"/>
    </row>
    <row r="34402">
      <c r="S34402" s="27"/>
      <c r="T34402" s="27"/>
      <c r="U34402" s="27"/>
    </row>
    <row r="34403">
      <c r="S34403" s="27"/>
      <c r="T34403" s="27"/>
      <c r="U34403" s="27"/>
    </row>
    <row r="34405">
      <c r="S34405" s="26"/>
      <c r="T34405" s="26"/>
      <c r="U34405" s="26"/>
    </row>
    <row r="34408">
      <c r="S34408" s="27"/>
      <c r="T34408" s="27"/>
      <c r="U34408" s="27"/>
    </row>
    <row r="34411">
      <c r="S34411" s="27"/>
      <c r="T34411" s="27"/>
      <c r="U34411" s="27"/>
    </row>
    <row r="34412">
      <c r="S34412" s="27"/>
      <c r="T34412" s="27"/>
      <c r="U34412" s="27"/>
    </row>
    <row r="34414">
      <c r="S34414" s="27"/>
      <c r="T34414" s="27"/>
      <c r="U34414" s="27"/>
    </row>
    <row r="34415">
      <c r="S34415" s="27"/>
      <c r="T34415" s="27"/>
      <c r="U34415" s="27"/>
    </row>
    <row r="34417">
      <c r="S34417" s="27"/>
      <c r="T34417" s="27"/>
      <c r="U34417" s="27"/>
    </row>
    <row r="34418">
      <c r="S34418" s="27"/>
      <c r="T34418" s="27"/>
      <c r="U34418" s="27"/>
    </row>
    <row r="34420">
      <c r="S34420" s="27"/>
    </row>
    <row r="34421">
      <c r="T34421" s="26"/>
      <c r="U34421" s="26"/>
    </row>
    <row r="34423">
      <c r="S34423" s="27"/>
      <c r="T34423" s="27"/>
      <c r="U34423" s="27"/>
    </row>
    <row r="34424">
      <c r="S34424" s="27"/>
      <c r="T34424" s="27"/>
      <c r="U34424" s="27"/>
    </row>
    <row r="34426">
      <c r="S34426" s="27"/>
      <c r="T34426" s="27"/>
      <c r="U34426" s="27"/>
    </row>
    <row r="34427">
      <c r="S34427" s="27"/>
      <c r="T34427" s="27"/>
      <c r="U34427" s="27"/>
    </row>
    <row r="34429">
      <c r="S34429" s="27"/>
      <c r="T34429" s="27"/>
      <c r="U34429" s="27"/>
    </row>
    <row r="34430">
      <c r="S34430" s="27"/>
      <c r="T34430" s="27"/>
      <c r="U34430" s="27"/>
    </row>
    <row r="34432">
      <c r="S34432" s="27"/>
      <c r="T34432" s="27"/>
      <c r="U34432" s="27"/>
    </row>
    <row r="34433">
      <c r="S34433" s="27"/>
      <c r="T34433" s="27"/>
      <c r="U34433" s="27"/>
    </row>
    <row r="34435">
      <c r="S34435" s="27"/>
      <c r="T34435" s="27"/>
      <c r="U34435" s="27"/>
    </row>
    <row r="34436">
      <c r="S34436" s="27"/>
      <c r="T34436" s="27"/>
      <c r="U34436" s="27"/>
    </row>
    <row r="34438">
      <c r="S34438" s="27"/>
      <c r="T34438" s="27"/>
      <c r="U34438" s="27"/>
    </row>
    <row r="34439">
      <c r="S34439" s="27"/>
      <c r="T34439" s="27"/>
      <c r="U34439" s="27"/>
    </row>
    <row r="34441">
      <c r="S34441" s="27"/>
      <c r="T34441" s="27"/>
      <c r="U34441" s="27"/>
    </row>
    <row r="34442">
      <c r="S34442" s="27"/>
      <c r="T34442" s="27"/>
      <c r="U34442" s="27"/>
    </row>
    <row r="34444">
      <c r="S34444" s="27"/>
      <c r="T34444" s="27"/>
      <c r="U34444" s="27"/>
    </row>
    <row r="34445">
      <c r="S34445" s="27"/>
      <c r="T34445" s="27"/>
      <c r="U34445" s="27"/>
    </row>
    <row r="34447">
      <c r="S34447" s="27"/>
      <c r="T34447" s="27"/>
      <c r="U34447" s="27"/>
    </row>
    <row r="34448">
      <c r="S34448" s="27"/>
      <c r="T34448" s="27"/>
      <c r="U34448" s="27"/>
    </row>
    <row r="34450">
      <c r="S34450" s="27"/>
      <c r="T34450" s="27"/>
      <c r="U34450" s="27"/>
    </row>
    <row r="34451">
      <c r="S34451" s="27"/>
      <c r="T34451" s="27"/>
      <c r="U34451" s="27"/>
    </row>
    <row r="34453">
      <c r="S34453" s="27"/>
      <c r="T34453" s="27"/>
      <c r="U34453" s="27"/>
    </row>
    <row r="34454">
      <c r="S34454" s="27"/>
      <c r="T34454" s="27"/>
      <c r="U34454" s="27"/>
    </row>
    <row r="34456">
      <c r="S34456" s="27"/>
      <c r="T34456" s="27"/>
      <c r="U34456" s="27"/>
    </row>
    <row r="34457">
      <c r="S34457" s="27"/>
      <c r="T34457" s="27"/>
      <c r="U34457" s="27"/>
    </row>
    <row r="34459">
      <c r="S34459" s="27"/>
      <c r="T34459" s="27"/>
      <c r="U34459" s="27"/>
    </row>
    <row r="34460">
      <c r="S34460" s="27"/>
      <c r="T34460" s="27"/>
      <c r="U34460" s="27"/>
    </row>
    <row r="34462">
      <c r="S34462" s="27"/>
      <c r="T34462" s="27"/>
      <c r="U34462" s="27"/>
    </row>
    <row r="34463">
      <c r="S34463" s="27"/>
      <c r="T34463" s="27"/>
      <c r="U34463" s="27"/>
    </row>
    <row r="34465">
      <c r="S34465" s="27"/>
      <c r="T34465" s="27"/>
      <c r="U34465" s="27"/>
    </row>
    <row r="34466">
      <c r="S34466" s="27"/>
      <c r="T34466" s="27"/>
      <c r="U34466" s="27"/>
    </row>
    <row r="34468">
      <c r="S34468" s="27"/>
      <c r="T34468" s="27"/>
      <c r="U34468" s="27"/>
    </row>
    <row r="34469">
      <c r="S34469" s="27"/>
      <c r="T34469" s="27"/>
      <c r="U34469" s="27"/>
    </row>
    <row r="34471">
      <c r="S34471" s="27"/>
      <c r="T34471" s="27"/>
      <c r="U34471" s="27"/>
    </row>
    <row r="34472">
      <c r="S34472" s="27"/>
      <c r="T34472" s="27"/>
      <c r="U34472" s="27"/>
    </row>
    <row r="34474">
      <c r="S34474" s="27"/>
      <c r="T34474" s="27"/>
      <c r="U34474" s="27"/>
    </row>
    <row r="34475">
      <c r="S34475" s="27"/>
      <c r="T34475" s="27"/>
      <c r="U34475" s="27"/>
    </row>
    <row r="34477">
      <c r="S34477" s="27"/>
      <c r="T34477" s="27"/>
      <c r="U34477" s="27"/>
    </row>
    <row r="34478">
      <c r="S34478" s="27"/>
      <c r="T34478" s="27"/>
      <c r="U34478" s="27"/>
    </row>
    <row r="34480">
      <c r="S34480" s="27"/>
      <c r="T34480" s="27"/>
      <c r="U34480" s="27"/>
    </row>
    <row r="34481">
      <c r="S34481" s="27"/>
      <c r="T34481" s="27"/>
      <c r="U34481" s="27"/>
    </row>
    <row r="34483">
      <c r="S34483" s="27"/>
      <c r="T34483" s="27"/>
      <c r="U34483" s="27"/>
    </row>
    <row r="34484">
      <c r="S34484" s="27"/>
      <c r="T34484" s="27"/>
      <c r="U34484" s="27"/>
    </row>
    <row r="34486">
      <c r="S34486" s="27"/>
      <c r="T34486" s="27"/>
      <c r="U34486" s="27"/>
    </row>
    <row r="34487">
      <c r="S34487" s="27"/>
      <c r="T34487" s="27"/>
      <c r="U34487" s="27"/>
    </row>
    <row r="34489">
      <c r="S34489" s="27"/>
      <c r="T34489" s="27"/>
      <c r="U34489" s="27"/>
    </row>
    <row r="34490">
      <c r="S34490" s="27"/>
      <c r="T34490" s="27"/>
      <c r="U34490" s="27"/>
    </row>
    <row r="34492">
      <c r="S34492" s="27"/>
      <c r="T34492" s="27"/>
      <c r="U34492" s="27"/>
    </row>
    <row r="34493">
      <c r="S34493" s="27"/>
      <c r="T34493" s="27"/>
      <c r="U34493" s="27"/>
    </row>
    <row r="34495">
      <c r="S34495" s="27"/>
      <c r="T34495" s="27"/>
      <c r="U34495" s="27"/>
    </row>
    <row r="34496">
      <c r="S34496" s="27"/>
      <c r="T34496" s="27"/>
      <c r="U34496" s="27"/>
    </row>
    <row r="34498">
      <c r="S34498" s="27"/>
      <c r="T34498" s="27"/>
      <c r="U34498" s="27"/>
    </row>
    <row r="34499">
      <c r="S34499" s="27"/>
      <c r="T34499" s="27"/>
      <c r="U34499" s="27"/>
    </row>
    <row r="34501">
      <c r="S34501" s="27"/>
      <c r="T34501" s="27"/>
      <c r="U34501" s="27"/>
    </row>
    <row r="34502">
      <c r="S34502" s="27"/>
      <c r="T34502" s="27"/>
      <c r="U34502" s="27"/>
    </row>
    <row r="34504">
      <c r="S34504" s="27"/>
      <c r="T34504" s="27"/>
      <c r="U34504" s="27"/>
    </row>
    <row r="34505">
      <c r="S34505" s="27"/>
      <c r="T34505" s="27"/>
      <c r="U34505" s="27"/>
    </row>
    <row r="34507">
      <c r="S34507" s="27"/>
      <c r="T34507" s="27"/>
      <c r="U34507" s="27"/>
    </row>
    <row r="34508">
      <c r="S34508" s="27"/>
      <c r="T34508" s="27"/>
      <c r="U34508" s="27"/>
    </row>
    <row r="34510">
      <c r="S34510" s="27"/>
      <c r="T34510" s="27"/>
      <c r="U34510" s="27"/>
    </row>
    <row r="34511">
      <c r="S34511" s="27"/>
      <c r="T34511" s="27"/>
      <c r="U34511" s="27"/>
    </row>
    <row r="34513">
      <c r="S34513" s="27"/>
      <c r="T34513" s="27"/>
      <c r="U34513" s="27"/>
    </row>
    <row r="34514">
      <c r="S34514" s="27"/>
      <c r="T34514" s="27"/>
      <c r="U34514" s="27"/>
    </row>
    <row r="34516">
      <c r="S34516" s="27"/>
      <c r="T34516" s="27"/>
      <c r="U34516" s="27"/>
    </row>
    <row r="34517">
      <c r="S34517" s="27"/>
      <c r="T34517" s="27"/>
      <c r="U34517" s="27"/>
    </row>
    <row r="34519">
      <c r="S34519" s="27"/>
      <c r="T34519" s="27"/>
      <c r="U34519" s="27"/>
    </row>
    <row r="34521">
      <c r="U34521" s="27"/>
    </row>
    <row r="34522">
      <c r="S34522" s="27"/>
      <c r="T34522" s="27"/>
      <c r="U34522" s="27"/>
    </row>
    <row r="34524">
      <c r="S34524" s="27"/>
      <c r="T34524" s="27"/>
      <c r="U34524" s="27"/>
    </row>
    <row r="34525">
      <c r="S34525" s="27"/>
      <c r="T34525" s="27"/>
      <c r="U34525" s="27"/>
    </row>
    <row r="34527">
      <c r="S34527" s="27"/>
      <c r="T34527" s="27"/>
      <c r="U34527" s="27"/>
    </row>
    <row r="34528">
      <c r="S34528" s="27"/>
      <c r="T34528" s="27"/>
      <c r="U34528" s="27"/>
    </row>
    <row r="34530">
      <c r="S34530" s="27"/>
      <c r="T34530" s="27"/>
      <c r="U34530" s="27"/>
    </row>
    <row r="34531">
      <c r="S34531" s="27"/>
      <c r="T34531" s="27"/>
      <c r="U34531" s="27"/>
    </row>
    <row r="34533">
      <c r="S34533" s="27"/>
      <c r="T34533" s="27"/>
      <c r="U34533" s="27"/>
    </row>
    <row r="34534">
      <c r="S34534" s="27"/>
      <c r="T34534" s="27"/>
      <c r="U34534" s="27"/>
    </row>
    <row r="34536">
      <c r="S34536" s="27"/>
      <c r="T34536" s="27"/>
      <c r="U34536" s="27"/>
    </row>
    <row r="34537">
      <c r="S34537" s="27"/>
      <c r="T34537" s="27"/>
      <c r="U34537" s="27"/>
    </row>
    <row r="34539">
      <c r="S34539" s="27"/>
      <c r="T34539" s="27"/>
      <c r="U34539" s="27"/>
    </row>
    <row r="34540">
      <c r="S34540" s="27"/>
      <c r="T34540" s="27"/>
      <c r="U34540" s="27"/>
    </row>
    <row r="34542">
      <c r="S34542" s="27"/>
      <c r="T34542" s="27"/>
      <c r="U34542" s="27"/>
    </row>
    <row r="34544">
      <c r="S34544" s="27"/>
      <c r="T34544" s="27"/>
      <c r="U34544" s="27"/>
    </row>
    <row r="34546">
      <c r="T34546" s="27"/>
      <c r="U34546" s="27"/>
    </row>
    <row r="34548">
      <c r="S34548" s="27"/>
      <c r="T34548" s="27"/>
      <c r="U34548" s="27"/>
    </row>
    <row r="34550">
      <c r="S34550" s="27"/>
      <c r="T34550" s="27"/>
      <c r="U34550" s="27"/>
    </row>
    <row r="34551">
      <c r="S34551" s="27"/>
      <c r="T34551" s="27"/>
      <c r="U34551" s="27"/>
    </row>
    <row r="34553">
      <c r="S34553" s="27"/>
      <c r="T34553" s="27"/>
      <c r="U34553" s="27"/>
    </row>
    <row r="34554">
      <c r="S34554" s="27"/>
      <c r="T34554" s="27"/>
      <c r="U34554" s="27"/>
    </row>
    <row r="34556">
      <c r="S34556" s="27"/>
      <c r="T34556" s="27"/>
      <c r="U34556" s="27"/>
    </row>
    <row r="34557">
      <c r="S34557" s="33"/>
      <c r="T34557" s="33"/>
      <c r="U34557" s="33"/>
    </row>
    <row r="34559">
      <c r="S34559" s="27"/>
      <c r="T34559" s="27"/>
      <c r="U34559" s="27"/>
    </row>
    <row r="34560">
      <c r="S34560" s="27"/>
      <c r="T34560" s="27"/>
      <c r="U34560" s="27"/>
    </row>
    <row r="34562">
      <c r="S34562" s="27"/>
      <c r="T34562" s="27"/>
      <c r="U34562" s="27"/>
    </row>
    <row r="34563">
      <c r="S34563" s="27"/>
      <c r="T34563" s="27"/>
      <c r="U34563" s="27"/>
    </row>
    <row r="34565">
      <c r="S34565" s="27"/>
      <c r="T34565" s="27"/>
      <c r="U34565" s="33"/>
    </row>
    <row r="34566">
      <c r="S34566" s="27"/>
      <c r="T34566" s="27"/>
    </row>
    <row r="34577">
      <c r="S34577" s="27"/>
      <c r="T34577" s="27"/>
      <c r="U34577" s="27"/>
    </row>
    <row r="34578">
      <c r="S34578" s="27"/>
      <c r="T34578" s="27"/>
      <c r="U34578" s="27"/>
    </row>
    <row r="34580">
      <c r="S34580" s="27"/>
      <c r="T34580" s="27"/>
      <c r="U34580" s="27"/>
    </row>
    <row r="34581">
      <c r="S34581" s="27"/>
      <c r="T34581" s="27"/>
      <c r="U34581" s="27"/>
    </row>
    <row r="34583">
      <c r="S34583" s="27"/>
      <c r="T34583" s="27"/>
      <c r="U34583" s="27"/>
    </row>
    <row r="34584">
      <c r="S34584" s="27"/>
      <c r="T34584" s="27"/>
      <c r="U34584" s="27"/>
    </row>
    <row r="34586">
      <c r="U34586" s="27"/>
    </row>
    <row r="34589">
      <c r="S34589" s="27"/>
      <c r="T34589" s="27"/>
      <c r="U34589" s="27"/>
    </row>
    <row r="34590">
      <c r="S34590" s="27"/>
      <c r="T34590" s="27"/>
      <c r="U34590" s="27"/>
    </row>
    <row r="34592">
      <c r="S34592" s="27"/>
      <c r="T34592" s="27"/>
      <c r="U34592" s="27"/>
    </row>
    <row r="34593">
      <c r="S34593" s="27"/>
      <c r="T34593" s="27"/>
      <c r="U34593" s="27"/>
    </row>
    <row r="34595">
      <c r="S34595" s="27"/>
      <c r="T34595" s="26"/>
      <c r="U34595" s="27"/>
    </row>
    <row r="34596">
      <c r="S34596" s="27"/>
      <c r="U34596" s="27"/>
    </row>
    <row r="34601">
      <c r="S34601" s="26"/>
      <c r="T34601" s="26"/>
      <c r="U34601" s="26"/>
    </row>
    <row r="34604">
      <c r="S34604" s="27"/>
      <c r="T34604" s="27"/>
      <c r="U34604" s="27"/>
    </row>
    <row r="34605">
      <c r="S34605" s="27"/>
      <c r="T34605" s="27"/>
      <c r="U34605" s="27"/>
    </row>
    <row r="34607">
      <c r="S34607" s="27"/>
      <c r="T34607" s="27"/>
      <c r="U34607" s="27"/>
    </row>
    <row r="34608">
      <c r="S34608" s="27"/>
      <c r="T34608" s="27"/>
      <c r="U34608" s="27"/>
    </row>
    <row r="34610">
      <c r="S34610" s="26"/>
      <c r="T34610" s="26"/>
      <c r="U34610" s="26"/>
    </row>
    <row r="34616">
      <c r="S34616" s="27"/>
      <c r="T34616" s="27"/>
      <c r="U34616" s="27"/>
    </row>
    <row r="34619">
      <c r="S34619" s="27"/>
      <c r="T34619" s="27"/>
      <c r="U34619" s="27"/>
    </row>
    <row r="34620">
      <c r="S34620" s="27"/>
      <c r="T34620" s="27"/>
      <c r="U34620" s="27"/>
    </row>
    <row r="34622">
      <c r="S34622" s="27"/>
      <c r="T34622" s="27"/>
      <c r="U34622" s="27"/>
    </row>
    <row r="34623">
      <c r="S34623" s="27"/>
      <c r="T34623" s="27"/>
      <c r="U34623" s="27"/>
    </row>
    <row r="34625">
      <c r="S34625" s="27"/>
      <c r="T34625" s="27"/>
      <c r="U34625" s="27"/>
    </row>
    <row r="34626">
      <c r="S34626" s="27"/>
      <c r="T34626" s="27"/>
      <c r="U34626" s="27"/>
    </row>
    <row r="34628">
      <c r="S34628" s="27"/>
      <c r="T34628" s="27"/>
      <c r="U34628" s="27"/>
    </row>
    <row r="34629">
      <c r="S34629" s="27"/>
      <c r="T34629" s="27"/>
      <c r="U34629" s="27"/>
    </row>
    <row r="34631">
      <c r="S34631" s="27"/>
      <c r="T34631" s="27"/>
      <c r="U34631" s="27"/>
    </row>
    <row r="34632">
      <c r="S34632" s="27"/>
      <c r="T34632" s="27"/>
      <c r="U34632" s="27"/>
    </row>
    <row r="34634">
      <c r="S34634" s="27"/>
      <c r="T34634" s="27"/>
      <c r="U34634" s="27"/>
    </row>
    <row r="34635">
      <c r="S34635" s="27"/>
      <c r="T34635" s="27"/>
      <c r="U34635" s="27"/>
    </row>
    <row r="34637">
      <c r="S34637" s="27"/>
      <c r="T34637" s="27"/>
      <c r="U34637" s="27"/>
    </row>
    <row r="34638">
      <c r="S34638" s="27"/>
      <c r="T34638" s="27"/>
      <c r="U34638" s="27"/>
    </row>
    <row r="34640">
      <c r="S34640" s="27"/>
      <c r="T34640" s="27"/>
      <c r="U34640" s="27"/>
    </row>
    <row r="34641">
      <c r="S34641" s="27"/>
      <c r="T34641" s="27"/>
      <c r="U34641" s="27"/>
    </row>
    <row r="34643">
      <c r="S34643" s="27"/>
      <c r="T34643" s="27"/>
      <c r="U34643" s="27"/>
    </row>
    <row r="34644">
      <c r="S34644" s="27"/>
      <c r="T34644" s="27"/>
      <c r="U34644" s="27"/>
    </row>
    <row r="34646">
      <c r="S34646" s="27"/>
      <c r="T34646" s="27"/>
      <c r="U34646" s="27"/>
    </row>
    <row r="34647">
      <c r="S34647" s="27"/>
      <c r="T34647" s="27"/>
      <c r="U34647" s="27"/>
    </row>
    <row r="34649">
      <c r="S34649" s="27"/>
      <c r="T34649" s="27"/>
      <c r="U34649" s="27"/>
    </row>
    <row r="34650">
      <c r="S34650" s="27"/>
      <c r="T34650" s="27"/>
      <c r="U34650" s="27"/>
    </row>
    <row r="34652">
      <c r="S34652" s="27"/>
      <c r="T34652" s="27"/>
      <c r="U34652" s="27"/>
    </row>
    <row r="34653">
      <c r="S34653" s="27"/>
      <c r="T34653" s="27"/>
      <c r="U34653" s="27"/>
    </row>
    <row r="34655">
      <c r="S34655" s="27"/>
      <c r="T34655" s="27"/>
      <c r="U34655" s="27"/>
    </row>
    <row r="34656">
      <c r="S34656" s="27"/>
      <c r="T34656" s="27"/>
      <c r="U34656" s="27"/>
    </row>
    <row r="34658">
      <c r="S34658" s="27"/>
      <c r="T34658" s="27"/>
      <c r="U34658" s="27"/>
    </row>
    <row r="34659">
      <c r="S34659" s="27"/>
      <c r="T34659" s="27"/>
      <c r="U34659" s="27"/>
    </row>
    <row r="34661">
      <c r="S34661" s="27"/>
      <c r="T34661" s="27"/>
      <c r="U34661" s="27"/>
    </row>
    <row r="34662">
      <c r="S34662" s="27"/>
      <c r="T34662" s="27"/>
      <c r="U34662" s="27"/>
    </row>
    <row r="34664">
      <c r="S34664" s="27"/>
      <c r="T34664" s="27"/>
      <c r="U34664" s="27"/>
    </row>
    <row r="34665">
      <c r="S34665" s="27"/>
      <c r="T34665" s="27"/>
      <c r="U34665" s="27"/>
    </row>
    <row r="34667">
      <c r="S34667" s="27"/>
      <c r="T34667" s="27"/>
      <c r="U34667" s="27"/>
    </row>
    <row r="34668">
      <c r="S34668" s="27"/>
      <c r="T34668" s="27"/>
      <c r="U34668" s="27"/>
    </row>
    <row r="34670">
      <c r="S34670" s="27"/>
      <c r="T34670" s="27"/>
      <c r="U34670" s="27"/>
    </row>
    <row r="34671">
      <c r="S34671" s="27"/>
      <c r="T34671" s="27"/>
      <c r="U34671" s="27"/>
    </row>
    <row r="34673">
      <c r="S34673" s="27"/>
      <c r="T34673" s="27"/>
      <c r="U34673" s="27"/>
    </row>
    <row r="34674">
      <c r="S34674" s="27"/>
      <c r="T34674" s="27"/>
      <c r="U34674" s="27"/>
    </row>
    <row r="34676">
      <c r="S34676" s="27"/>
      <c r="T34676" s="27"/>
      <c r="U34676" s="27"/>
    </row>
    <row r="34677">
      <c r="S34677" s="27"/>
      <c r="T34677" s="27"/>
      <c r="U34677" s="27"/>
    </row>
    <row r="34679">
      <c r="T34679" s="27"/>
      <c r="U34679" s="27"/>
    </row>
    <row r="34680">
      <c r="T34680" s="27"/>
      <c r="U34680" s="27"/>
    </row>
    <row r="34682">
      <c r="S34682" s="27"/>
      <c r="T34682" s="27"/>
      <c r="U34682" s="27"/>
    </row>
    <row r="34683">
      <c r="S34683" s="27"/>
      <c r="T34683" s="27"/>
      <c r="U34683" s="27"/>
    </row>
    <row r="34685">
      <c r="S34685" s="27"/>
      <c r="T34685" s="27"/>
      <c r="U34685" s="27"/>
    </row>
    <row r="34686">
      <c r="S34686" s="27"/>
      <c r="T34686" s="27"/>
      <c r="U34686" s="27"/>
    </row>
    <row r="34688">
      <c r="S34688" s="27"/>
      <c r="T34688" s="27"/>
      <c r="U34688" s="27"/>
    </row>
    <row r="34689">
      <c r="S34689" s="27"/>
      <c r="T34689" s="27"/>
      <c r="U34689" s="27"/>
    </row>
    <row r="34694">
      <c r="S34694" s="27"/>
      <c r="T34694" s="27"/>
      <c r="U34694" s="27"/>
    </row>
    <row r="34695">
      <c r="S34695" s="27"/>
      <c r="T34695" s="27"/>
      <c r="U34695" s="27"/>
    </row>
    <row r="34697">
      <c r="S34697" s="27"/>
    </row>
    <row r="34700">
      <c r="S34700" s="27"/>
      <c r="T34700" s="27"/>
      <c r="U34700" s="33"/>
    </row>
    <row r="34701">
      <c r="S34701" s="27"/>
      <c r="U34701" s="27"/>
    </row>
    <row r="34703">
      <c r="S34703" s="27"/>
      <c r="T34703" s="27"/>
      <c r="U34703" s="27"/>
    </row>
    <row r="34704">
      <c r="S34704" s="27"/>
      <c r="T34704" s="27"/>
      <c r="U34704" s="27"/>
    </row>
    <row r="34709">
      <c r="S34709" s="27"/>
      <c r="U34709" s="27"/>
    </row>
    <row r="34710">
      <c r="S34710" s="27"/>
      <c r="T34710" s="27"/>
      <c r="U34710" s="27"/>
    </row>
    <row r="34712">
      <c r="S34712" s="27"/>
      <c r="T34712" s="27"/>
      <c r="U34712" s="27"/>
    </row>
    <row r="34713">
      <c r="S34713" s="27"/>
      <c r="T34713" s="27"/>
      <c r="U34713" s="27"/>
    </row>
    <row r="34715">
      <c r="S34715" s="27"/>
      <c r="T34715" s="27"/>
      <c r="U34715" s="27"/>
    </row>
    <row r="34716">
      <c r="S34716" s="27"/>
      <c r="T34716" s="27"/>
      <c r="U34716" s="27"/>
    </row>
    <row r="34724">
      <c r="S34724" s="27"/>
      <c r="T34724" s="27"/>
      <c r="U34724" s="27"/>
    </row>
    <row r="34726">
      <c r="S34726" s="27"/>
      <c r="T34726" s="27"/>
      <c r="U34726" s="27"/>
    </row>
    <row r="34728">
      <c r="S34728" s="26"/>
      <c r="T34728" s="26"/>
      <c r="U34728" s="26"/>
    </row>
    <row r="34731">
      <c r="S34731" s="27"/>
      <c r="T34731" s="27"/>
      <c r="U34731" s="27"/>
    </row>
    <row r="34734">
      <c r="S34734" s="27"/>
      <c r="T34734" s="27"/>
      <c r="U34734" s="27"/>
    </row>
    <row r="34735">
      <c r="S34735" s="27"/>
      <c r="T34735" s="27"/>
      <c r="U34735" s="27"/>
    </row>
    <row r="34737">
      <c r="S34737" s="27"/>
      <c r="T34737" s="27"/>
      <c r="U34737" s="27"/>
    </row>
    <row r="34738">
      <c r="S34738" s="27"/>
      <c r="T34738" s="27"/>
      <c r="U34738" s="27"/>
    </row>
    <row r="34740">
      <c r="S34740" s="27"/>
      <c r="U34740" s="27"/>
    </row>
    <row r="34741">
      <c r="S34741" s="27"/>
      <c r="T34741" s="27"/>
    </row>
    <row r="34743">
      <c r="S34743" s="27"/>
    </row>
    <row r="34744">
      <c r="S34744" s="26"/>
      <c r="T34744" s="26"/>
      <c r="U34744" s="27"/>
    </row>
    <row r="34746">
      <c r="S34746" s="27"/>
      <c r="T34746" s="27"/>
      <c r="U34746" s="27"/>
    </row>
    <row r="34747">
      <c r="S34747" s="27"/>
      <c r="T34747" s="27"/>
      <c r="U34747" s="27"/>
    </row>
    <row r="34752">
      <c r="S34752" s="27"/>
      <c r="T34752" s="27"/>
      <c r="U34752" s="27"/>
    </row>
    <row r="34753">
      <c r="S34753" s="27"/>
      <c r="T34753" s="27"/>
      <c r="U34753" s="27"/>
    </row>
    <row r="34755">
      <c r="S34755" s="27"/>
      <c r="T34755" s="27"/>
      <c r="U34755" s="27"/>
    </row>
    <row r="34756">
      <c r="S34756" s="26"/>
      <c r="T34756" s="26"/>
      <c r="U34756" s="27"/>
    </row>
    <row r="34758">
      <c r="S34758" s="27"/>
      <c r="T34758" s="27"/>
      <c r="U34758" s="27"/>
    </row>
    <row r="34759">
      <c r="S34759" s="27"/>
      <c r="T34759" s="27"/>
      <c r="U34759" s="27"/>
    </row>
    <row r="34761">
      <c r="T34761" s="27"/>
      <c r="U34761" s="27"/>
    </row>
    <row r="34762">
      <c r="T34762" s="27"/>
      <c r="U34762" s="27"/>
    </row>
    <row r="34764">
      <c r="S34764" s="27"/>
      <c r="T34764" s="27"/>
      <c r="U34764" s="27"/>
    </row>
    <row r="34767">
      <c r="S34767" s="27"/>
      <c r="T34767" s="27"/>
      <c r="U34767" s="27"/>
    </row>
    <row r="34768">
      <c r="S34768" s="27"/>
      <c r="T34768" s="27"/>
      <c r="U34768" s="27"/>
    </row>
    <row r="34773">
      <c r="S34773" s="27"/>
      <c r="T34773" s="27"/>
      <c r="U34773" s="27"/>
    </row>
    <row r="34774">
      <c r="S34774" s="27"/>
      <c r="T34774" s="27"/>
      <c r="U34774" s="27"/>
    </row>
    <row r="34776">
      <c r="S34776" s="27"/>
      <c r="T34776" s="27"/>
      <c r="U34776" s="27"/>
    </row>
    <row r="34777">
      <c r="S34777" s="27"/>
      <c r="T34777" s="27"/>
      <c r="U34777" s="27"/>
    </row>
    <row r="34779">
      <c r="S34779" s="27"/>
      <c r="T34779" s="27"/>
      <c r="U34779" s="27"/>
    </row>
    <row r="34780">
      <c r="S34780" s="27"/>
      <c r="T34780" s="27"/>
      <c r="U34780" s="27"/>
    </row>
    <row r="34782">
      <c r="S34782" s="27"/>
      <c r="T34782" s="27"/>
      <c r="U34782" s="27"/>
    </row>
    <row r="34783">
      <c r="S34783" s="27"/>
      <c r="T34783" s="27"/>
      <c r="U34783" s="27"/>
    </row>
    <row r="34788">
      <c r="S34788" s="27"/>
      <c r="T34788" s="27"/>
      <c r="U34788" s="27"/>
    </row>
    <row r="34789">
      <c r="S34789" s="27"/>
      <c r="T34789" s="27"/>
      <c r="U34789" s="27"/>
    </row>
    <row r="34791">
      <c r="S34791" s="27"/>
      <c r="T34791" s="27"/>
      <c r="U34791" s="27"/>
    </row>
    <row r="34792">
      <c r="S34792" s="27"/>
      <c r="T34792" s="27"/>
      <c r="U34792" s="27"/>
    </row>
    <row r="34794">
      <c r="S34794" s="27"/>
      <c r="T34794" s="27"/>
      <c r="U34794" s="27"/>
    </row>
    <row r="34797">
      <c r="T34797" s="27"/>
      <c r="U34797" s="27"/>
    </row>
    <row r="34798">
      <c r="T34798" s="27"/>
      <c r="U34798" s="27"/>
    </row>
    <row r="34800">
      <c r="S34800" s="27"/>
      <c r="T34800" s="27"/>
      <c r="U34800" s="27"/>
    </row>
    <row r="34801">
      <c r="S34801" s="27"/>
      <c r="T34801" s="27"/>
      <c r="U34801" s="27"/>
    </row>
    <row r="34803">
      <c r="S34803" s="27"/>
      <c r="T34803" s="27"/>
      <c r="U34803" s="27"/>
    </row>
    <row r="34804">
      <c r="S34804" s="27"/>
      <c r="T34804" s="27"/>
      <c r="U34804" s="27"/>
    </row>
    <row r="34806">
      <c r="S34806" s="34"/>
      <c r="T34806" s="27"/>
      <c r="U34806" s="27"/>
    </row>
    <row r="34807">
      <c r="T34807" s="26"/>
      <c r="U34807" s="26"/>
    </row>
    <row r="34809">
      <c r="S34809" s="27"/>
      <c r="T34809" s="27"/>
      <c r="U34809" s="27"/>
    </row>
    <row r="34810">
      <c r="S34810" s="27"/>
      <c r="T34810" s="27"/>
      <c r="U34810" s="27"/>
    </row>
    <row r="34815">
      <c r="S34815" s="27"/>
      <c r="T34815" s="27"/>
      <c r="U34815" s="27"/>
    </row>
    <row r="34818">
      <c r="S34818" s="27"/>
      <c r="T34818" s="27"/>
      <c r="U34818" s="27"/>
    </row>
    <row r="34819">
      <c r="S34819" s="27"/>
      <c r="T34819" s="27"/>
      <c r="U34819" s="27"/>
    </row>
    <row r="34821">
      <c r="S34821" s="33"/>
      <c r="T34821" s="27"/>
      <c r="U34821" s="27"/>
    </row>
    <row r="34822">
      <c r="S34822" s="27"/>
      <c r="T34822" s="27"/>
      <c r="U34822" s="27"/>
    </row>
    <row r="34824">
      <c r="S34824" s="27"/>
      <c r="T34824" s="27"/>
      <c r="U34824" s="27"/>
    </row>
    <row r="34825">
      <c r="S34825" s="27"/>
      <c r="T34825" s="27"/>
      <c r="U34825" s="27"/>
    </row>
    <row r="34827">
      <c r="S34827" s="27"/>
    </row>
    <row r="34828">
      <c r="S34828" s="26"/>
      <c r="T34828" s="26"/>
      <c r="U34828" s="26"/>
    </row>
    <row r="34830">
      <c r="S34830" s="27"/>
      <c r="T34830" s="27"/>
      <c r="U34830" s="27"/>
    </row>
    <row r="34831">
      <c r="S34831" s="27"/>
      <c r="T34831" s="27"/>
      <c r="U34831" s="27"/>
    </row>
    <row r="34833">
      <c r="S34833" s="27"/>
      <c r="T34833" s="27"/>
      <c r="U34833" s="27"/>
    </row>
    <row r="34834">
      <c r="S34834" s="27"/>
      <c r="T34834" s="27"/>
      <c r="U34834" s="27"/>
    </row>
    <row r="34836">
      <c r="S34836" s="27"/>
      <c r="T34836" s="27"/>
      <c r="U34836" s="27"/>
    </row>
    <row r="34839">
      <c r="S34839" s="27"/>
      <c r="T34839" s="27"/>
      <c r="U34839" s="27"/>
    </row>
    <row r="34840">
      <c r="S34840" s="27"/>
      <c r="T34840" s="27"/>
      <c r="U34840" s="27"/>
    </row>
    <row r="34842">
      <c r="S34842" s="27"/>
      <c r="T34842" s="27"/>
      <c r="U34842" s="27"/>
    </row>
    <row r="34843">
      <c r="S34843" s="27"/>
      <c r="T34843" s="27"/>
      <c r="U34843" s="27"/>
    </row>
    <row r="34845">
      <c r="S34845" s="27"/>
      <c r="T34845" s="27"/>
      <c r="U34845" s="27"/>
    </row>
    <row r="34846">
      <c r="S34846" s="27"/>
      <c r="T34846" s="27"/>
      <c r="U34846" s="27"/>
    </row>
    <row r="34848">
      <c r="S34848" s="27"/>
      <c r="T34848" s="27"/>
      <c r="U34848" s="27"/>
    </row>
    <row r="34849">
      <c r="S34849" s="27"/>
      <c r="T34849" s="27"/>
      <c r="U34849" s="27"/>
    </row>
    <row r="34851">
      <c r="S34851" s="27"/>
      <c r="T34851" s="27"/>
      <c r="U34851" s="27"/>
    </row>
    <row r="34852">
      <c r="S34852" s="27"/>
      <c r="T34852" s="27"/>
      <c r="U34852" s="27"/>
    </row>
    <row r="34854">
      <c r="S34854" s="27"/>
      <c r="T34854" s="27"/>
      <c r="U34854" s="27"/>
    </row>
    <row r="34855">
      <c r="S34855" s="27"/>
      <c r="T34855" s="27"/>
      <c r="U34855" s="27"/>
    </row>
    <row r="34857">
      <c r="S34857" s="27"/>
      <c r="T34857" s="27"/>
      <c r="U34857" s="27"/>
    </row>
    <row r="34858">
      <c r="S34858" s="27"/>
      <c r="T34858" s="27"/>
      <c r="U34858" s="27"/>
    </row>
    <row r="34860">
      <c r="S34860" s="27"/>
      <c r="T34860" s="27"/>
      <c r="U34860" s="27"/>
    </row>
    <row r="34861">
      <c r="S34861" s="27"/>
      <c r="T34861" s="27"/>
      <c r="U34861" s="27"/>
    </row>
    <row r="34863">
      <c r="S34863" s="27"/>
      <c r="T34863" s="27"/>
      <c r="U34863" s="27"/>
    </row>
    <row r="34864">
      <c r="S34864" s="27"/>
      <c r="T34864" s="27"/>
      <c r="U34864" s="27"/>
    </row>
    <row r="34866">
      <c r="S34866" s="27"/>
      <c r="T34866" s="27"/>
      <c r="U34866" s="27"/>
    </row>
    <row r="34867">
      <c r="S34867" s="27"/>
      <c r="T34867" s="27"/>
      <c r="U34867" s="27"/>
    </row>
    <row r="34869">
      <c r="S34869" s="27"/>
      <c r="T34869" s="27"/>
      <c r="U34869" s="27"/>
    </row>
    <row r="34870">
      <c r="S34870" s="27"/>
      <c r="T34870" s="27"/>
      <c r="U34870" s="27"/>
    </row>
    <row r="34872">
      <c r="S34872" s="27"/>
      <c r="T34872" s="27"/>
      <c r="U34872" s="27"/>
    </row>
    <row r="34873">
      <c r="S34873" s="27"/>
      <c r="T34873" s="27"/>
      <c r="U34873" s="27"/>
    </row>
    <row r="34875">
      <c r="S34875" s="27"/>
      <c r="T34875" s="27"/>
      <c r="U34875" s="27"/>
    </row>
    <row r="34876">
      <c r="S34876" s="27"/>
      <c r="T34876" s="27"/>
      <c r="U34876" s="27"/>
    </row>
    <row r="34878">
      <c r="S34878" s="27"/>
      <c r="T34878" s="27"/>
      <c r="U34878" s="27"/>
    </row>
    <row r="34879">
      <c r="S34879" s="27"/>
      <c r="T34879" s="27"/>
      <c r="U34879" s="27"/>
    </row>
    <row r="34881">
      <c r="S34881" s="27"/>
      <c r="T34881" s="27"/>
      <c r="U34881" s="27"/>
    </row>
    <row r="34882">
      <c r="S34882" s="27"/>
      <c r="T34882" s="27"/>
      <c r="U34882" s="27"/>
    </row>
    <row r="34884">
      <c r="S34884" s="27"/>
      <c r="T34884" s="27"/>
      <c r="U34884" s="27"/>
    </row>
    <row r="34885">
      <c r="S34885" s="27"/>
      <c r="T34885" s="27"/>
      <c r="U34885" s="27"/>
    </row>
    <row r="34887">
      <c r="S34887" s="27"/>
      <c r="T34887" s="27"/>
      <c r="U34887" s="27"/>
    </row>
    <row r="34888">
      <c r="S34888" s="27"/>
      <c r="T34888" s="27"/>
      <c r="U34888" s="27"/>
    </row>
    <row r="34890">
      <c r="S34890" s="27"/>
      <c r="T34890" s="27"/>
      <c r="U34890" s="27"/>
    </row>
    <row r="34891">
      <c r="S34891" s="27"/>
      <c r="T34891" s="27"/>
      <c r="U34891" s="27"/>
    </row>
    <row r="34893">
      <c r="S34893" s="27"/>
      <c r="T34893" s="27"/>
      <c r="U34893" s="27"/>
    </row>
    <row r="34894">
      <c r="S34894" s="27"/>
      <c r="T34894" s="27"/>
      <c r="U34894" s="27"/>
    </row>
    <row r="34896">
      <c r="S34896" s="27"/>
      <c r="T34896" s="27"/>
      <c r="U34896" s="27"/>
    </row>
    <row r="34897">
      <c r="S34897" s="27"/>
      <c r="T34897" s="27"/>
      <c r="U34897" s="27"/>
    </row>
    <row r="34899">
      <c r="S34899" s="27"/>
      <c r="T34899" s="27"/>
      <c r="U34899" s="27"/>
    </row>
    <row r="34900">
      <c r="S34900" s="27"/>
      <c r="T34900" s="27"/>
      <c r="U34900" s="27"/>
    </row>
    <row r="34902">
      <c r="S34902" s="27"/>
      <c r="T34902" s="27"/>
      <c r="U34902" s="27"/>
    </row>
    <row r="34903">
      <c r="S34903" s="27"/>
      <c r="T34903" s="27"/>
      <c r="U34903" s="27"/>
    </row>
    <row r="34905">
      <c r="S34905" s="27"/>
      <c r="T34905" s="27"/>
      <c r="U34905" s="27"/>
    </row>
    <row r="34906">
      <c r="S34906" s="27"/>
      <c r="T34906" s="27"/>
      <c r="U34906" s="27"/>
    </row>
    <row r="34908">
      <c r="S34908" s="27"/>
      <c r="T34908" s="27"/>
      <c r="U34908" s="27"/>
    </row>
    <row r="34909">
      <c r="S34909" s="27"/>
      <c r="T34909" s="27"/>
      <c r="U34909" s="27"/>
    </row>
    <row r="34911">
      <c r="S34911" s="27"/>
      <c r="T34911" s="27"/>
      <c r="U34911" s="27"/>
    </row>
    <row r="34912">
      <c r="S34912" s="27"/>
      <c r="T34912" s="27"/>
      <c r="U34912" s="27"/>
    </row>
    <row r="34914">
      <c r="S34914" s="27"/>
      <c r="T34914" s="27"/>
      <c r="U34914" s="27"/>
    </row>
    <row r="34915">
      <c r="S34915" s="27"/>
      <c r="T34915" s="27"/>
      <c r="U34915" s="27"/>
    </row>
    <row r="34917">
      <c r="S34917" s="27"/>
      <c r="T34917" s="27"/>
      <c r="U34917" s="27"/>
    </row>
    <row r="34918">
      <c r="S34918" s="27"/>
      <c r="T34918" s="27"/>
      <c r="U34918" s="27"/>
    </row>
    <row r="34920">
      <c r="S34920" s="27"/>
      <c r="T34920" s="27"/>
      <c r="U34920" s="27"/>
    </row>
    <row r="34921">
      <c r="S34921" s="27"/>
      <c r="T34921" s="27"/>
      <c r="U34921" s="27"/>
    </row>
    <row r="34923">
      <c r="S34923" s="27"/>
      <c r="T34923" s="27"/>
      <c r="U34923" s="27"/>
    </row>
    <row r="34924">
      <c r="S34924" s="27"/>
      <c r="T34924" s="27"/>
      <c r="U34924" s="27"/>
    </row>
    <row r="34926">
      <c r="S34926" s="27"/>
      <c r="T34926" s="27"/>
      <c r="U34926" s="27"/>
    </row>
    <row r="34928">
      <c r="S34928" s="27"/>
      <c r="T34928" s="27"/>
      <c r="U34928" s="27"/>
    </row>
    <row r="34929">
      <c r="S34929" s="27"/>
      <c r="T34929" s="27"/>
      <c r="U34929" s="27"/>
    </row>
    <row r="34931">
      <c r="S34931" s="27"/>
      <c r="T34931" s="27"/>
      <c r="U34931" s="27"/>
    </row>
    <row r="34932">
      <c r="S34932" s="27"/>
      <c r="T34932" s="27"/>
      <c r="U34932" s="27"/>
    </row>
    <row r="34934">
      <c r="S34934" s="27"/>
      <c r="T34934" s="27"/>
      <c r="U34934" s="27"/>
    </row>
    <row r="34935">
      <c r="S34935" s="27"/>
      <c r="T34935" s="27"/>
      <c r="U34935" s="27"/>
    </row>
    <row r="34937">
      <c r="S34937" s="27"/>
      <c r="T34937" s="27"/>
      <c r="U34937" s="27"/>
    </row>
    <row r="34938">
      <c r="S34938" s="27"/>
      <c r="T34938" s="27"/>
      <c r="U34938" s="27"/>
    </row>
    <row r="34940">
      <c r="S34940" s="27"/>
      <c r="T34940" s="27"/>
      <c r="U34940" s="27"/>
    </row>
    <row r="34941">
      <c r="S34941" s="27"/>
      <c r="T34941" s="27"/>
      <c r="U34941" s="27"/>
    </row>
    <row r="34943">
      <c r="S34943" s="27"/>
      <c r="T34943" s="27"/>
      <c r="U34943" s="27"/>
    </row>
    <row r="34944">
      <c r="S34944" s="27"/>
      <c r="T34944" s="27"/>
      <c r="U34944" s="27"/>
    </row>
    <row r="34946">
      <c r="S34946" s="27"/>
      <c r="T34946" s="27"/>
      <c r="U34946" s="27"/>
    </row>
    <row r="34947">
      <c r="S34947" s="27"/>
      <c r="T34947" s="27"/>
      <c r="U34947" s="27"/>
    </row>
    <row r="34949">
      <c r="S34949" s="27"/>
      <c r="T34949" s="27"/>
      <c r="U34949" s="27"/>
    </row>
    <row r="34951">
      <c r="S34951" s="27"/>
      <c r="T34951" s="27"/>
      <c r="U34951" s="27"/>
    </row>
    <row r="34953">
      <c r="S34953" s="27"/>
      <c r="T34953" s="27"/>
      <c r="U34953" s="27"/>
    </row>
    <row r="34955">
      <c r="S34955" s="27"/>
      <c r="T34955" s="27"/>
      <c r="U34955" s="27"/>
    </row>
    <row r="34957">
      <c r="S34957" s="27"/>
      <c r="T34957" s="27"/>
      <c r="U34957" s="27"/>
    </row>
    <row r="34958">
      <c r="S34958" s="27"/>
      <c r="T34958" s="27"/>
      <c r="U34958" s="27"/>
    </row>
    <row r="34960">
      <c r="S34960" s="27"/>
      <c r="T34960" s="27"/>
      <c r="U34960" s="27"/>
    </row>
    <row r="34961">
      <c r="S34961" s="27"/>
      <c r="T34961" s="27"/>
      <c r="U34961" s="27"/>
    </row>
    <row r="34963">
      <c r="S34963" s="27"/>
      <c r="T34963" s="27"/>
      <c r="U34963" s="27"/>
    </row>
    <row r="34964">
      <c r="S34964" s="27"/>
      <c r="T34964" s="27"/>
      <c r="U34964" s="27"/>
    </row>
    <row r="34966">
      <c r="S34966" s="27"/>
      <c r="T34966" s="27"/>
      <c r="U34966" s="27"/>
    </row>
    <row r="34967">
      <c r="S34967" s="27"/>
      <c r="T34967" s="27"/>
      <c r="U34967" s="27"/>
    </row>
    <row r="34969">
      <c r="S34969" s="27"/>
      <c r="T34969" s="27"/>
      <c r="U34969" s="27"/>
    </row>
    <row r="34970">
      <c r="S34970" s="27"/>
      <c r="T34970" s="27"/>
      <c r="U34970" s="27"/>
    </row>
    <row r="34972">
      <c r="S34972" s="27"/>
      <c r="T34972" s="27"/>
      <c r="U34972" s="27"/>
    </row>
    <row r="34973">
      <c r="S34973" s="27"/>
      <c r="T34973" s="27"/>
      <c r="U34973" s="27"/>
    </row>
    <row r="34975">
      <c r="S34975" s="27"/>
      <c r="T34975" s="27"/>
      <c r="U34975" s="27"/>
    </row>
    <row r="34976">
      <c r="S34976" s="27"/>
      <c r="T34976" s="27"/>
      <c r="U34976" s="27"/>
    </row>
    <row r="34978">
      <c r="S34978" s="26"/>
      <c r="T34978" s="26"/>
      <c r="U34978" s="27"/>
    </row>
    <row r="34981">
      <c r="S34981" s="27"/>
      <c r="T34981" s="27"/>
      <c r="U34981" s="27"/>
    </row>
    <row r="34984">
      <c r="S34984" s="27"/>
      <c r="T34984" s="27"/>
      <c r="U34984" s="27"/>
    </row>
    <row r="34985">
      <c r="S34985" s="27"/>
      <c r="T34985" s="27"/>
      <c r="U34985" s="27"/>
    </row>
    <row r="34987">
      <c r="S34987" s="27"/>
      <c r="T34987" s="27"/>
      <c r="U34987" s="27"/>
    </row>
    <row r="34988">
      <c r="S34988" s="27"/>
      <c r="T34988" s="27"/>
      <c r="U34988" s="27"/>
    </row>
    <row r="34990">
      <c r="S34990" s="27"/>
      <c r="T34990" s="27"/>
      <c r="U34990" s="27"/>
    </row>
    <row r="34991">
      <c r="S34991" s="27"/>
      <c r="T34991" s="27"/>
      <c r="U34991" s="27"/>
    </row>
    <row r="34993">
      <c r="S34993" s="26"/>
      <c r="T34993" s="26"/>
      <c r="U34993" s="26"/>
    </row>
    <row r="34996">
      <c r="S34996" s="27"/>
      <c r="T34996" s="27"/>
      <c r="U34996" s="27"/>
    </row>
    <row r="34997">
      <c r="S34997" s="27"/>
      <c r="T34997" s="27"/>
      <c r="U34997" s="27"/>
    </row>
    <row r="34999">
      <c r="S34999" s="27"/>
      <c r="T34999" s="27"/>
      <c r="U34999" s="27"/>
    </row>
    <row r="35000">
      <c r="S35000" s="27"/>
      <c r="T35000" s="27"/>
      <c r="U35000" s="27"/>
    </row>
    <row r="35002">
      <c r="S35002" s="27"/>
      <c r="T35002" s="27"/>
      <c r="U35002" s="26"/>
    </row>
    <row r="35003">
      <c r="S35003" s="27"/>
      <c r="T35003" s="27"/>
    </row>
    <row r="35005">
      <c r="S35005" s="27"/>
      <c r="U35005" s="27"/>
    </row>
    <row r="35008">
      <c r="S35008" s="26"/>
      <c r="T35008" s="26"/>
      <c r="U35008" s="26"/>
    </row>
    <row r="35011">
      <c r="S35011" s="27"/>
      <c r="T35011" s="27"/>
      <c r="U35011" s="27"/>
    </row>
    <row r="35012">
      <c r="S35012" s="27"/>
      <c r="T35012" s="27"/>
      <c r="U35012" s="27"/>
    </row>
    <row r="35014">
      <c r="S35014" s="27"/>
      <c r="T35014" s="27"/>
      <c r="U35014" s="27"/>
    </row>
    <row r="35015">
      <c r="S35015" s="27"/>
      <c r="T35015" s="27"/>
      <c r="U35015" s="27"/>
    </row>
    <row r="35017">
      <c r="S35017" s="26"/>
      <c r="T35017" s="26"/>
      <c r="U35017" s="26"/>
    </row>
    <row r="35020">
      <c r="S35020" s="27"/>
    </row>
    <row r="35023">
      <c r="S35023" s="27"/>
      <c r="T35023" s="27"/>
      <c r="U35023" s="27"/>
    </row>
    <row r="35026">
      <c r="S35026" s="27"/>
      <c r="T35026" s="27"/>
      <c r="U35026" s="27"/>
    </row>
    <row r="35027">
      <c r="S35027" s="27"/>
      <c r="T35027" s="27"/>
      <c r="U35027" s="27"/>
    </row>
    <row r="35029">
      <c r="S35029" s="27"/>
      <c r="T35029" s="27"/>
      <c r="U35029" s="27"/>
    </row>
    <row r="35030">
      <c r="S35030" s="27"/>
      <c r="T35030" s="27"/>
      <c r="U35030" s="27"/>
    </row>
    <row r="35032">
      <c r="S35032" s="27"/>
      <c r="T35032" s="27"/>
      <c r="U35032" s="27"/>
    </row>
    <row r="35033">
      <c r="S35033" s="27"/>
      <c r="T35033" s="27"/>
      <c r="U35033" s="27"/>
    </row>
    <row r="35035">
      <c r="S35035" s="27"/>
      <c r="T35035" s="27"/>
      <c r="U35035" s="27"/>
    </row>
    <row r="35036">
      <c r="S35036" s="27"/>
      <c r="T35036" s="27"/>
      <c r="U35036" s="27"/>
    </row>
    <row r="35038">
      <c r="S35038" s="27"/>
      <c r="T35038" s="27"/>
      <c r="U35038" s="27"/>
    </row>
    <row r="35039">
      <c r="S35039" s="27"/>
      <c r="T35039" s="27"/>
      <c r="U35039" s="27"/>
    </row>
    <row r="35041">
      <c r="S35041" s="27"/>
      <c r="T35041" s="27"/>
      <c r="U35041" s="27"/>
    </row>
    <row r="35042">
      <c r="S35042" s="27"/>
      <c r="T35042" s="27"/>
      <c r="U35042" s="27"/>
    </row>
    <row r="35044">
      <c r="S35044" s="27"/>
      <c r="T35044" s="27"/>
      <c r="U35044" s="27"/>
    </row>
    <row r="35045">
      <c r="S35045" s="27"/>
      <c r="T35045" s="27"/>
      <c r="U35045" s="27"/>
    </row>
    <row r="35047">
      <c r="S35047" s="27"/>
      <c r="T35047" s="27"/>
      <c r="U35047" s="27"/>
    </row>
    <row r="35048">
      <c r="S35048" s="27"/>
      <c r="T35048" s="27"/>
      <c r="U35048" s="27"/>
    </row>
    <row r="35050">
      <c r="S35050" s="27"/>
      <c r="T35050" s="27"/>
      <c r="U35050" s="27"/>
    </row>
    <row r="35051">
      <c r="S35051" s="27"/>
      <c r="T35051" s="27"/>
      <c r="U35051" s="27"/>
    </row>
    <row r="35053">
      <c r="S35053" s="27"/>
      <c r="T35053" s="27"/>
      <c r="U35053" s="27"/>
    </row>
    <row r="35054">
      <c r="S35054" s="27"/>
      <c r="T35054" s="27"/>
      <c r="U35054" s="27"/>
    </row>
    <row r="35056">
      <c r="S35056" s="27"/>
      <c r="T35056" s="27"/>
      <c r="U35056" s="27"/>
    </row>
    <row r="35057">
      <c r="S35057" s="27"/>
      <c r="T35057" s="27"/>
      <c r="U35057" s="27"/>
    </row>
    <row r="35059">
      <c r="T35059" s="27"/>
      <c r="U35059" s="27"/>
    </row>
    <row r="35060">
      <c r="T35060" s="27"/>
      <c r="U35060" s="27"/>
    </row>
    <row r="35062">
      <c r="S35062" s="27"/>
      <c r="T35062" s="27"/>
      <c r="U35062" s="27"/>
    </row>
    <row r="35063">
      <c r="S35063" s="27"/>
      <c r="T35063" s="27"/>
      <c r="U35063" s="27"/>
    </row>
    <row r="35065">
      <c r="S35065" s="27"/>
      <c r="T35065" s="27"/>
      <c r="U35065" s="27"/>
    </row>
    <row r="35066">
      <c r="S35066" s="27"/>
      <c r="T35066" s="27"/>
      <c r="U35066" s="27"/>
    </row>
    <row r="35068">
      <c r="S35068" s="27"/>
      <c r="T35068" s="27"/>
      <c r="U35068" s="27"/>
    </row>
    <row r="35069">
      <c r="S35069" s="27"/>
      <c r="T35069" s="27"/>
      <c r="U35069" s="27"/>
    </row>
    <row r="35071">
      <c r="S35071" s="27"/>
      <c r="T35071" s="27"/>
      <c r="U35071" s="27"/>
    </row>
    <row r="35072">
      <c r="S35072" s="27"/>
      <c r="T35072" s="27"/>
      <c r="U35072" s="27"/>
    </row>
    <row r="35074">
      <c r="S35074" s="27"/>
      <c r="T35074" s="27"/>
      <c r="U35074" s="27"/>
    </row>
    <row r="35075">
      <c r="S35075" s="27"/>
      <c r="T35075" s="27"/>
      <c r="U35075" s="27"/>
    </row>
    <row r="35077">
      <c r="S35077" s="27"/>
      <c r="T35077" s="27"/>
      <c r="U35077" s="27"/>
    </row>
    <row r="35078">
      <c r="S35078" s="27"/>
      <c r="T35078" s="27"/>
      <c r="U35078" s="27"/>
    </row>
    <row r="35080">
      <c r="S35080" s="27"/>
      <c r="T35080" s="27"/>
      <c r="U35080" s="27"/>
    </row>
    <row r="35081">
      <c r="S35081" s="27"/>
      <c r="T35081" s="27"/>
      <c r="U35081" s="27"/>
    </row>
    <row r="35083">
      <c r="S35083" s="27"/>
      <c r="T35083" s="27"/>
      <c r="U35083" s="27"/>
    </row>
    <row r="35084">
      <c r="S35084" s="27"/>
      <c r="T35084" s="27"/>
      <c r="U35084" s="27"/>
    </row>
    <row r="35086">
      <c r="S35086" s="27"/>
      <c r="T35086" s="27"/>
      <c r="U35086" s="27"/>
    </row>
    <row r="35087">
      <c r="S35087" s="27"/>
      <c r="T35087" s="27"/>
      <c r="U35087" s="27"/>
    </row>
    <row r="35089">
      <c r="S35089" s="27"/>
      <c r="T35089" s="27"/>
      <c r="U35089" s="27"/>
    </row>
    <row r="35090">
      <c r="S35090" s="27"/>
      <c r="T35090" s="27"/>
      <c r="U35090" s="27"/>
    </row>
    <row r="35092">
      <c r="S35092" s="27"/>
      <c r="T35092" s="27"/>
      <c r="U35092" s="27"/>
    </row>
    <row r="35093">
      <c r="S35093" s="27"/>
      <c r="T35093" s="27"/>
      <c r="U35093" s="27"/>
    </row>
    <row r="35095">
      <c r="S35095" s="27"/>
      <c r="T35095" s="27"/>
      <c r="U35095" s="27"/>
    </row>
    <row r="35096">
      <c r="S35096" s="27"/>
      <c r="T35096" s="27"/>
      <c r="U35096" s="27"/>
    </row>
    <row r="35101">
      <c r="S35101" s="27"/>
      <c r="T35101" s="27"/>
      <c r="U35101" s="27"/>
    </row>
    <row r="35102">
      <c r="S35102" s="27"/>
      <c r="T35102" s="27"/>
      <c r="U35102" s="27"/>
    </row>
    <row r="35104">
      <c r="S35104" s="27"/>
      <c r="T35104" s="27"/>
      <c r="U35104" s="27"/>
    </row>
    <row r="35105">
      <c r="S35105" s="27"/>
      <c r="T35105" s="27"/>
      <c r="U35105" s="27"/>
    </row>
    <row r="35107">
      <c r="S35107" s="33"/>
      <c r="T35107" s="33"/>
      <c r="U35107" s="33"/>
    </row>
    <row r="35108">
      <c r="S35108" s="27"/>
      <c r="T35108" s="27"/>
      <c r="U35108" s="27"/>
    </row>
    <row r="35110">
      <c r="S35110" s="27"/>
      <c r="T35110" s="27"/>
      <c r="U35110" s="27"/>
    </row>
    <row r="35111">
      <c r="S35111" s="27"/>
      <c r="T35111" s="27"/>
      <c r="U35111" s="27"/>
    </row>
    <row r="35113">
      <c r="S35113" s="27"/>
      <c r="T35113" s="27"/>
      <c r="U35113" s="27"/>
    </row>
    <row r="35114">
      <c r="S35114" s="26"/>
      <c r="T35114" s="26"/>
      <c r="U35114" s="26"/>
    </row>
    <row r="35116">
      <c r="S35116" s="27"/>
      <c r="T35116" s="27"/>
      <c r="U35116" s="27"/>
    </row>
    <row r="35117">
      <c r="S35117" s="27"/>
      <c r="T35117" s="27"/>
      <c r="U35117" s="27"/>
    </row>
    <row r="35119">
      <c r="S35119" s="27"/>
      <c r="T35119" s="27"/>
      <c r="U35119" s="27"/>
    </row>
    <row r="35120">
      <c r="S35120" s="27"/>
      <c r="T35120" s="27"/>
      <c r="U35120" s="27"/>
    </row>
    <row r="35122">
      <c r="S35122" s="27"/>
      <c r="T35122" s="27"/>
      <c r="U35122" s="27"/>
    </row>
    <row r="35123">
      <c r="S35123" s="27"/>
      <c r="T35123" s="27"/>
      <c r="U35123" s="27"/>
    </row>
    <row r="35125">
      <c r="U35125" s="27"/>
    </row>
    <row r="35133">
      <c r="S35133" s="27"/>
      <c r="T35133" s="27"/>
      <c r="U35133" s="27"/>
    </row>
    <row r="35135">
      <c r="S35135" s="26"/>
      <c r="T35135" s="26"/>
      <c r="U35135" s="26"/>
    </row>
    <row r="35138">
      <c r="S35138" s="27"/>
      <c r="T35138" s="27"/>
      <c r="U35138" s="27"/>
    </row>
    <row r="35141">
      <c r="S35141" s="27"/>
      <c r="T35141" s="27"/>
      <c r="U35141" s="27"/>
    </row>
    <row r="35142">
      <c r="S35142" s="27"/>
      <c r="T35142" s="27"/>
      <c r="U35142" s="27"/>
    </row>
    <row r="35144">
      <c r="S35144" s="27"/>
      <c r="T35144" s="27"/>
      <c r="U35144" s="27"/>
    </row>
    <row r="35145">
      <c r="S35145" s="27"/>
      <c r="T35145" s="27"/>
      <c r="U35145" s="27"/>
    </row>
    <row r="35147">
      <c r="S35147" s="27"/>
      <c r="T35147" s="27"/>
      <c r="U35147" s="33"/>
    </row>
    <row r="35148">
      <c r="U35148" s="27"/>
    </row>
    <row r="35150">
      <c r="S35150" s="27"/>
      <c r="T35150" s="27"/>
      <c r="U35150" s="27"/>
    </row>
    <row r="35151">
      <c r="S35151" s="27"/>
      <c r="T35151" s="27"/>
      <c r="U35151" s="26"/>
    </row>
    <row r="35153">
      <c r="S35153" s="27"/>
      <c r="T35153" s="27"/>
      <c r="U35153" s="27"/>
    </row>
    <row r="35154">
      <c r="S35154" s="27"/>
      <c r="T35154" s="27"/>
      <c r="U35154" s="27"/>
    </row>
    <row r="35156">
      <c r="S35156" s="26"/>
      <c r="T35156" s="26"/>
      <c r="U35156" s="26"/>
    </row>
    <row r="35157">
      <c r="S35157" s="26"/>
      <c r="T35157" s="26"/>
      <c r="U35157" s="26"/>
    </row>
    <row r="35159">
      <c r="S35159" s="27"/>
      <c r="T35159" s="27"/>
      <c r="U35159" s="27"/>
    </row>
    <row r="35160">
      <c r="S35160" s="27"/>
      <c r="T35160" s="27"/>
      <c r="U35160" s="27"/>
    </row>
    <row r="35162">
      <c r="T35162" s="27"/>
      <c r="U35162" s="27"/>
    </row>
    <row r="35163">
      <c r="U35163" s="27"/>
    </row>
    <row r="35165">
      <c r="S35165" s="27"/>
      <c r="T35165" s="27"/>
      <c r="U35165" s="27"/>
    </row>
    <row r="35166">
      <c r="S35166" s="27"/>
      <c r="T35166" s="27"/>
      <c r="U35166" s="27"/>
    </row>
    <row r="35168">
      <c r="S35168" s="27"/>
      <c r="T35168" s="27"/>
      <c r="U35168" s="27"/>
    </row>
    <row r="35174">
      <c r="S35174" s="27"/>
      <c r="T35174" s="27"/>
      <c r="U35174" s="27"/>
    </row>
    <row r="35177">
      <c r="S35177" s="27"/>
      <c r="T35177" s="27"/>
      <c r="U35177" s="27"/>
    </row>
    <row r="35178">
      <c r="S35178" s="33"/>
      <c r="T35178" s="33"/>
      <c r="U35178" s="33"/>
    </row>
    <row r="35180">
      <c r="S35180" s="27"/>
    </row>
    <row r="35181">
      <c r="T35181" s="34"/>
      <c r="U35181" s="34"/>
    </row>
    <row r="35183">
      <c r="S35183" s="27"/>
      <c r="T35183" s="27"/>
      <c r="U35183" s="27"/>
    </row>
    <row r="35184">
      <c r="S35184" s="27"/>
      <c r="T35184" s="27"/>
      <c r="U35184" s="27"/>
    </row>
    <row r="35186">
      <c r="S35186" s="27"/>
      <c r="T35186" s="27"/>
      <c r="U35186" s="27"/>
    </row>
    <row r="35187">
      <c r="S35187" s="27"/>
      <c r="T35187" s="27"/>
      <c r="U35187" s="27"/>
    </row>
    <row r="35190">
      <c r="S35190" s="27"/>
      <c r="T35190" s="27"/>
      <c r="U35190" s="27"/>
    </row>
    <row r="35192">
      <c r="S35192" s="27"/>
      <c r="T35192" s="27"/>
      <c r="U35192" s="27"/>
    </row>
    <row r="35193">
      <c r="S35193" s="27"/>
      <c r="T35193" s="27"/>
      <c r="U35193" s="27"/>
    </row>
    <row r="35195">
      <c r="U35195" s="26"/>
    </row>
    <row r="35198">
      <c r="S35198" s="33"/>
      <c r="T35198" s="33"/>
      <c r="U35198" s="27"/>
    </row>
    <row r="35199">
      <c r="S35199" s="27"/>
      <c r="T35199" s="27"/>
      <c r="U35199" s="27"/>
    </row>
    <row r="35201">
      <c r="S35201" s="27"/>
      <c r="T35201" s="27"/>
      <c r="U35201" s="27"/>
    </row>
    <row r="35202">
      <c r="S35202" s="27"/>
      <c r="T35202" s="27"/>
      <c r="U35202" s="27"/>
    </row>
    <row r="35204">
      <c r="S35204" s="27"/>
      <c r="U35204" s="27"/>
    </row>
    <row r="35207">
      <c r="S35207" s="26"/>
      <c r="T35207" s="26"/>
      <c r="U35207" s="27"/>
    </row>
    <row r="35208">
      <c r="U35208" s="27"/>
    </row>
    <row r="35213">
      <c r="S35213" s="27"/>
      <c r="T35213" s="27"/>
      <c r="U35213" s="27"/>
    </row>
    <row r="35214">
      <c r="S35214" s="27"/>
      <c r="T35214" s="27"/>
      <c r="U35214" s="27"/>
    </row>
    <row r="35219">
      <c r="S35219" s="27"/>
      <c r="T35219" s="27"/>
      <c r="U35219" s="27"/>
    </row>
    <row r="35220">
      <c r="S35220" s="27"/>
      <c r="T35220" s="27"/>
      <c r="U35220" s="27"/>
    </row>
    <row r="35222">
      <c r="S35222" s="26"/>
      <c r="T35222" s="26"/>
      <c r="U35222" s="26"/>
    </row>
    <row r="35225">
      <c r="S35225" s="27"/>
      <c r="T35225" s="27"/>
      <c r="U35225" s="27"/>
    </row>
    <row r="35228">
      <c r="T35228" s="27"/>
      <c r="U35228" s="27"/>
    </row>
    <row r="35229">
      <c r="S35229" s="27"/>
      <c r="T35229" s="27"/>
      <c r="U35229" s="27"/>
    </row>
    <row r="35231">
      <c r="S35231" s="27"/>
      <c r="T35231" s="27"/>
      <c r="U35231" s="27"/>
    </row>
    <row r="35232">
      <c r="S35232" s="27"/>
      <c r="T35232" s="27"/>
      <c r="U35232" s="27"/>
    </row>
    <row r="35234">
      <c r="S35234" s="27"/>
      <c r="T35234" s="27"/>
      <c r="U35234" s="27"/>
    </row>
    <row r="35235">
      <c r="S35235" s="27"/>
      <c r="T35235" s="27"/>
      <c r="U35235" s="27"/>
    </row>
    <row r="35237">
      <c r="S35237" s="27"/>
    </row>
    <row r="35238">
      <c r="T35238" s="26"/>
    </row>
    <row r="35240">
      <c r="S35240" s="27"/>
      <c r="T35240" s="27"/>
      <c r="U35240" s="27"/>
    </row>
    <row r="35241">
      <c r="S35241" s="27"/>
      <c r="T35241" s="27"/>
      <c r="U35241" s="27"/>
    </row>
    <row r="35243">
      <c r="S35243" s="27"/>
      <c r="T35243" s="27"/>
      <c r="U35243" s="27"/>
    </row>
    <row r="35244">
      <c r="S35244" s="27"/>
      <c r="T35244" s="27"/>
      <c r="U35244" s="27"/>
    </row>
    <row r="35246">
      <c r="S35246" s="27"/>
      <c r="T35246" s="27"/>
      <c r="U35246" s="27"/>
    </row>
    <row r="35249">
      <c r="S35249" s="27"/>
      <c r="T35249" s="27"/>
      <c r="U35249" s="27"/>
    </row>
    <row r="35250">
      <c r="S35250" s="27"/>
      <c r="T35250" s="27"/>
      <c r="U35250" s="27"/>
    </row>
    <row r="35252">
      <c r="S35252" s="27"/>
      <c r="T35252" s="27"/>
      <c r="U35252" s="27"/>
    </row>
    <row r="35253">
      <c r="S35253" s="27"/>
      <c r="T35253" s="27"/>
      <c r="U35253" s="27"/>
    </row>
    <row r="35255">
      <c r="S35255" s="27"/>
      <c r="T35255" s="27"/>
      <c r="U35255" s="27"/>
    </row>
    <row r="35256">
      <c r="S35256" s="27"/>
      <c r="T35256" s="27"/>
      <c r="U35256" s="27"/>
    </row>
    <row r="35258">
      <c r="S35258" s="27"/>
      <c r="T35258" s="27"/>
      <c r="U35258" s="27"/>
    </row>
    <row r="35259">
      <c r="S35259" s="27"/>
      <c r="T35259" s="27"/>
      <c r="U35259" s="27"/>
    </row>
    <row r="35261">
      <c r="S35261" s="27"/>
      <c r="T35261" s="27"/>
      <c r="U35261" s="27"/>
    </row>
    <row r="35262">
      <c r="S35262" s="27"/>
      <c r="T35262" s="27"/>
      <c r="U35262" s="27"/>
    </row>
    <row r="35264">
      <c r="S35264" s="27"/>
      <c r="T35264" s="27"/>
      <c r="U35264" s="27"/>
    </row>
    <row r="35265">
      <c r="S35265" s="27"/>
      <c r="T35265" s="27"/>
      <c r="U35265" s="27"/>
    </row>
    <row r="35267">
      <c r="S35267" s="27"/>
      <c r="T35267" s="27"/>
      <c r="U35267" s="27"/>
    </row>
    <row r="35268">
      <c r="S35268" s="27"/>
      <c r="T35268" s="27"/>
      <c r="U35268" s="27"/>
    </row>
    <row r="35270">
      <c r="S35270" s="27"/>
      <c r="T35270" s="27"/>
      <c r="U35270" s="27"/>
    </row>
    <row r="35271">
      <c r="S35271" s="27"/>
      <c r="T35271" s="27"/>
      <c r="U35271" s="27"/>
    </row>
    <row r="35273">
      <c r="S35273" s="27"/>
      <c r="T35273" s="27"/>
      <c r="U35273" s="27"/>
    </row>
    <row r="35274">
      <c r="S35274" s="27"/>
      <c r="T35274" s="27"/>
      <c r="U35274" s="27"/>
    </row>
    <row r="35276">
      <c r="S35276" s="27"/>
      <c r="T35276" s="27"/>
      <c r="U35276" s="27"/>
    </row>
    <row r="35277">
      <c r="S35277" s="27"/>
      <c r="T35277" s="27"/>
      <c r="U35277" s="27"/>
    </row>
    <row r="35279">
      <c r="S35279" s="27"/>
      <c r="T35279" s="27"/>
      <c r="U35279" s="27"/>
    </row>
    <row r="35280">
      <c r="S35280" s="27"/>
      <c r="T35280" s="27"/>
      <c r="U35280" s="27"/>
    </row>
    <row r="35282">
      <c r="S35282" s="27"/>
      <c r="T35282" s="27"/>
      <c r="U35282" s="27"/>
    </row>
    <row r="35283">
      <c r="S35283" s="27"/>
      <c r="T35283" s="27"/>
      <c r="U35283" s="27"/>
    </row>
    <row r="35285">
      <c r="S35285" s="27"/>
      <c r="T35285" s="27"/>
      <c r="U35285" s="27"/>
    </row>
    <row r="35286">
      <c r="S35286" s="27"/>
      <c r="T35286" s="27"/>
      <c r="U35286" s="27"/>
    </row>
    <row r="35288">
      <c r="S35288" s="27"/>
      <c r="T35288" s="27"/>
      <c r="U35288" s="27"/>
    </row>
    <row r="35289">
      <c r="S35289" s="27"/>
      <c r="T35289" s="27"/>
      <c r="U35289" s="27"/>
    </row>
    <row r="35291">
      <c r="S35291" s="27"/>
      <c r="T35291" s="27"/>
      <c r="U35291" s="27"/>
    </row>
    <row r="35292">
      <c r="S35292" s="27"/>
      <c r="T35292" s="27"/>
      <c r="U35292" s="27"/>
    </row>
    <row r="35294">
      <c r="S35294" s="27"/>
      <c r="T35294" s="27"/>
      <c r="U35294" s="27"/>
    </row>
    <row r="35295">
      <c r="S35295" s="27"/>
      <c r="T35295" s="27"/>
      <c r="U35295" s="27"/>
    </row>
    <row r="35297">
      <c r="S35297" s="27"/>
      <c r="T35297" s="27"/>
      <c r="U35297" s="27"/>
    </row>
    <row r="35298">
      <c r="S35298" s="27"/>
      <c r="T35298" s="27"/>
      <c r="U35298" s="27"/>
    </row>
    <row r="35300">
      <c r="S35300" s="27"/>
      <c r="T35300" s="27"/>
      <c r="U35300" s="27"/>
    </row>
    <row r="35301">
      <c r="S35301" s="27"/>
      <c r="T35301" s="27"/>
      <c r="U35301" s="27"/>
    </row>
    <row r="35303">
      <c r="S35303" s="27"/>
      <c r="T35303" s="27"/>
      <c r="U35303" s="27"/>
    </row>
    <row r="35304">
      <c r="S35304" s="27"/>
      <c r="T35304" s="27"/>
      <c r="U35304" s="27"/>
    </row>
    <row r="35306">
      <c r="S35306" s="27"/>
      <c r="T35306" s="27"/>
      <c r="U35306" s="27"/>
    </row>
    <row r="35307">
      <c r="S35307" s="27"/>
      <c r="T35307" s="27"/>
      <c r="U35307" s="27"/>
    </row>
    <row r="35309">
      <c r="S35309" s="27"/>
      <c r="T35309" s="27"/>
      <c r="U35309" s="27"/>
    </row>
    <row r="35310">
      <c r="S35310" s="27"/>
      <c r="T35310" s="27"/>
      <c r="U35310" s="27"/>
    </row>
    <row r="35312">
      <c r="S35312" s="27"/>
      <c r="T35312" s="27"/>
      <c r="U35312" s="27"/>
    </row>
    <row r="35313">
      <c r="S35313" s="27"/>
      <c r="T35313" s="27"/>
      <c r="U35313" s="27"/>
    </row>
    <row r="35315">
      <c r="S35315" s="27"/>
      <c r="T35315" s="27"/>
      <c r="U35315" s="27"/>
    </row>
    <row r="35316">
      <c r="S35316" s="27"/>
      <c r="T35316" s="27"/>
      <c r="U35316" s="27"/>
    </row>
    <row r="35318">
      <c r="S35318" s="27"/>
      <c r="T35318" s="27"/>
      <c r="U35318" s="27"/>
    </row>
    <row r="35319">
      <c r="S35319" s="27"/>
      <c r="T35319" s="27"/>
      <c r="U35319" s="27"/>
    </row>
    <row r="35321">
      <c r="S35321" s="27"/>
      <c r="T35321" s="27"/>
      <c r="U35321" s="27"/>
    </row>
    <row r="35322">
      <c r="S35322" s="27"/>
      <c r="T35322" s="27"/>
      <c r="U35322" s="27"/>
    </row>
    <row r="35324">
      <c r="S35324" s="27"/>
      <c r="T35324" s="27"/>
      <c r="U35324" s="27"/>
    </row>
    <row r="35325">
      <c r="S35325" s="27"/>
      <c r="T35325" s="27"/>
      <c r="U35325" s="27"/>
    </row>
    <row r="35327">
      <c r="S35327" s="27"/>
      <c r="T35327" s="27"/>
      <c r="U35327" s="27"/>
    </row>
    <row r="35328">
      <c r="S35328" s="27"/>
      <c r="T35328" s="27"/>
      <c r="U35328" s="27"/>
    </row>
    <row r="35330">
      <c r="S35330" s="27"/>
      <c r="T35330" s="27"/>
      <c r="U35330" s="27"/>
    </row>
    <row r="35331">
      <c r="S35331" s="27"/>
      <c r="T35331" s="27"/>
      <c r="U35331" s="27"/>
    </row>
    <row r="35333">
      <c r="S35333" s="27"/>
      <c r="T35333" s="27"/>
      <c r="U35333" s="27"/>
    </row>
    <row r="35334">
      <c r="S35334" s="27"/>
      <c r="T35334" s="27"/>
      <c r="U35334" s="27"/>
    </row>
    <row r="35336">
      <c r="S35336" s="27"/>
      <c r="T35336" s="27"/>
      <c r="U35336" s="27"/>
    </row>
    <row r="35338">
      <c r="S35338" s="27"/>
      <c r="T35338" s="27"/>
      <c r="U35338" s="27"/>
    </row>
    <row r="35339">
      <c r="S35339" s="27"/>
      <c r="T35339" s="27"/>
      <c r="U35339" s="27"/>
    </row>
    <row r="35341">
      <c r="S35341" s="27"/>
      <c r="T35341" s="27"/>
      <c r="U35341" s="27"/>
    </row>
    <row r="35342">
      <c r="S35342" s="27"/>
      <c r="T35342" s="27"/>
      <c r="U35342" s="27"/>
    </row>
    <row r="35344">
      <c r="S35344" s="27"/>
      <c r="T35344" s="27"/>
      <c r="U35344" s="27"/>
    </row>
    <row r="35345">
      <c r="S35345" s="27"/>
      <c r="T35345" s="27"/>
      <c r="U35345" s="27"/>
    </row>
    <row r="35347">
      <c r="S35347" s="27"/>
      <c r="T35347" s="27"/>
      <c r="U35347" s="27"/>
    </row>
    <row r="35348">
      <c r="S35348" s="27"/>
      <c r="T35348" s="27"/>
      <c r="U35348" s="27"/>
    </row>
    <row r="35350">
      <c r="S35350" s="27"/>
      <c r="T35350" s="27"/>
      <c r="U35350" s="27"/>
    </row>
    <row r="35351">
      <c r="S35351" s="27"/>
      <c r="T35351" s="27"/>
      <c r="U35351" s="27"/>
    </row>
    <row r="35353">
      <c r="S35353" s="27"/>
      <c r="T35353" s="27"/>
      <c r="U35353" s="27"/>
    </row>
    <row r="35354">
      <c r="S35354" s="27"/>
      <c r="T35354" s="27"/>
      <c r="U35354" s="27"/>
    </row>
    <row r="35356">
      <c r="S35356" s="27"/>
      <c r="T35356" s="27"/>
      <c r="U35356" s="27"/>
    </row>
    <row r="35357">
      <c r="S35357" s="27"/>
      <c r="T35357" s="27"/>
      <c r="U35357" s="27"/>
    </row>
    <row r="35359">
      <c r="S35359" s="27"/>
      <c r="T35359" s="27"/>
      <c r="U35359" s="27"/>
    </row>
    <row r="35361">
      <c r="S35361" s="27"/>
      <c r="T35361" s="27"/>
      <c r="U35361" s="27"/>
    </row>
    <row r="35363">
      <c r="T35363" s="27"/>
      <c r="U35363" s="27"/>
    </row>
    <row r="35365">
      <c r="S35365" s="27"/>
      <c r="T35365" s="27"/>
      <c r="U35365" s="27"/>
    </row>
    <row r="35367">
      <c r="S35367" s="27"/>
      <c r="T35367" s="27"/>
      <c r="U35367" s="27"/>
    </row>
    <row r="35368">
      <c r="S35368" s="27"/>
      <c r="T35368" s="27"/>
      <c r="U35368" s="27"/>
    </row>
    <row r="35370">
      <c r="S35370" s="27"/>
      <c r="T35370" s="27"/>
      <c r="U35370" s="27"/>
    </row>
    <row r="35371">
      <c r="S35371" s="27"/>
      <c r="T35371" s="27"/>
      <c r="U35371" s="27"/>
    </row>
    <row r="35373">
      <c r="S35373" s="27"/>
      <c r="T35373" s="27"/>
      <c r="U35373" s="27"/>
    </row>
    <row r="35374">
      <c r="S35374" s="27"/>
      <c r="T35374" s="27"/>
      <c r="U35374" s="33"/>
    </row>
    <row r="35376">
      <c r="S35376" s="27"/>
      <c r="T35376" s="27"/>
      <c r="U35376" s="27"/>
    </row>
    <row r="35377">
      <c r="S35377" s="27"/>
      <c r="T35377" s="27"/>
      <c r="U35377" s="27"/>
    </row>
    <row r="35379">
      <c r="S35379" s="27"/>
      <c r="T35379" s="27"/>
      <c r="U35379" s="27"/>
    </row>
    <row r="35380">
      <c r="S35380" s="27"/>
      <c r="T35380" s="27"/>
      <c r="U35380" s="27"/>
    </row>
    <row r="35382">
      <c r="S35382" s="27"/>
      <c r="T35382" s="27"/>
      <c r="U35382" s="27"/>
    </row>
    <row r="35383">
      <c r="S35383" s="27"/>
      <c r="T35383" s="27"/>
      <c r="U35383" s="27"/>
    </row>
    <row r="35388">
      <c r="T35388" s="27"/>
    </row>
    <row r="35391">
      <c r="S35391" s="33"/>
      <c r="T35391" s="33"/>
      <c r="U35391" s="33"/>
    </row>
    <row r="35392">
      <c r="S35392" s="26"/>
      <c r="T35392" s="26"/>
      <c r="U35392" s="26"/>
    </row>
    <row r="35394">
      <c r="S35394" s="27"/>
      <c r="T35394" s="27"/>
      <c r="U35394" s="27"/>
    </row>
    <row r="35395">
      <c r="S35395" s="27"/>
      <c r="T35395" s="27"/>
      <c r="U35395" s="27"/>
    </row>
    <row r="35397">
      <c r="S35397" s="27"/>
      <c r="T35397" s="27"/>
      <c r="U35397" s="27"/>
    </row>
    <row r="35398">
      <c r="S35398" s="27"/>
      <c r="T35398" s="27"/>
      <c r="U35398" s="27"/>
    </row>
    <row r="35400">
      <c r="S35400" s="27"/>
      <c r="T35400" s="27"/>
      <c r="U35400" s="27"/>
    </row>
    <row r="35401">
      <c r="S35401" s="27"/>
      <c r="T35401" s="27"/>
      <c r="U35401" s="27"/>
    </row>
    <row r="35403">
      <c r="U35403" s="26"/>
    </row>
    <row r="35406">
      <c r="S35406" s="27"/>
      <c r="T35406" s="27"/>
      <c r="U35406" s="27"/>
    </row>
    <row r="35407">
      <c r="S35407" s="27"/>
      <c r="T35407" s="27"/>
      <c r="U35407" s="27"/>
    </row>
    <row r="35409">
      <c r="S35409" s="27"/>
      <c r="T35409" s="27"/>
      <c r="U35409" s="27"/>
    </row>
    <row r="35410">
      <c r="S35410" s="27"/>
      <c r="T35410" s="27"/>
      <c r="U35410" s="27"/>
    </row>
    <row r="35412">
      <c r="S35412" s="27"/>
      <c r="T35412" s="27"/>
      <c r="U35412" s="27"/>
    </row>
    <row r="35413">
      <c r="S35413" s="27"/>
      <c r="T35413" s="27"/>
      <c r="U35413" s="27"/>
    </row>
    <row r="35421">
      <c r="S35421" s="27"/>
      <c r="T35421" s="27"/>
      <c r="U35421" s="27"/>
    </row>
    <row r="35422">
      <c r="S35422" s="27"/>
      <c r="T35422" s="27"/>
      <c r="U35422" s="27"/>
    </row>
    <row r="35425">
      <c r="S35425" s="26"/>
      <c r="T35425" s="26"/>
      <c r="U35425" s="26"/>
    </row>
    <row r="35428">
      <c r="T35428" s="27"/>
    </row>
    <row r="35431">
      <c r="S35431" s="27"/>
      <c r="T35431" s="27"/>
      <c r="U35431" s="27"/>
    </row>
    <row r="35434">
      <c r="S35434" s="27"/>
      <c r="T35434" s="27"/>
      <c r="U35434" s="27"/>
    </row>
    <row r="35435">
      <c r="S35435" s="27"/>
      <c r="T35435" s="27"/>
      <c r="U35435" s="27"/>
    </row>
    <row r="35437">
      <c r="S35437" s="27"/>
      <c r="T35437" s="27"/>
      <c r="U35437" s="27"/>
    </row>
    <row r="35438">
      <c r="S35438" s="27"/>
      <c r="T35438" s="27"/>
      <c r="U35438" s="27"/>
    </row>
    <row r="35440">
      <c r="S35440" s="27"/>
      <c r="T35440" s="27"/>
      <c r="U35440" s="27"/>
    </row>
    <row r="35441">
      <c r="S35441" s="27"/>
      <c r="T35441" s="27"/>
      <c r="U35441" s="27"/>
    </row>
    <row r="35443">
      <c r="S35443" s="27"/>
      <c r="T35443" s="27"/>
      <c r="U35443" s="27"/>
    </row>
    <row r="35444">
      <c r="S35444" s="27"/>
      <c r="T35444" s="27"/>
      <c r="U35444" s="27"/>
    </row>
    <row r="35446">
      <c r="S35446" s="27"/>
      <c r="T35446" s="27"/>
      <c r="U35446" s="27"/>
    </row>
    <row r="35447">
      <c r="S35447" s="27"/>
      <c r="T35447" s="27"/>
      <c r="U35447" s="27"/>
    </row>
    <row r="35449">
      <c r="S35449" s="27"/>
      <c r="T35449" s="27"/>
      <c r="U35449" s="27"/>
    </row>
    <row r="35450">
      <c r="S35450" s="27"/>
      <c r="T35450" s="27"/>
      <c r="U35450" s="27"/>
    </row>
    <row r="35452">
      <c r="S35452" s="27"/>
      <c r="T35452" s="27"/>
      <c r="U35452" s="27"/>
    </row>
    <row r="35453">
      <c r="S35453" s="27"/>
      <c r="T35453" s="27"/>
      <c r="U35453" s="27"/>
    </row>
    <row r="35455">
      <c r="S35455" s="27"/>
      <c r="T35455" s="27"/>
      <c r="U35455" s="27"/>
    </row>
    <row r="35456">
      <c r="S35456" s="27"/>
      <c r="T35456" s="27"/>
      <c r="U35456" s="27"/>
    </row>
    <row r="35458">
      <c r="S35458" s="27"/>
      <c r="T35458" s="27"/>
      <c r="U35458" s="27"/>
    </row>
    <row r="35459">
      <c r="S35459" s="27"/>
      <c r="T35459" s="27"/>
      <c r="U35459" s="27"/>
    </row>
    <row r="35461">
      <c r="S35461" s="27"/>
      <c r="T35461" s="27"/>
      <c r="U35461" s="27"/>
    </row>
    <row r="35462">
      <c r="S35462" s="27"/>
      <c r="T35462" s="27"/>
      <c r="U35462" s="27"/>
    </row>
    <row r="35464">
      <c r="S35464" s="27"/>
      <c r="T35464" s="27"/>
      <c r="U35464" s="27"/>
    </row>
    <row r="35465">
      <c r="S35465" s="27"/>
      <c r="T35465" s="27"/>
      <c r="U35465" s="27"/>
    </row>
    <row r="35467">
      <c r="S35467" s="27"/>
      <c r="T35467" s="27"/>
      <c r="U35467" s="27"/>
    </row>
    <row r="35468">
      <c r="S35468" s="27"/>
      <c r="T35468" s="27"/>
      <c r="U35468" s="27"/>
    </row>
    <row r="35470">
      <c r="S35470" s="27"/>
      <c r="T35470" s="27"/>
      <c r="U35470" s="27"/>
    </row>
    <row r="35471">
      <c r="S35471" s="27"/>
      <c r="T35471" s="27"/>
      <c r="U35471" s="27"/>
    </row>
    <row r="35473">
      <c r="S35473" s="27"/>
      <c r="T35473" s="27"/>
      <c r="U35473" s="27"/>
    </row>
    <row r="35474">
      <c r="S35474" s="27"/>
      <c r="T35474" s="27"/>
      <c r="U35474" s="27"/>
    </row>
    <row r="35476">
      <c r="S35476" s="27"/>
      <c r="T35476" s="27"/>
      <c r="U35476" s="27"/>
    </row>
    <row r="35477">
      <c r="S35477" s="27"/>
      <c r="T35477" s="27"/>
      <c r="U35477" s="27"/>
    </row>
    <row r="35479">
      <c r="S35479" s="27"/>
      <c r="T35479" s="27"/>
      <c r="U35479" s="27"/>
    </row>
    <row r="35480">
      <c r="S35480" s="27"/>
      <c r="T35480" s="27"/>
      <c r="U35480" s="27"/>
    </row>
    <row r="35482">
      <c r="S35482" s="33"/>
      <c r="T35482" s="33"/>
      <c r="U35482" s="27"/>
    </row>
    <row r="35483">
      <c r="S35483" s="33"/>
      <c r="T35483" s="33"/>
      <c r="U35483" s="27"/>
    </row>
    <row r="35485">
      <c r="S35485" s="27"/>
      <c r="T35485" s="27"/>
      <c r="U35485" s="27"/>
    </row>
    <row r="35486">
      <c r="S35486" s="27"/>
      <c r="T35486" s="27"/>
      <c r="U35486" s="27"/>
    </row>
    <row r="35488">
      <c r="S35488" s="27"/>
      <c r="T35488" s="27"/>
      <c r="U35488" s="27"/>
    </row>
    <row r="35489">
      <c r="S35489" s="27"/>
      <c r="T35489" s="27"/>
      <c r="U35489" s="27"/>
    </row>
    <row r="35491">
      <c r="S35491" s="27"/>
      <c r="T35491" s="27"/>
      <c r="U35491" s="27"/>
    </row>
    <row r="35492">
      <c r="S35492" s="27"/>
      <c r="T35492" s="27"/>
      <c r="U35492" s="27"/>
    </row>
    <row r="35494">
      <c r="S35494" s="27"/>
      <c r="T35494" s="27"/>
      <c r="U35494" s="27"/>
    </row>
    <row r="35495">
      <c r="S35495" s="27"/>
      <c r="T35495" s="27"/>
      <c r="U35495" s="27"/>
    </row>
    <row r="35497">
      <c r="S35497" s="27"/>
      <c r="T35497" s="27"/>
      <c r="U35497" s="27"/>
    </row>
    <row r="35498">
      <c r="S35498" s="27"/>
      <c r="T35498" s="27"/>
      <c r="U35498" s="27"/>
    </row>
    <row r="35500">
      <c r="S35500" s="27"/>
      <c r="T35500" s="27"/>
      <c r="U35500" s="27"/>
    </row>
    <row r="35501">
      <c r="S35501" s="27"/>
      <c r="T35501" s="27"/>
      <c r="U35501" s="27"/>
    </row>
    <row r="35503">
      <c r="S35503" s="27"/>
      <c r="T35503" s="27"/>
      <c r="U35503" s="27"/>
    </row>
    <row r="35504">
      <c r="S35504" s="27"/>
      <c r="T35504" s="27"/>
      <c r="U35504" s="27"/>
    </row>
    <row r="35506">
      <c r="S35506" s="27"/>
      <c r="T35506" s="27"/>
      <c r="U35506" s="27"/>
    </row>
    <row r="35507">
      <c r="S35507" s="27"/>
      <c r="T35507" s="27"/>
      <c r="U35507" s="27"/>
    </row>
    <row r="35509">
      <c r="S35509" s="27"/>
      <c r="T35509" s="27"/>
      <c r="U35509" s="27"/>
    </row>
    <row r="35515">
      <c r="S35515" s="27"/>
      <c r="T35515" s="27"/>
      <c r="U35515" s="27"/>
    </row>
    <row r="35516">
      <c r="S35516" s="27"/>
      <c r="T35516" s="27"/>
      <c r="U35516" s="27"/>
    </row>
    <row r="35518">
      <c r="S35518" s="27"/>
      <c r="T35518" s="27"/>
      <c r="U35518" s="27"/>
    </row>
    <row r="35519">
      <c r="S35519" s="26"/>
      <c r="T35519" s="26"/>
      <c r="U35519" s="26"/>
    </row>
    <row r="35521">
      <c r="S35521" s="27"/>
      <c r="T35521" s="27"/>
      <c r="U35521" s="27"/>
    </row>
    <row r="35522">
      <c r="S35522" s="27"/>
      <c r="T35522" s="27"/>
      <c r="U35522" s="27"/>
    </row>
    <row r="35524">
      <c r="S35524" s="27"/>
      <c r="T35524" s="27"/>
      <c r="U35524" s="27"/>
    </row>
    <row r="35525">
      <c r="S35525" s="27"/>
      <c r="T35525" s="27"/>
      <c r="U35525" s="27"/>
    </row>
    <row r="35527">
      <c r="S35527" s="27"/>
      <c r="T35527" s="27"/>
      <c r="U35527" s="27"/>
    </row>
    <row r="35528">
      <c r="S35528" s="27"/>
      <c r="T35528" s="27"/>
      <c r="U35528" s="27"/>
    </row>
    <row r="35530">
      <c r="T35530" s="27"/>
    </row>
    <row r="35538">
      <c r="S35538" s="27"/>
      <c r="T35538" s="27"/>
      <c r="U35538" s="27"/>
    </row>
    <row r="35540">
      <c r="S35540" s="27"/>
      <c r="T35540" s="27"/>
      <c r="U35540" s="27"/>
    </row>
    <row r="35543">
      <c r="S35543" s="27"/>
      <c r="T35543" s="27"/>
      <c r="U35543" s="27"/>
    </row>
    <row r="35546">
      <c r="S35546" s="27"/>
      <c r="T35546" s="27"/>
      <c r="U35546" s="27"/>
    </row>
    <row r="35547">
      <c r="S35547" s="27"/>
      <c r="T35547" s="27"/>
      <c r="U35547" s="27"/>
    </row>
    <row r="35549">
      <c r="S35549" s="27"/>
      <c r="T35549" s="27"/>
      <c r="U35549" s="27"/>
    </row>
    <row r="35550">
      <c r="S35550" s="27"/>
      <c r="T35550" s="27"/>
      <c r="U35550" s="27"/>
    </row>
    <row r="35552">
      <c r="S35552" s="27"/>
      <c r="T35552" s="27"/>
      <c r="U35552" s="27"/>
    </row>
    <row r="35553">
      <c r="T35553" s="27"/>
      <c r="U35553" s="27"/>
    </row>
    <row r="35555">
      <c r="S35555" s="27"/>
      <c r="T35555" s="27"/>
      <c r="U35555" s="27"/>
    </row>
    <row r="35556">
      <c r="S35556" s="27"/>
      <c r="T35556" s="26"/>
      <c r="U35556" s="27"/>
    </row>
    <row r="35558">
      <c r="S35558" s="27"/>
      <c r="U35558" s="27"/>
    </row>
    <row r="35559">
      <c r="S35559" s="27"/>
      <c r="T35559" s="27"/>
      <c r="U35559" s="27"/>
    </row>
    <row r="35564">
      <c r="S35564" s="27"/>
      <c r="T35564" s="27"/>
      <c r="U35564" s="27"/>
    </row>
    <row r="35565">
      <c r="S35565" s="27"/>
      <c r="T35565" s="27"/>
      <c r="U35565" s="27"/>
    </row>
    <row r="35567">
      <c r="T35567" s="27"/>
      <c r="U35567" s="27"/>
    </row>
    <row r="35568">
      <c r="T35568" s="27"/>
      <c r="U35568" s="27"/>
    </row>
    <row r="35570">
      <c r="S35570" s="27"/>
      <c r="T35570" s="27"/>
      <c r="U35570" s="27"/>
    </row>
    <row r="35571">
      <c r="S35571" s="27"/>
      <c r="T35571" s="27"/>
      <c r="U35571" s="27"/>
    </row>
    <row r="35573">
      <c r="S35573" s="33"/>
      <c r="T35573" s="33"/>
      <c r="U35573" s="27"/>
    </row>
    <row r="35579">
      <c r="S35579" s="27"/>
      <c r="T35579" s="27"/>
      <c r="U35579" s="27"/>
    </row>
    <row r="35582">
      <c r="S35582" s="27"/>
      <c r="T35582" s="27"/>
      <c r="U35582" s="27"/>
    </row>
    <row r="35583">
      <c r="S35583" s="33"/>
      <c r="T35583" s="33"/>
      <c r="U35583" s="33"/>
    </row>
    <row r="35588">
      <c r="S35588" s="27"/>
      <c r="T35588" s="27"/>
      <c r="U35588" s="27"/>
    </row>
    <row r="35589">
      <c r="S35589" s="27"/>
      <c r="T35589" s="27"/>
      <c r="U35589" s="27"/>
    </row>
    <row r="35591">
      <c r="S35591" s="27"/>
      <c r="T35591" s="27"/>
      <c r="U35591" s="27"/>
    </row>
    <row r="35592">
      <c r="S35592" s="27"/>
      <c r="T35592" s="27"/>
      <c r="U35592" s="27"/>
    </row>
    <row r="35594">
      <c r="S35594" s="27"/>
      <c r="T35594" s="27"/>
      <c r="U35594" s="27"/>
    </row>
    <row r="35595">
      <c r="S35595" s="27"/>
      <c r="T35595" s="27"/>
      <c r="U35595" s="27"/>
    </row>
    <row r="35600">
      <c r="S35600" s="26"/>
    </row>
    <row r="35603">
      <c r="S35603" s="27"/>
      <c r="T35603" s="27"/>
      <c r="U35603" s="33"/>
    </row>
    <row r="35604">
      <c r="S35604" s="27"/>
      <c r="T35604" s="27"/>
      <c r="U35604" s="27"/>
    </row>
    <row r="35606">
      <c r="S35606" s="27"/>
      <c r="T35606" s="27"/>
      <c r="U35606" s="27"/>
    </row>
    <row r="35607">
      <c r="S35607" s="27"/>
      <c r="T35607" s="27"/>
      <c r="U35607" s="27"/>
    </row>
    <row r="35609">
      <c r="S35609" s="27"/>
      <c r="T35609" s="27"/>
      <c r="U35609" s="27"/>
    </row>
    <row r="35612">
      <c r="S35612" s="27"/>
      <c r="T35612" s="27"/>
      <c r="U35612" s="27"/>
    </row>
    <row r="35613">
      <c r="S35613" s="27"/>
      <c r="T35613" s="27"/>
      <c r="U35613" s="27"/>
    </row>
    <row r="35618">
      <c r="S35618" s="27"/>
      <c r="T35618" s="27"/>
      <c r="U35618" s="27"/>
    </row>
    <row r="35619">
      <c r="S35619" s="27"/>
      <c r="T35619" s="27"/>
      <c r="U35619" s="27"/>
    </row>
    <row r="35621">
      <c r="S35621" s="27"/>
      <c r="T35621" s="27"/>
      <c r="U35621" s="27"/>
    </row>
    <row r="35622">
      <c r="S35622" s="26"/>
      <c r="T35622" s="26"/>
      <c r="U35622" s="26"/>
    </row>
    <row r="35624">
      <c r="S35624" s="27"/>
      <c r="T35624" s="27"/>
      <c r="U35624" s="27"/>
    </row>
    <row r="35625">
      <c r="S35625" s="27"/>
      <c r="T35625" s="27"/>
      <c r="U35625" s="27"/>
    </row>
    <row r="35627">
      <c r="S35627" s="26"/>
      <c r="T35627" s="26"/>
      <c r="U35627" s="26"/>
    </row>
    <row r="35630">
      <c r="S35630" s="27"/>
      <c r="T35630" s="27"/>
      <c r="U35630" s="27"/>
    </row>
    <row r="35633">
      <c r="S35633" s="27"/>
      <c r="T35633" s="27"/>
      <c r="U35633" s="27"/>
    </row>
    <row r="35634">
      <c r="S35634" s="27"/>
      <c r="T35634" s="27"/>
      <c r="U35634" s="27"/>
    </row>
    <row r="35636">
      <c r="S35636" s="27"/>
      <c r="T35636" s="27"/>
      <c r="U35636" s="27"/>
    </row>
    <row r="35637">
      <c r="S35637" s="27"/>
      <c r="T35637" s="27"/>
      <c r="U35637" s="27"/>
    </row>
    <row r="35639">
      <c r="S35639" s="27"/>
    </row>
    <row r="35642">
      <c r="S35642" s="27"/>
      <c r="T35642" s="27"/>
      <c r="U35642" s="27"/>
    </row>
    <row r="35643">
      <c r="S35643" s="27"/>
      <c r="T35643" s="27"/>
      <c r="U35643" s="27"/>
    </row>
    <row r="35645">
      <c r="S35645" s="27"/>
      <c r="T35645" s="27"/>
      <c r="U35645" s="27"/>
    </row>
    <row r="35646">
      <c r="S35646" s="27"/>
      <c r="T35646" s="27"/>
      <c r="U35646" s="27"/>
    </row>
    <row r="35648">
      <c r="S35648" s="27"/>
      <c r="T35648" s="27"/>
      <c r="U35648" s="27"/>
    </row>
    <row r="35651">
      <c r="S35651" s="27"/>
      <c r="T35651" s="27"/>
      <c r="U35651" s="27"/>
    </row>
    <row r="35652">
      <c r="S35652" s="27"/>
      <c r="T35652" s="27"/>
      <c r="U35652" s="27"/>
    </row>
    <row r="35654">
      <c r="S35654" s="27"/>
      <c r="T35654" s="27"/>
      <c r="U35654" s="27"/>
    </row>
    <row r="35655">
      <c r="S35655" s="27"/>
      <c r="T35655" s="27"/>
      <c r="U35655" s="27"/>
    </row>
    <row r="35657">
      <c r="S35657" s="27"/>
      <c r="T35657" s="27"/>
      <c r="U35657" s="27"/>
    </row>
    <row r="35658">
      <c r="S35658" s="27"/>
      <c r="T35658" s="27"/>
      <c r="U35658" s="27"/>
    </row>
    <row r="35660">
      <c r="S35660" s="27"/>
      <c r="T35660" s="27"/>
      <c r="U35660" s="27"/>
    </row>
    <row r="35661">
      <c r="S35661" s="27"/>
      <c r="T35661" s="27"/>
      <c r="U35661" s="27"/>
    </row>
    <row r="35663">
      <c r="S35663" s="27"/>
      <c r="T35663" s="27"/>
      <c r="U35663" s="27"/>
    </row>
    <row r="35664">
      <c r="S35664" s="27"/>
      <c r="T35664" s="27"/>
      <c r="U35664" s="27"/>
    </row>
    <row r="35666">
      <c r="S35666" s="27"/>
      <c r="T35666" s="27"/>
      <c r="U35666" s="27"/>
    </row>
    <row r="35667">
      <c r="S35667" s="27"/>
      <c r="T35667" s="27"/>
      <c r="U35667" s="27"/>
    </row>
    <row r="35669">
      <c r="S35669" s="27"/>
      <c r="T35669" s="27"/>
      <c r="U35669" s="27"/>
    </row>
    <row r="35670">
      <c r="S35670" s="27"/>
      <c r="T35670" s="27"/>
      <c r="U35670" s="27"/>
    </row>
    <row r="35672">
      <c r="S35672" s="27"/>
      <c r="T35672" s="27"/>
      <c r="U35672" s="27"/>
    </row>
    <row r="35673">
      <c r="S35673" s="27"/>
      <c r="T35673" s="27"/>
      <c r="U35673" s="27"/>
    </row>
    <row r="35675">
      <c r="S35675" s="27"/>
      <c r="T35675" s="27"/>
      <c r="U35675" s="27"/>
    </row>
    <row r="35676">
      <c r="S35676" s="27"/>
      <c r="T35676" s="27"/>
      <c r="U35676" s="27"/>
    </row>
    <row r="35678">
      <c r="S35678" s="27"/>
      <c r="T35678" s="27"/>
      <c r="U35678" s="27"/>
    </row>
    <row r="35679">
      <c r="S35679" s="27"/>
      <c r="T35679" s="27"/>
      <c r="U35679" s="27"/>
    </row>
    <row r="35681">
      <c r="S35681" s="27"/>
      <c r="T35681" s="27"/>
      <c r="U35681" s="27"/>
    </row>
    <row r="35682">
      <c r="S35682" s="27"/>
      <c r="T35682" s="27"/>
      <c r="U35682" s="27"/>
    </row>
    <row r="35684">
      <c r="S35684" s="27"/>
      <c r="T35684" s="27"/>
      <c r="U35684" s="27"/>
    </row>
    <row r="35685">
      <c r="S35685" s="27"/>
      <c r="T35685" s="27"/>
      <c r="U35685" s="27"/>
    </row>
    <row r="35687">
      <c r="S35687" s="27"/>
      <c r="T35687" s="27"/>
      <c r="U35687" s="27"/>
    </row>
    <row r="35688">
      <c r="S35688" s="27"/>
      <c r="T35688" s="27"/>
      <c r="U35688" s="27"/>
    </row>
    <row r="35690">
      <c r="S35690" s="27"/>
      <c r="T35690" s="27"/>
      <c r="U35690" s="27"/>
    </row>
    <row r="35691">
      <c r="S35691" s="27"/>
      <c r="T35691" s="27"/>
      <c r="U35691" s="27"/>
    </row>
    <row r="35693">
      <c r="S35693" s="27"/>
      <c r="T35693" s="27"/>
      <c r="U35693" s="27"/>
    </row>
    <row r="35694">
      <c r="S35694" s="27"/>
      <c r="T35694" s="27"/>
      <c r="U35694" s="27"/>
    </row>
    <row r="35696">
      <c r="S35696" s="27"/>
      <c r="T35696" s="27"/>
      <c r="U35696" s="27"/>
    </row>
    <row r="35697">
      <c r="S35697" s="27"/>
      <c r="T35697" s="27"/>
      <c r="U35697" s="27"/>
    </row>
    <row r="35699">
      <c r="S35699" s="27"/>
      <c r="T35699" s="27"/>
      <c r="U35699" s="27"/>
    </row>
    <row r="35700">
      <c r="S35700" s="27"/>
      <c r="T35700" s="27"/>
      <c r="U35700" s="27"/>
    </row>
    <row r="35702">
      <c r="S35702" s="27"/>
      <c r="T35702" s="27"/>
      <c r="U35702" s="27"/>
    </row>
    <row r="35703">
      <c r="S35703" s="27"/>
      <c r="T35703" s="27"/>
      <c r="U35703" s="27"/>
    </row>
    <row r="35705">
      <c r="S35705" s="27"/>
      <c r="T35705" s="27"/>
      <c r="U35705" s="27"/>
    </row>
    <row r="35706">
      <c r="S35706" s="27"/>
      <c r="T35706" s="27"/>
      <c r="U35706" s="27"/>
    </row>
    <row r="35708">
      <c r="S35708" s="27"/>
      <c r="T35708" s="27"/>
      <c r="U35708" s="27"/>
    </row>
    <row r="35709">
      <c r="S35709" s="27"/>
      <c r="T35709" s="27"/>
      <c r="U35709" s="27"/>
    </row>
    <row r="35711">
      <c r="S35711" s="27"/>
      <c r="T35711" s="27"/>
      <c r="U35711" s="27"/>
    </row>
    <row r="35712">
      <c r="S35712" s="27"/>
      <c r="T35712" s="27"/>
      <c r="U35712" s="27"/>
    </row>
    <row r="35714">
      <c r="S35714" s="27"/>
      <c r="T35714" s="27"/>
      <c r="U35714" s="27"/>
    </row>
    <row r="35715">
      <c r="S35715" s="27"/>
      <c r="T35715" s="27"/>
      <c r="U35715" s="27"/>
    </row>
    <row r="35717">
      <c r="S35717" s="27"/>
      <c r="T35717" s="27"/>
      <c r="U35717" s="27"/>
    </row>
    <row r="35718">
      <c r="S35718" s="27"/>
      <c r="T35718" s="27"/>
      <c r="U35718" s="27"/>
    </row>
    <row r="35720">
      <c r="S35720" s="27"/>
      <c r="T35720" s="27"/>
      <c r="U35720" s="27"/>
    </row>
    <row r="35721">
      <c r="S35721" s="27"/>
      <c r="T35721" s="27"/>
      <c r="U35721" s="27"/>
    </row>
    <row r="35723">
      <c r="S35723" s="27"/>
      <c r="T35723" s="27"/>
      <c r="U35723" s="27"/>
    </row>
    <row r="35724">
      <c r="S35724" s="27"/>
      <c r="T35724" s="27"/>
      <c r="U35724" s="27"/>
    </row>
    <row r="35726">
      <c r="S35726" s="27"/>
      <c r="T35726" s="27"/>
      <c r="U35726" s="27"/>
    </row>
    <row r="35727">
      <c r="S35727" s="27"/>
      <c r="T35727" s="27"/>
      <c r="U35727" s="27"/>
    </row>
    <row r="35729">
      <c r="S35729" s="27"/>
      <c r="T35729" s="27"/>
      <c r="U35729" s="27"/>
    </row>
    <row r="35730">
      <c r="S35730" s="27"/>
      <c r="T35730" s="27"/>
      <c r="U35730" s="27"/>
    </row>
    <row r="35732">
      <c r="S35732" s="27"/>
      <c r="T35732" s="27"/>
      <c r="U35732" s="27"/>
    </row>
    <row r="35733">
      <c r="S35733" s="27"/>
      <c r="T35733" s="27"/>
      <c r="U35733" s="27"/>
    </row>
    <row r="35735">
      <c r="S35735" s="27"/>
      <c r="T35735" s="27"/>
      <c r="U35735" s="27"/>
    </row>
    <row r="35736">
      <c r="S35736" s="27"/>
      <c r="T35736" s="27"/>
      <c r="U35736" s="27"/>
    </row>
    <row r="35738">
      <c r="S35738" s="27"/>
      <c r="T35738" s="27"/>
      <c r="U35738" s="27"/>
    </row>
    <row r="35740">
      <c r="S35740" s="27"/>
      <c r="T35740" s="27"/>
      <c r="U35740" s="27"/>
    </row>
    <row r="35741">
      <c r="S35741" s="27"/>
      <c r="T35741" s="27"/>
      <c r="U35741" s="27"/>
    </row>
    <row r="35743">
      <c r="S35743" s="27"/>
    </row>
    <row r="35744">
      <c r="S35744" s="27"/>
      <c r="T35744" s="27"/>
      <c r="U35744" s="27"/>
    </row>
    <row r="35746">
      <c r="S35746" s="27"/>
      <c r="T35746" s="27"/>
      <c r="U35746" s="27"/>
    </row>
    <row r="35747">
      <c r="S35747" s="27"/>
      <c r="T35747" s="27"/>
      <c r="U35747" s="27"/>
    </row>
    <row r="35749">
      <c r="S35749" s="27"/>
      <c r="T35749" s="27"/>
      <c r="U35749" s="27"/>
    </row>
    <row r="35750">
      <c r="S35750" s="27"/>
      <c r="T35750" s="27"/>
      <c r="U35750" s="27"/>
    </row>
    <row r="35752">
      <c r="S35752" s="27"/>
      <c r="T35752" s="27"/>
      <c r="U35752" s="27"/>
    </row>
    <row r="35753">
      <c r="S35753" s="27"/>
      <c r="T35753" s="27"/>
      <c r="U35753" s="27"/>
    </row>
    <row r="35755">
      <c r="S35755" s="27"/>
      <c r="T35755" s="27"/>
      <c r="U35755" s="27"/>
    </row>
    <row r="35756">
      <c r="S35756" s="27"/>
      <c r="T35756" s="27"/>
      <c r="U35756" s="27"/>
    </row>
    <row r="35758">
      <c r="S35758" s="27"/>
      <c r="T35758" s="27"/>
      <c r="U35758" s="27"/>
    </row>
    <row r="35759">
      <c r="S35759" s="27"/>
      <c r="T35759" s="27"/>
      <c r="U35759" s="27"/>
    </row>
    <row r="35761">
      <c r="S35761" s="27"/>
      <c r="T35761" s="27"/>
      <c r="U35761" s="27"/>
    </row>
    <row r="35763">
      <c r="S35763" s="27"/>
      <c r="T35763" s="27"/>
      <c r="U35763" s="27"/>
    </row>
    <row r="35765">
      <c r="S35765" s="27"/>
      <c r="T35765" s="27"/>
      <c r="U35765" s="27"/>
    </row>
    <row r="35767">
      <c r="S35767" s="27"/>
      <c r="T35767" s="27"/>
      <c r="U35767" s="27"/>
    </row>
    <row r="35769">
      <c r="S35769" s="27"/>
      <c r="T35769" s="27"/>
      <c r="U35769" s="27"/>
    </row>
    <row r="35770">
      <c r="S35770" s="27"/>
      <c r="T35770" s="27"/>
      <c r="U35770" s="27"/>
    </row>
    <row r="35772">
      <c r="S35772" s="27"/>
      <c r="T35772" s="27"/>
      <c r="U35772" s="27"/>
    </row>
    <row r="35773">
      <c r="S35773" s="27"/>
      <c r="T35773" s="27"/>
      <c r="U35773" s="27"/>
    </row>
    <row r="35775">
      <c r="S35775" s="27"/>
      <c r="T35775" s="27"/>
      <c r="U35775" s="27"/>
    </row>
    <row r="35776">
      <c r="S35776" s="33"/>
      <c r="T35776" s="33"/>
      <c r="U35776" s="33"/>
    </row>
    <row r="35778">
      <c r="S35778" s="27"/>
      <c r="T35778" s="27"/>
      <c r="U35778" s="27"/>
    </row>
    <row r="35779">
      <c r="S35779" s="27"/>
      <c r="T35779" s="27"/>
      <c r="U35779" s="27"/>
    </row>
    <row r="35782">
      <c r="S35782" s="27"/>
      <c r="T35782" s="27"/>
      <c r="U35782" s="27"/>
    </row>
    <row r="35785">
      <c r="S35785" s="27"/>
      <c r="T35785" s="27"/>
      <c r="U35785" s="27"/>
    </row>
    <row r="35786">
      <c r="S35786" s="27"/>
      <c r="T35786" s="27"/>
      <c r="U35786" s="27"/>
    </row>
    <row r="35788">
      <c r="S35788" s="27"/>
      <c r="U35788" s="27"/>
    </row>
    <row r="35791">
      <c r="S35791" s="27"/>
      <c r="T35791" s="27"/>
      <c r="U35791" s="27"/>
    </row>
    <row r="35794">
      <c r="S35794" s="27"/>
      <c r="T35794" s="27"/>
      <c r="U35794" s="27"/>
    </row>
    <row r="35795">
      <c r="S35795" s="27"/>
      <c r="T35795" s="27"/>
      <c r="U35795" s="27"/>
    </row>
    <row r="35797">
      <c r="S35797" s="27"/>
      <c r="T35797" s="27"/>
      <c r="U35797" s="27"/>
    </row>
    <row r="35798">
      <c r="S35798" s="27"/>
      <c r="T35798" s="27"/>
      <c r="U35798" s="27"/>
    </row>
    <row r="35800">
      <c r="S35800" s="27"/>
      <c r="T35800" s="27"/>
      <c r="U35800" s="27"/>
    </row>
    <row r="35801">
      <c r="S35801" s="27"/>
      <c r="T35801" s="27"/>
      <c r="U35801" s="27"/>
    </row>
    <row r="35803">
      <c r="S35803" s="26"/>
      <c r="T35803" s="26"/>
      <c r="U35803" s="26"/>
    </row>
    <row r="35806">
      <c r="S35806" s="27"/>
      <c r="T35806" s="27"/>
      <c r="U35806" s="27"/>
    </row>
    <row r="35807">
      <c r="S35807" s="27"/>
      <c r="T35807" s="27"/>
      <c r="U35807" s="27"/>
    </row>
    <row r="35809">
      <c r="S35809" s="27"/>
      <c r="T35809" s="27"/>
      <c r="U35809" s="27"/>
    </row>
    <row r="35810">
      <c r="S35810" s="27"/>
      <c r="T35810" s="27"/>
      <c r="U35810" s="27"/>
    </row>
    <row r="35812">
      <c r="S35812" s="27"/>
      <c r="T35812" s="27"/>
      <c r="U35812" s="27"/>
    </row>
    <row r="35813">
      <c r="S35813" s="27"/>
    </row>
    <row r="35815">
      <c r="T35815" s="27"/>
      <c r="U35815" s="27"/>
    </row>
    <row r="35818">
      <c r="S35818" s="26"/>
      <c r="T35818" s="26"/>
      <c r="U35818" s="26"/>
    </row>
    <row r="35821">
      <c r="S35821" s="27"/>
      <c r="T35821" s="27"/>
      <c r="U35821" s="27"/>
    </row>
    <row r="35822">
      <c r="S35822" s="27"/>
      <c r="T35822" s="27"/>
      <c r="U35822" s="27"/>
    </row>
    <row r="35824">
      <c r="S35824" s="27"/>
      <c r="T35824" s="27"/>
      <c r="U35824" s="27"/>
    </row>
    <row r="35825">
      <c r="S35825" s="27"/>
      <c r="T35825" s="27"/>
      <c r="U35825" s="27"/>
    </row>
    <row r="35833">
      <c r="S35833" s="27"/>
      <c r="T35833" s="27"/>
      <c r="U35833" s="27"/>
    </row>
    <row r="35836">
      <c r="S35836" s="27"/>
      <c r="T35836" s="27"/>
      <c r="U35836" s="27"/>
    </row>
    <row r="35837">
      <c r="S35837" s="27"/>
      <c r="T35837" s="27"/>
      <c r="U35837" s="27"/>
    </row>
    <row r="35839">
      <c r="S35839" s="27"/>
      <c r="T35839" s="27"/>
      <c r="U35839" s="27"/>
    </row>
    <row r="35840">
      <c r="S35840" s="27"/>
      <c r="T35840" s="27"/>
      <c r="U35840" s="27"/>
    </row>
    <row r="35842">
      <c r="S35842" s="27"/>
      <c r="T35842" s="27"/>
      <c r="U35842" s="27"/>
    </row>
    <row r="35843">
      <c r="S35843" s="27"/>
      <c r="T35843" s="27"/>
      <c r="U35843" s="27"/>
    </row>
    <row r="35845">
      <c r="S35845" s="27"/>
      <c r="T35845" s="27"/>
      <c r="U35845" s="27"/>
    </row>
    <row r="35846">
      <c r="S35846" s="27"/>
      <c r="T35846" s="27"/>
      <c r="U35846" s="27"/>
    </row>
    <row r="35848">
      <c r="S35848" s="27"/>
      <c r="T35848" s="27"/>
      <c r="U35848" s="27"/>
    </row>
    <row r="35849">
      <c r="S35849" s="27"/>
      <c r="T35849" s="27"/>
      <c r="U35849" s="27"/>
    </row>
    <row r="35851">
      <c r="S35851" s="27"/>
      <c r="T35851" s="27"/>
    </row>
    <row r="35852">
      <c r="S35852" s="27"/>
      <c r="T35852" s="27"/>
    </row>
    <row r="35854">
      <c r="S35854" s="27"/>
      <c r="T35854" s="27"/>
      <c r="U35854" s="27"/>
    </row>
    <row r="35855">
      <c r="S35855" s="27"/>
      <c r="T35855" s="27"/>
      <c r="U35855" s="27"/>
    </row>
    <row r="35857">
      <c r="S35857" s="27"/>
      <c r="T35857" s="27"/>
      <c r="U35857" s="27"/>
    </row>
    <row r="35858">
      <c r="S35858" s="27"/>
      <c r="T35858" s="27"/>
      <c r="U35858" s="27"/>
    </row>
    <row r="35860">
      <c r="S35860" s="27"/>
      <c r="T35860" s="27"/>
      <c r="U35860" s="27"/>
    </row>
    <row r="35861">
      <c r="S35861" s="27"/>
      <c r="T35861" s="27"/>
      <c r="U35861" s="27"/>
    </row>
    <row r="35863">
      <c r="S35863" s="27"/>
      <c r="T35863" s="27"/>
      <c r="U35863" s="27"/>
    </row>
    <row r="35864">
      <c r="S35864" s="27"/>
      <c r="T35864" s="27"/>
      <c r="U35864" s="27"/>
    </row>
    <row r="35866">
      <c r="S35866" s="27"/>
      <c r="T35866" s="27"/>
      <c r="U35866" s="27"/>
    </row>
    <row r="35867">
      <c r="S35867" s="27"/>
      <c r="T35867" s="27"/>
      <c r="U35867" s="27"/>
    </row>
    <row r="35869">
      <c r="S35869" s="27"/>
      <c r="T35869" s="27"/>
      <c r="U35869" s="27"/>
    </row>
    <row r="35870">
      <c r="S35870" s="27"/>
      <c r="T35870" s="27"/>
      <c r="U35870" s="27"/>
    </row>
    <row r="35872">
      <c r="S35872" s="27"/>
      <c r="T35872" s="27"/>
      <c r="U35872" s="27"/>
    </row>
    <row r="35873">
      <c r="S35873" s="27"/>
      <c r="T35873" s="27"/>
      <c r="U35873" s="27"/>
    </row>
    <row r="35875">
      <c r="S35875" s="27"/>
      <c r="T35875" s="27"/>
      <c r="U35875" s="27"/>
    </row>
    <row r="35876">
      <c r="S35876" s="27"/>
      <c r="T35876" s="27"/>
      <c r="U35876" s="27"/>
    </row>
    <row r="35878">
      <c r="S35878" s="27"/>
      <c r="T35878" s="27"/>
      <c r="U35878" s="27"/>
    </row>
    <row r="35879">
      <c r="S35879" s="27"/>
      <c r="T35879" s="27"/>
      <c r="U35879" s="27"/>
    </row>
    <row r="35881">
      <c r="S35881" s="27"/>
      <c r="T35881" s="27"/>
      <c r="U35881" s="27"/>
    </row>
    <row r="35882">
      <c r="S35882" s="27"/>
      <c r="T35882" s="27"/>
      <c r="U35882" s="27"/>
    </row>
    <row r="35884">
      <c r="S35884" s="27"/>
      <c r="T35884" s="27"/>
      <c r="U35884" s="27"/>
    </row>
    <row r="35885">
      <c r="S35885" s="27"/>
      <c r="T35885" s="27"/>
      <c r="U35885" s="27"/>
    </row>
    <row r="35887">
      <c r="S35887" s="27"/>
      <c r="T35887" s="27"/>
      <c r="U35887" s="27"/>
    </row>
    <row r="35888">
      <c r="S35888" s="27"/>
      <c r="T35888" s="27"/>
      <c r="U35888" s="27"/>
    </row>
    <row r="35890">
      <c r="S35890" s="27"/>
      <c r="T35890" s="27"/>
      <c r="U35890" s="27"/>
    </row>
    <row r="35891">
      <c r="S35891" s="27"/>
      <c r="T35891" s="27"/>
      <c r="U35891" s="27"/>
    </row>
    <row r="35893">
      <c r="S35893" s="27"/>
      <c r="T35893" s="27"/>
      <c r="U35893" s="27"/>
    </row>
    <row r="35894">
      <c r="S35894" s="27"/>
      <c r="T35894" s="27"/>
      <c r="U35894" s="27"/>
    </row>
    <row r="35896">
      <c r="S35896" s="27"/>
      <c r="T35896" s="27"/>
      <c r="U35896" s="27"/>
    </row>
    <row r="35897">
      <c r="S35897" s="27"/>
      <c r="T35897" s="27"/>
      <c r="U35897" s="27"/>
    </row>
    <row r="35899">
      <c r="S35899" s="27"/>
      <c r="T35899" s="27"/>
      <c r="U35899" s="27"/>
    </row>
    <row r="35900">
      <c r="S35900" s="27"/>
      <c r="T35900" s="27"/>
      <c r="U35900" s="27"/>
    </row>
    <row r="35902">
      <c r="S35902" s="27"/>
      <c r="T35902" s="27"/>
      <c r="U35902" s="27"/>
    </row>
    <row r="35903">
      <c r="S35903" s="27"/>
      <c r="T35903" s="27"/>
      <c r="U35903" s="27"/>
    </row>
    <row r="35905">
      <c r="S35905" s="27"/>
      <c r="T35905" s="27"/>
      <c r="U35905" s="27"/>
    </row>
    <row r="35906">
      <c r="S35906" s="27"/>
      <c r="T35906" s="27"/>
      <c r="U35906" s="27"/>
    </row>
    <row r="35908">
      <c r="S35908" s="27"/>
      <c r="U35908" s="27"/>
    </row>
    <row r="35909">
      <c r="S35909" s="27"/>
      <c r="U35909" s="27"/>
    </row>
    <row r="35911">
      <c r="S35911" s="27"/>
      <c r="T35911" s="27"/>
      <c r="U35911" s="27"/>
    </row>
    <row r="35912">
      <c r="S35912" s="27"/>
      <c r="T35912" s="27"/>
      <c r="U35912" s="27"/>
    </row>
    <row r="35914">
      <c r="S35914" s="27"/>
      <c r="T35914" s="27"/>
      <c r="U35914" s="27"/>
    </row>
    <row r="35915">
      <c r="T35915" s="27"/>
      <c r="U35915" s="27"/>
    </row>
    <row r="35917">
      <c r="S35917" s="33"/>
      <c r="T35917" s="27"/>
      <c r="U35917" s="27"/>
    </row>
    <row r="35918">
      <c r="S35918" s="27"/>
      <c r="T35918" s="27"/>
    </row>
    <row r="35920">
      <c r="S35920" s="27"/>
      <c r="T35920" s="27"/>
      <c r="U35920" s="27"/>
    </row>
    <row r="35921">
      <c r="S35921" s="27"/>
      <c r="T35921" s="27"/>
      <c r="U35921" s="27"/>
    </row>
    <row r="35923">
      <c r="S35923" s="27"/>
      <c r="T35923" s="27"/>
      <c r="U35923" s="27"/>
    </row>
    <row r="35924">
      <c r="S35924" s="26"/>
      <c r="T35924" s="26"/>
      <c r="U35924" s="26"/>
    </row>
    <row r="35926">
      <c r="S35926" s="27"/>
      <c r="T35926" s="27"/>
      <c r="U35926" s="27"/>
    </row>
    <row r="35927">
      <c r="S35927" s="27"/>
      <c r="T35927" s="27"/>
      <c r="U35927" s="27"/>
    </row>
    <row r="35929">
      <c r="S35929" s="27"/>
      <c r="T35929" s="27"/>
      <c r="U35929" s="27"/>
    </row>
    <row r="35930">
      <c r="S35930" s="27"/>
      <c r="T35930" s="27"/>
      <c r="U35930" s="27"/>
    </row>
    <row r="35932">
      <c r="S35932" s="27"/>
      <c r="T35932" s="27"/>
      <c r="U35932" s="27"/>
    </row>
    <row r="35933">
      <c r="S35933" s="27"/>
      <c r="T35933" s="27"/>
      <c r="U35933" s="27"/>
    </row>
    <row r="35935">
      <c r="S35935" s="26"/>
      <c r="T35935" s="26"/>
      <c r="U35935" s="34"/>
    </row>
    <row r="35938">
      <c r="S35938" s="26"/>
      <c r="T35938" s="26"/>
      <c r="U35938" s="26"/>
    </row>
    <row r="35941">
      <c r="S35941" s="27"/>
      <c r="T35941" s="27"/>
      <c r="U35941" s="27"/>
    </row>
    <row r="35945">
      <c r="S35945" s="27"/>
      <c r="T35945" s="26"/>
      <c r="U35945" s="26"/>
    </row>
    <row r="35948">
      <c r="S35948" s="27"/>
      <c r="T35948" s="27"/>
      <c r="U35948" s="27"/>
    </row>
    <row r="35951">
      <c r="S35951" s="27"/>
      <c r="T35951" s="27"/>
      <c r="U35951" s="27"/>
    </row>
    <row r="35952">
      <c r="S35952" s="27"/>
      <c r="T35952" s="27"/>
      <c r="U35952" s="27"/>
    </row>
    <row r="35954">
      <c r="S35954" s="27"/>
      <c r="T35954" s="27"/>
      <c r="U35954" s="27"/>
    </row>
    <row r="35955">
      <c r="S35955" s="27"/>
      <c r="T35955" s="27"/>
      <c r="U35955" s="27"/>
    </row>
    <row r="35957">
      <c r="S35957" s="27"/>
      <c r="T35957" s="27"/>
      <c r="U35957" s="27"/>
    </row>
    <row r="35958">
      <c r="U35958" s="27"/>
    </row>
    <row r="35960">
      <c r="S35960" s="27"/>
      <c r="T35960" s="27"/>
      <c r="U35960" s="27"/>
    </row>
    <row r="35961">
      <c r="S35961" s="26"/>
      <c r="T35961" s="26"/>
      <c r="U35961" s="26"/>
    </row>
    <row r="35963">
      <c r="S35963" s="27"/>
      <c r="T35963" s="27"/>
      <c r="U35963" s="27"/>
    </row>
    <row r="35964">
      <c r="S35964" s="27"/>
      <c r="T35964" s="27"/>
      <c r="U35964" s="27"/>
    </row>
    <row r="35969">
      <c r="S35969" s="27"/>
      <c r="T35969" s="27"/>
      <c r="U35969" s="27"/>
    </row>
    <row r="35970">
      <c r="S35970" s="27"/>
      <c r="T35970" s="27"/>
      <c r="U35970" s="27"/>
    </row>
    <row r="35972">
      <c r="S35972" s="33"/>
      <c r="T35972" s="27"/>
      <c r="U35972" s="27"/>
    </row>
    <row r="35973">
      <c r="T35973" s="27"/>
      <c r="U35973" s="27"/>
    </row>
    <row r="35975">
      <c r="S35975" s="27"/>
      <c r="T35975" s="27"/>
      <c r="U35975" s="27"/>
    </row>
    <row r="35976">
      <c r="S35976" s="27"/>
      <c r="T35976" s="27"/>
      <c r="U35976" s="27"/>
    </row>
    <row r="35978">
      <c r="S35978" s="33"/>
      <c r="T35978" s="33"/>
      <c r="U35978" s="33"/>
    </row>
    <row r="35981">
      <c r="S35981" s="27"/>
      <c r="T35981" s="27"/>
      <c r="U35981" s="27"/>
    </row>
    <row r="35982">
      <c r="S35982" s="27"/>
      <c r="T35982" s="27"/>
      <c r="U35982" s="27"/>
    </row>
    <row r="35984">
      <c r="S35984" s="27"/>
      <c r="T35984" s="27"/>
      <c r="U35984" s="27"/>
    </row>
    <row r="35987">
      <c r="S35987" s="27"/>
      <c r="T35987" s="27"/>
      <c r="U35987" s="27"/>
    </row>
    <row r="35988">
      <c r="S35988" s="33"/>
      <c r="T35988" s="33"/>
      <c r="U35988" s="33"/>
    </row>
    <row r="35993">
      <c r="S35993" s="27"/>
      <c r="T35993" s="27"/>
      <c r="U35993" s="27"/>
    </row>
    <row r="35994">
      <c r="S35994" s="27"/>
      <c r="T35994" s="27"/>
      <c r="U35994" s="27"/>
    </row>
    <row r="35996">
      <c r="S35996" s="27"/>
      <c r="T35996" s="27"/>
      <c r="U35996" s="27"/>
    </row>
    <row r="35997">
      <c r="S35997" s="27"/>
      <c r="T35997" s="27"/>
      <c r="U35997" s="27"/>
    </row>
    <row r="35999">
      <c r="S35999" s="27"/>
      <c r="T35999" s="27"/>
      <c r="U35999" s="27"/>
    </row>
    <row r="36000">
      <c r="S36000" s="27"/>
      <c r="T36000" s="27"/>
      <c r="U36000" s="27"/>
    </row>
    <row r="36002">
      <c r="S36002" s="27"/>
      <c r="T36002" s="27"/>
      <c r="U36002" s="27"/>
    </row>
    <row r="36003">
      <c r="S36003" s="27"/>
      <c r="T36003" s="27"/>
      <c r="U36003" s="27"/>
    </row>
    <row r="36005">
      <c r="T36005" s="27"/>
    </row>
    <row r="36008">
      <c r="S36008" s="27"/>
      <c r="T36008" s="27"/>
      <c r="U36008" s="27"/>
    </row>
    <row r="36009">
      <c r="S36009" s="27"/>
      <c r="T36009" s="27"/>
      <c r="U36009" s="27"/>
    </row>
    <row r="36011">
      <c r="S36011" s="27"/>
      <c r="T36011" s="27"/>
      <c r="U36011" s="27"/>
    </row>
    <row r="36012">
      <c r="S36012" s="27"/>
      <c r="T36012" s="27"/>
      <c r="U36012" s="27"/>
    </row>
    <row r="36014">
      <c r="S36014" s="27"/>
      <c r="T36014" s="27"/>
    </row>
    <row r="36015">
      <c r="U36015" s="26"/>
    </row>
    <row r="36017">
      <c r="S36017" s="27"/>
      <c r="T36017" s="27"/>
      <c r="U36017" s="27"/>
    </row>
    <row r="36018">
      <c r="S36018" s="27"/>
      <c r="T36018" s="27"/>
      <c r="U36018" s="27"/>
    </row>
    <row r="36020">
      <c r="S36020" s="27"/>
      <c r="T36020" s="27"/>
      <c r="U36020" s="27"/>
    </row>
    <row r="36021">
      <c r="S36021" s="27"/>
      <c r="T36021" s="27"/>
      <c r="U36021" s="27"/>
    </row>
    <row r="36024">
      <c r="T36024" s="27"/>
      <c r="U36024" s="27"/>
    </row>
    <row r="36025">
      <c r="T36025" s="26"/>
      <c r="U36025" s="26"/>
    </row>
    <row r="36027">
      <c r="S36027" s="27"/>
      <c r="T36027" s="27"/>
      <c r="U36027" s="27"/>
    </row>
    <row r="36028">
      <c r="S36028" s="27"/>
      <c r="T36028" s="27"/>
      <c r="U36028" s="27"/>
    </row>
    <row r="36030">
      <c r="S36030" s="26"/>
      <c r="T36030" s="26"/>
      <c r="U36030" s="26"/>
    </row>
    <row r="36033">
      <c r="S36033" s="27"/>
      <c r="T36033" s="27"/>
      <c r="U36033" s="27"/>
    </row>
    <row r="36036">
      <c r="S36036" s="27"/>
      <c r="T36036" s="27"/>
      <c r="U36036" s="27"/>
    </row>
    <row r="36037">
      <c r="S36037" s="27"/>
      <c r="T36037" s="27"/>
      <c r="U36037" s="27"/>
    </row>
    <row r="36039">
      <c r="S36039" s="27"/>
      <c r="T36039" s="27"/>
      <c r="U36039" s="27"/>
    </row>
    <row r="36040">
      <c r="S36040" s="27"/>
      <c r="T36040" s="27"/>
      <c r="U36040" s="27"/>
    </row>
    <row r="36042">
      <c r="S36042" s="27"/>
      <c r="T36042" s="27"/>
      <c r="U36042" s="27"/>
    </row>
    <row r="36043">
      <c r="S36043" s="27"/>
      <c r="T36043" s="27"/>
      <c r="U36043" s="27"/>
    </row>
    <row r="36045">
      <c r="S36045" s="26"/>
    </row>
    <row r="36048">
      <c r="S36048" s="27"/>
      <c r="T36048" s="27"/>
      <c r="U36048" s="27"/>
    </row>
    <row r="36049">
      <c r="S36049" s="27"/>
      <c r="T36049" s="27"/>
      <c r="U36049" s="27"/>
    </row>
    <row r="36051">
      <c r="S36051" s="27"/>
      <c r="T36051" s="27"/>
      <c r="U36051" s="27"/>
    </row>
    <row r="36052">
      <c r="S36052" s="27"/>
      <c r="T36052" s="27"/>
      <c r="U36052" s="27"/>
    </row>
    <row r="36054">
      <c r="S36054" s="27"/>
      <c r="T36054" s="27"/>
      <c r="U36054" s="27"/>
    </row>
    <row r="36055">
      <c r="S36055" s="27"/>
      <c r="T36055" s="27"/>
      <c r="U36055" s="27"/>
    </row>
    <row r="36057">
      <c r="S36057" s="27"/>
      <c r="T36057" s="27"/>
      <c r="U36057" s="27"/>
    </row>
    <row r="36058">
      <c r="S36058" s="27"/>
      <c r="T36058" s="27"/>
      <c r="U36058" s="27"/>
    </row>
    <row r="36060">
      <c r="S36060" s="27"/>
      <c r="T36060" s="27"/>
      <c r="U36060" s="27"/>
    </row>
    <row r="36061">
      <c r="S36061" s="27"/>
      <c r="T36061" s="27"/>
      <c r="U36061" s="27"/>
    </row>
    <row r="36063">
      <c r="S36063" s="27"/>
      <c r="T36063" s="27"/>
      <c r="U36063" s="27"/>
    </row>
    <row r="36064">
      <c r="S36064" s="27"/>
      <c r="T36064" s="27"/>
      <c r="U36064" s="27"/>
    </row>
    <row r="36066">
      <c r="S36066" s="27"/>
      <c r="T36066" s="27"/>
      <c r="U36066" s="27"/>
    </row>
    <row r="36067">
      <c r="S36067" s="27"/>
      <c r="T36067" s="27"/>
      <c r="U36067" s="27"/>
    </row>
    <row r="36069">
      <c r="S36069" s="27"/>
      <c r="T36069" s="27"/>
      <c r="U36069" s="27"/>
    </row>
    <row r="36070">
      <c r="S36070" s="27"/>
      <c r="T36070" s="27"/>
      <c r="U36070" s="27"/>
    </row>
    <row r="36072">
      <c r="S36072" s="27"/>
      <c r="T36072" s="27"/>
      <c r="U36072" s="27"/>
    </row>
    <row r="36073">
      <c r="S36073" s="27"/>
      <c r="T36073" s="27"/>
      <c r="U36073" s="27"/>
    </row>
    <row r="36075">
      <c r="S36075" s="27"/>
      <c r="T36075" s="27"/>
      <c r="U36075" s="27"/>
    </row>
    <row r="36076">
      <c r="S36076" s="27"/>
      <c r="T36076" s="27"/>
      <c r="U36076" s="27"/>
    </row>
    <row r="36078">
      <c r="S36078" s="27"/>
      <c r="T36078" s="27"/>
      <c r="U36078" s="27"/>
    </row>
    <row r="36079">
      <c r="S36079" s="27"/>
      <c r="T36079" s="27"/>
      <c r="U36079" s="27"/>
    </row>
    <row r="36081">
      <c r="S36081" s="27"/>
      <c r="T36081" s="27"/>
      <c r="U36081" s="27"/>
    </row>
    <row r="36082">
      <c r="S36082" s="27"/>
      <c r="T36082" s="27"/>
      <c r="U36082" s="27"/>
    </row>
    <row r="36084">
      <c r="S36084" s="27"/>
      <c r="T36084" s="27"/>
      <c r="U36084" s="27"/>
    </row>
    <row r="36085">
      <c r="S36085" s="27"/>
      <c r="T36085" s="27"/>
      <c r="U36085" s="27"/>
    </row>
    <row r="36087">
      <c r="S36087" s="27"/>
      <c r="T36087" s="27"/>
      <c r="U36087" s="27"/>
    </row>
    <row r="36088">
      <c r="S36088" s="27"/>
      <c r="T36088" s="27"/>
      <c r="U36088" s="27"/>
    </row>
    <row r="36090">
      <c r="S36090" s="27"/>
      <c r="T36090" s="27"/>
      <c r="U36090" s="27"/>
    </row>
    <row r="36091">
      <c r="S36091" s="27"/>
      <c r="T36091" s="27"/>
      <c r="U36091" s="27"/>
    </row>
    <row r="36093">
      <c r="S36093" s="27"/>
      <c r="T36093" s="27"/>
      <c r="U36093" s="27"/>
    </row>
    <row r="36094">
      <c r="S36094" s="27"/>
      <c r="T36094" s="27"/>
      <c r="U36094" s="27"/>
    </row>
    <row r="36096">
      <c r="S36096" s="27"/>
      <c r="T36096" s="27"/>
      <c r="U36096" s="27"/>
    </row>
    <row r="36097">
      <c r="S36097" s="27"/>
      <c r="T36097" s="27"/>
      <c r="U36097" s="27"/>
    </row>
    <row r="36099">
      <c r="S36099" s="27"/>
      <c r="T36099" s="27"/>
      <c r="U36099" s="27"/>
    </row>
    <row r="36100">
      <c r="S36100" s="27"/>
      <c r="T36100" s="27"/>
      <c r="U36100" s="27"/>
    </row>
    <row r="36102">
      <c r="S36102" s="27"/>
      <c r="T36102" s="27"/>
      <c r="U36102" s="27"/>
    </row>
    <row r="36103">
      <c r="S36103" s="27"/>
      <c r="T36103" s="27"/>
      <c r="U36103" s="27"/>
    </row>
    <row r="36105">
      <c r="S36105" s="27"/>
      <c r="T36105" s="27"/>
      <c r="U36105" s="27"/>
    </row>
    <row r="36106">
      <c r="S36106" s="27"/>
      <c r="T36106" s="27"/>
      <c r="U36106" s="27"/>
    </row>
    <row r="36108">
      <c r="S36108" s="27"/>
      <c r="T36108" s="27"/>
      <c r="U36108" s="27"/>
    </row>
    <row r="36109">
      <c r="S36109" s="27"/>
      <c r="T36109" s="27"/>
      <c r="U36109" s="27"/>
    </row>
    <row r="36111">
      <c r="S36111" s="27"/>
      <c r="T36111" s="27"/>
      <c r="U36111" s="27"/>
    </row>
    <row r="36112">
      <c r="S36112" s="27"/>
      <c r="T36112" s="27"/>
      <c r="U36112" s="27"/>
    </row>
    <row r="36114">
      <c r="S36114" s="27"/>
      <c r="T36114" s="27"/>
      <c r="U36114" s="27"/>
    </row>
    <row r="36115">
      <c r="S36115" s="27"/>
      <c r="T36115" s="27"/>
      <c r="U36115" s="27"/>
    </row>
    <row r="36117">
      <c r="S36117" s="27"/>
      <c r="T36117" s="27"/>
      <c r="U36117" s="27"/>
    </row>
    <row r="36118">
      <c r="S36118" s="27"/>
      <c r="T36118" s="27"/>
      <c r="U36118" s="27"/>
    </row>
    <row r="36120">
      <c r="S36120" s="27"/>
      <c r="T36120" s="27"/>
      <c r="U36120" s="27"/>
    </row>
    <row r="36121">
      <c r="S36121" s="27"/>
      <c r="T36121" s="27"/>
      <c r="U36121" s="27"/>
    </row>
    <row r="36123">
      <c r="S36123" s="27"/>
      <c r="T36123" s="27"/>
      <c r="U36123" s="27"/>
    </row>
    <row r="36124">
      <c r="S36124" s="27"/>
      <c r="T36124" s="27"/>
      <c r="U36124" s="27"/>
    </row>
    <row r="36126">
      <c r="S36126" s="27"/>
      <c r="T36126" s="27"/>
      <c r="U36126" s="27"/>
    </row>
    <row r="36127">
      <c r="S36127" s="27"/>
      <c r="T36127" s="27"/>
      <c r="U36127" s="27"/>
    </row>
    <row r="36129">
      <c r="S36129" s="27"/>
      <c r="T36129" s="27"/>
      <c r="U36129" s="27"/>
    </row>
    <row r="36130">
      <c r="S36130" s="27"/>
      <c r="T36130" s="27"/>
      <c r="U36130" s="27"/>
    </row>
    <row r="36132">
      <c r="S36132" s="27"/>
      <c r="T36132" s="27"/>
      <c r="U36132" s="27"/>
    </row>
    <row r="36133">
      <c r="S36133" s="27"/>
      <c r="T36133" s="27"/>
      <c r="U36133" s="27"/>
    </row>
    <row r="36135">
      <c r="S36135" s="27"/>
      <c r="T36135" s="27"/>
      <c r="U36135" s="27"/>
    </row>
    <row r="36136">
      <c r="S36136" s="27"/>
      <c r="T36136" s="27"/>
      <c r="U36136" s="27"/>
    </row>
    <row r="36138">
      <c r="S36138" s="27"/>
      <c r="T36138" s="27"/>
      <c r="U36138" s="27"/>
    </row>
    <row r="36139">
      <c r="S36139" s="27"/>
      <c r="T36139" s="27"/>
      <c r="U36139" s="27"/>
    </row>
    <row r="36141">
      <c r="S36141" s="27"/>
      <c r="T36141" s="27"/>
      <c r="U36141" s="27"/>
    </row>
    <row r="36143">
      <c r="S36143" s="27"/>
      <c r="T36143" s="27"/>
      <c r="U36143" s="27"/>
    </row>
    <row r="36144">
      <c r="S36144" s="27"/>
      <c r="T36144" s="27"/>
      <c r="U36144" s="27"/>
    </row>
    <row r="36146">
      <c r="S36146" s="27"/>
      <c r="T36146" s="27"/>
      <c r="U36146" s="27"/>
    </row>
    <row r="36147">
      <c r="S36147" s="27"/>
      <c r="T36147" s="27"/>
      <c r="U36147" s="27"/>
    </row>
    <row r="36149">
      <c r="S36149" s="27"/>
      <c r="T36149" s="27"/>
      <c r="U36149" s="27"/>
    </row>
    <row r="36150">
      <c r="S36150" s="27"/>
      <c r="T36150" s="27"/>
      <c r="U36150" s="27"/>
    </row>
    <row r="36152">
      <c r="S36152" s="27"/>
      <c r="T36152" s="27"/>
      <c r="U36152" s="27"/>
    </row>
    <row r="36153">
      <c r="S36153" s="27"/>
      <c r="T36153" s="27"/>
      <c r="U36153" s="27"/>
    </row>
    <row r="36155">
      <c r="S36155" s="27"/>
      <c r="T36155" s="27"/>
      <c r="U36155" s="27"/>
    </row>
    <row r="36156">
      <c r="S36156" s="27"/>
      <c r="T36156" s="27"/>
      <c r="U36156" s="27"/>
    </row>
    <row r="36158">
      <c r="S36158" s="27"/>
      <c r="T36158" s="27"/>
      <c r="U36158" s="27"/>
    </row>
    <row r="36159">
      <c r="S36159" s="27"/>
      <c r="T36159" s="27"/>
      <c r="U36159" s="27"/>
    </row>
    <row r="36161">
      <c r="S36161" s="27"/>
      <c r="T36161" s="27"/>
      <c r="U36161" s="27"/>
    </row>
    <row r="36162">
      <c r="S36162" s="27"/>
      <c r="T36162" s="27"/>
      <c r="U36162" s="27"/>
    </row>
    <row r="36164">
      <c r="S36164" s="27"/>
      <c r="T36164" s="27"/>
      <c r="U36164" s="27"/>
    </row>
    <row r="36166">
      <c r="S36166" s="27"/>
      <c r="T36166" s="27"/>
      <c r="U36166" s="27"/>
    </row>
    <row r="36168">
      <c r="S36168" s="27"/>
      <c r="T36168" s="27"/>
      <c r="U36168" s="27"/>
    </row>
    <row r="36170">
      <c r="S36170" s="27"/>
      <c r="T36170" s="27"/>
      <c r="U36170" s="27"/>
    </row>
    <row r="36172">
      <c r="S36172" s="27"/>
      <c r="T36172" s="27"/>
      <c r="U36172" s="27"/>
    </row>
    <row r="36173">
      <c r="S36173" s="27"/>
      <c r="T36173" s="27"/>
      <c r="U36173" s="27"/>
    </row>
    <row r="36175">
      <c r="S36175" s="27"/>
      <c r="T36175" s="27"/>
      <c r="U36175" s="27"/>
    </row>
    <row r="36176">
      <c r="S36176" s="27"/>
      <c r="T36176" s="27"/>
      <c r="U36176" s="27"/>
    </row>
    <row r="36178">
      <c r="S36178" s="27"/>
      <c r="T36178" s="27"/>
      <c r="U36178" s="27"/>
    </row>
    <row r="36179">
      <c r="S36179" s="33"/>
      <c r="T36179" s="33"/>
      <c r="U36179" s="33"/>
    </row>
    <row r="36181">
      <c r="S36181" s="27"/>
      <c r="T36181" s="27"/>
      <c r="U36181" s="27"/>
    </row>
    <row r="36182">
      <c r="S36182" s="27"/>
      <c r="T36182" s="27"/>
      <c r="U36182" s="27"/>
    </row>
    <row r="36185">
      <c r="S36185" s="27"/>
      <c r="T36185" s="27"/>
      <c r="U36185" s="27"/>
    </row>
    <row r="36187">
      <c r="S36187" s="27"/>
      <c r="T36187" s="27"/>
      <c r="U36187" s="27"/>
    </row>
    <row r="36188">
      <c r="S36188" s="27"/>
      <c r="T36188" s="27"/>
      <c r="U36188" s="27"/>
    </row>
    <row r="36190">
      <c r="S36190" s="27"/>
      <c r="T36190" s="27"/>
      <c r="U36190" s="27"/>
    </row>
    <row r="36191">
      <c r="S36191" s="27"/>
      <c r="T36191" s="27"/>
      <c r="U36191" s="27"/>
    </row>
    <row r="36193">
      <c r="S36193" s="26"/>
      <c r="T36193" s="26"/>
      <c r="U36193" s="26"/>
    </row>
    <row r="36196">
      <c r="S36196" s="33"/>
      <c r="T36196" s="33"/>
      <c r="U36196" s="27"/>
    </row>
    <row r="36197">
      <c r="S36197" s="26"/>
      <c r="T36197" s="26"/>
    </row>
    <row r="36199">
      <c r="S36199" s="27"/>
      <c r="T36199" s="27"/>
      <c r="U36199" s="27"/>
    </row>
    <row r="36200">
      <c r="S36200" s="27"/>
      <c r="T36200" s="27"/>
      <c r="U36200" s="27"/>
    </row>
    <row r="36202">
      <c r="S36202" s="27"/>
      <c r="T36202" s="27"/>
      <c r="U36202" s="27"/>
    </row>
    <row r="36203">
      <c r="S36203" s="27"/>
      <c r="T36203" s="27"/>
      <c r="U36203" s="27"/>
    </row>
    <row r="36205">
      <c r="S36205" s="27"/>
      <c r="T36205" s="27"/>
      <c r="U36205" s="27"/>
    </row>
    <row r="36206">
      <c r="S36206" s="27"/>
      <c r="T36206" s="27"/>
      <c r="U36206" s="27"/>
    </row>
    <row r="36208">
      <c r="S36208" s="26"/>
      <c r="T36208" s="26"/>
      <c r="U36208" s="26"/>
    </row>
    <row r="36211">
      <c r="S36211" s="27"/>
      <c r="T36211" s="27"/>
      <c r="U36211" s="27"/>
    </row>
    <row r="36212">
      <c r="S36212" s="27"/>
      <c r="T36212" s="27"/>
      <c r="U36212" s="27"/>
    </row>
    <row r="36214">
      <c r="S36214" s="27"/>
      <c r="T36214" s="27"/>
      <c r="U36214" s="27"/>
    </row>
    <row r="36215">
      <c r="S36215" s="27"/>
      <c r="T36215" s="27"/>
      <c r="U36215" s="27"/>
    </row>
    <row r="36217">
      <c r="S36217" s="27"/>
      <c r="T36217" s="27"/>
      <c r="U36217" s="27"/>
    </row>
    <row r="36218">
      <c r="S36218" s="27"/>
      <c r="T36218" s="27"/>
      <c r="U36218" s="27"/>
    </row>
    <row r="36220">
      <c r="S36220" s="27"/>
      <c r="T36220" s="27"/>
      <c r="U36220" s="27"/>
    </row>
    <row r="36223">
      <c r="S36223" s="26"/>
      <c r="T36223" s="26"/>
      <c r="U36223" s="26"/>
    </row>
    <row r="36226">
      <c r="S36226" s="27"/>
      <c r="T36226" s="27"/>
      <c r="U36226" s="27"/>
    </row>
    <row r="36227">
      <c r="S36227" s="27"/>
      <c r="T36227" s="27"/>
      <c r="U36227" s="27"/>
    </row>
    <row r="36229">
      <c r="S36229" s="27"/>
      <c r="T36229" s="27"/>
      <c r="U36229" s="27"/>
    </row>
    <row r="36230">
      <c r="S36230" s="27"/>
      <c r="T36230" s="27"/>
      <c r="U36230" s="27"/>
    </row>
    <row r="36238">
      <c r="S36238" s="27"/>
      <c r="T36238" s="27"/>
      <c r="U36238" s="27"/>
    </row>
    <row r="36241">
      <c r="S36241" s="27"/>
      <c r="T36241" s="27"/>
      <c r="U36241" s="27"/>
    </row>
    <row r="36242">
      <c r="S36242" s="27"/>
      <c r="T36242" s="27"/>
      <c r="U36242" s="27"/>
    </row>
    <row r="36244">
      <c r="S36244" s="27"/>
      <c r="T36244" s="27"/>
      <c r="U36244" s="27"/>
    </row>
    <row r="36245">
      <c r="S36245" s="27"/>
      <c r="T36245" s="27"/>
      <c r="U36245" s="27"/>
    </row>
    <row r="36247">
      <c r="S36247" s="27"/>
      <c r="T36247" s="27"/>
      <c r="U36247" s="27"/>
    </row>
    <row r="36248">
      <c r="S36248" s="27"/>
      <c r="T36248" s="27"/>
      <c r="U36248" s="27"/>
    </row>
    <row r="36250">
      <c r="S36250" s="27"/>
      <c r="T36250" s="27"/>
      <c r="U36250" s="27"/>
    </row>
    <row r="36251">
      <c r="S36251" s="27"/>
      <c r="T36251" s="27"/>
      <c r="U36251" s="27"/>
    </row>
    <row r="36253">
      <c r="S36253" s="27"/>
      <c r="T36253" s="27"/>
      <c r="U36253" s="27"/>
    </row>
    <row r="36254">
      <c r="S36254" s="27"/>
      <c r="T36254" s="27"/>
      <c r="U36254" s="27"/>
    </row>
    <row r="36256">
      <c r="S36256" s="27"/>
      <c r="T36256" s="27"/>
      <c r="U36256" s="27"/>
    </row>
    <row r="36257">
      <c r="S36257" s="27"/>
      <c r="T36257" s="27"/>
      <c r="U36257" s="27"/>
    </row>
    <row r="36259">
      <c r="S36259" s="27"/>
      <c r="T36259" s="27"/>
      <c r="U36259" s="27"/>
    </row>
    <row r="36260">
      <c r="S36260" s="27"/>
      <c r="T36260" s="27"/>
      <c r="U36260" s="27"/>
    </row>
    <row r="36262">
      <c r="S36262" s="27"/>
      <c r="T36262" s="27"/>
      <c r="U36262" s="27"/>
    </row>
    <row r="36263">
      <c r="S36263" s="27"/>
      <c r="T36263" s="27"/>
      <c r="U36263" s="27"/>
    </row>
    <row r="36265">
      <c r="S36265" s="27"/>
      <c r="T36265" s="27"/>
      <c r="U36265" s="27"/>
    </row>
    <row r="36266">
      <c r="S36266" s="27"/>
      <c r="T36266" s="27"/>
      <c r="U36266" s="27"/>
    </row>
    <row r="36268">
      <c r="S36268" s="27"/>
      <c r="T36268" s="27"/>
      <c r="U36268" s="27"/>
    </row>
    <row r="36269">
      <c r="S36269" s="27"/>
      <c r="T36269" s="27"/>
      <c r="U36269" s="27"/>
    </row>
    <row r="36271">
      <c r="S36271" s="27"/>
      <c r="T36271" s="27"/>
      <c r="U36271" s="27"/>
    </row>
    <row r="36272">
      <c r="S36272" s="27"/>
      <c r="T36272" s="27"/>
      <c r="U36272" s="27"/>
    </row>
    <row r="36274">
      <c r="S36274" s="27"/>
      <c r="T36274" s="27"/>
      <c r="U36274" s="27"/>
    </row>
    <row r="36275">
      <c r="S36275" s="27"/>
      <c r="T36275" s="27"/>
      <c r="U36275" s="27"/>
    </row>
    <row r="36277">
      <c r="S36277" s="27"/>
      <c r="T36277" s="27"/>
      <c r="U36277" s="27"/>
    </row>
    <row r="36278">
      <c r="S36278" s="27"/>
      <c r="T36278" s="27"/>
      <c r="U36278" s="27"/>
    </row>
    <row r="36280">
      <c r="S36280" s="27"/>
      <c r="T36280" s="27"/>
      <c r="U36280" s="27"/>
    </row>
    <row r="36281">
      <c r="S36281" s="27"/>
      <c r="T36281" s="27"/>
      <c r="U36281" s="27"/>
    </row>
    <row r="36283">
      <c r="S36283" s="27"/>
      <c r="T36283" s="27"/>
      <c r="U36283" s="27"/>
    </row>
    <row r="36284">
      <c r="S36284" s="27"/>
      <c r="T36284" s="27"/>
      <c r="U36284" s="27"/>
    </row>
    <row r="36286">
      <c r="S36286" s="27"/>
      <c r="T36286" s="27"/>
      <c r="U36286" s="27"/>
    </row>
    <row r="36287">
      <c r="S36287" s="27"/>
      <c r="T36287" s="27"/>
      <c r="U36287" s="27"/>
    </row>
    <row r="36289">
      <c r="S36289" s="27"/>
      <c r="T36289" s="27"/>
      <c r="U36289" s="27"/>
    </row>
    <row r="36290">
      <c r="S36290" s="27"/>
      <c r="T36290" s="27"/>
      <c r="U36290" s="27"/>
    </row>
    <row r="36292">
      <c r="S36292" s="27"/>
      <c r="T36292" s="27"/>
      <c r="U36292" s="27"/>
    </row>
    <row r="36293">
      <c r="S36293" s="27"/>
      <c r="T36293" s="27"/>
      <c r="U36293" s="27"/>
    </row>
    <row r="36295">
      <c r="S36295" s="27"/>
      <c r="T36295" s="27"/>
      <c r="U36295" s="27"/>
    </row>
    <row r="36296">
      <c r="S36296" s="27"/>
      <c r="T36296" s="27"/>
      <c r="U36296" s="27"/>
    </row>
    <row r="36298">
      <c r="S36298" s="27"/>
      <c r="T36298" s="27"/>
      <c r="U36298" s="27"/>
    </row>
    <row r="36299">
      <c r="S36299" s="27"/>
      <c r="T36299" s="27"/>
      <c r="U36299" s="27"/>
    </row>
    <row r="36301">
      <c r="S36301" s="27"/>
      <c r="T36301" s="27"/>
      <c r="U36301" s="27"/>
    </row>
    <row r="36302">
      <c r="S36302" s="27"/>
      <c r="T36302" s="27"/>
      <c r="U36302" s="27"/>
    </row>
    <row r="36304">
      <c r="S36304" s="27"/>
      <c r="T36304" s="27"/>
      <c r="U36304" s="27"/>
    </row>
    <row r="36305">
      <c r="S36305" s="27"/>
      <c r="T36305" s="27"/>
      <c r="U36305" s="27"/>
    </row>
    <row r="36307">
      <c r="S36307" s="27"/>
      <c r="T36307" s="27"/>
      <c r="U36307" s="27"/>
    </row>
    <row r="36308">
      <c r="S36308" s="27"/>
      <c r="T36308" s="27"/>
      <c r="U36308" s="27"/>
    </row>
    <row r="36310">
      <c r="S36310" s="27"/>
      <c r="T36310" s="27"/>
      <c r="U36310" s="27"/>
    </row>
    <row r="36311">
      <c r="S36311" s="27"/>
      <c r="T36311" s="27"/>
      <c r="U36311" s="27"/>
    </row>
    <row r="36316">
      <c r="S36316" s="27"/>
      <c r="T36316" s="27"/>
      <c r="U36316" s="27"/>
    </row>
    <row r="36317">
      <c r="S36317" s="27"/>
      <c r="T36317" s="27"/>
      <c r="U36317" s="27"/>
    </row>
    <row r="36319">
      <c r="S36319" s="27"/>
      <c r="T36319" s="27"/>
      <c r="U36319" s="27"/>
    </row>
    <row r="36322">
      <c r="S36322" s="33"/>
      <c r="T36322" s="33"/>
    </row>
    <row r="36323">
      <c r="S36323" s="27"/>
      <c r="T36323" s="27"/>
    </row>
    <row r="36325">
      <c r="S36325" s="27"/>
      <c r="T36325" s="27"/>
      <c r="U36325" s="27"/>
    </row>
    <row r="36326">
      <c r="S36326" s="27"/>
      <c r="T36326" s="27"/>
      <c r="U36326" s="27"/>
    </row>
    <row r="36328">
      <c r="S36328" s="27"/>
      <c r="T36328" s="27"/>
      <c r="U36328" s="27"/>
    </row>
    <row r="36329">
      <c r="S36329" s="26"/>
      <c r="T36329" s="26"/>
      <c r="U36329" s="26"/>
    </row>
    <row r="36331">
      <c r="S36331" s="27"/>
      <c r="T36331" s="27"/>
      <c r="U36331" s="27"/>
    </row>
    <row r="36332">
      <c r="S36332" s="27"/>
      <c r="T36332" s="27"/>
      <c r="U36332" s="27"/>
    </row>
    <row r="36334">
      <c r="S36334" s="27"/>
      <c r="T36334" s="27"/>
      <c r="U36334" s="27"/>
    </row>
    <row r="36335">
      <c r="S36335" s="27"/>
      <c r="T36335" s="27"/>
      <c r="U36335" s="27"/>
    </row>
    <row r="36337">
      <c r="S36337" s="27"/>
      <c r="T36337" s="27"/>
      <c r="U36337" s="27"/>
    </row>
    <row r="36338">
      <c r="S36338" s="27"/>
      <c r="T36338" s="27"/>
      <c r="U36338" s="27"/>
    </row>
    <row r="36343">
      <c r="S36343" s="26"/>
      <c r="T36343" s="26"/>
      <c r="U36343" s="26"/>
    </row>
    <row r="36346">
      <c r="S36346" s="27"/>
      <c r="T36346" s="27"/>
      <c r="U36346" s="27"/>
    </row>
    <row r="36350">
      <c r="S36350" s="27"/>
      <c r="T36350" s="26"/>
      <c r="U36350" s="26"/>
    </row>
    <row r="36353">
      <c r="S36353" s="27"/>
      <c r="T36353" s="27"/>
      <c r="U36353" s="27"/>
    </row>
    <row r="36356">
      <c r="S36356" s="27"/>
      <c r="T36356" s="27"/>
      <c r="U36356" s="27"/>
    </row>
    <row r="36357">
      <c r="S36357" s="27"/>
      <c r="T36357" s="27"/>
      <c r="U36357" s="27"/>
    </row>
    <row r="36359">
      <c r="S36359" s="27"/>
      <c r="T36359" s="27"/>
      <c r="U36359" s="27"/>
    </row>
    <row r="36360">
      <c r="S36360" s="27"/>
      <c r="T36360" s="27"/>
      <c r="U36360" s="27"/>
    </row>
    <row r="36362">
      <c r="S36362" s="27"/>
      <c r="T36362" s="27"/>
      <c r="U36362" s="27"/>
    </row>
    <row r="36363">
      <c r="T36363" s="27"/>
      <c r="U36363" s="27"/>
    </row>
    <row r="36365">
      <c r="S36365" s="27"/>
      <c r="T36365" s="27"/>
      <c r="U36365" s="27"/>
    </row>
    <row r="36366">
      <c r="U36366" s="27"/>
    </row>
    <row r="36368">
      <c r="S36368" s="27"/>
      <c r="T36368" s="27"/>
      <c r="U36368" s="27"/>
    </row>
    <row r="36369">
      <c r="S36369" s="27"/>
      <c r="T36369" s="27"/>
      <c r="U36369" s="27"/>
    </row>
    <row r="36374">
      <c r="S36374" s="27"/>
      <c r="T36374" s="27"/>
      <c r="U36374" s="27"/>
    </row>
    <row r="36375">
      <c r="S36375" s="27"/>
      <c r="T36375" s="27"/>
      <c r="U36375" s="27"/>
    </row>
    <row r="36377">
      <c r="S36377" s="27"/>
      <c r="T36377" s="27"/>
      <c r="U36377" s="27"/>
    </row>
    <row r="36378">
      <c r="S36378" s="27"/>
      <c r="T36378" s="27"/>
      <c r="U36378" s="27"/>
    </row>
    <row r="36380">
      <c r="S36380" s="27"/>
      <c r="T36380" s="27"/>
      <c r="U36380" s="27"/>
    </row>
    <row r="36381">
      <c r="S36381" s="27"/>
      <c r="T36381" s="27"/>
      <c r="U36381" s="27"/>
    </row>
    <row r="36383">
      <c r="S36383" s="33"/>
      <c r="T36383" s="27"/>
      <c r="U36383" s="33"/>
    </row>
    <row r="36389">
      <c r="S36389" s="27"/>
      <c r="T36389" s="27"/>
      <c r="U36389" s="27"/>
    </row>
    <row r="36392">
      <c r="S36392" s="27"/>
      <c r="T36392" s="27"/>
      <c r="U36392" s="27"/>
    </row>
    <row r="36393">
      <c r="S36393" s="33"/>
      <c r="T36393" s="33"/>
      <c r="U36393" s="33"/>
    </row>
    <row r="36396">
      <c r="S36396" s="26"/>
      <c r="T36396" s="26"/>
      <c r="U36396" s="26"/>
    </row>
    <row r="36398">
      <c r="S36398" s="27"/>
      <c r="T36398" s="27"/>
      <c r="U36398" s="27"/>
    </row>
    <row r="36399">
      <c r="S36399" s="27"/>
      <c r="T36399" s="27"/>
      <c r="U36399" s="27"/>
    </row>
    <row r="36401">
      <c r="S36401" s="27"/>
      <c r="T36401" s="27"/>
      <c r="U36401" s="27"/>
    </row>
    <row r="36402">
      <c r="S36402" s="27"/>
      <c r="T36402" s="27"/>
      <c r="U36402" s="27"/>
    </row>
    <row r="36404">
      <c r="S36404" s="27"/>
      <c r="T36404" s="27"/>
      <c r="U36404" s="27"/>
    </row>
    <row r="36405">
      <c r="S36405" s="27"/>
      <c r="T36405" s="27"/>
      <c r="U36405" s="27"/>
    </row>
    <row r="36407">
      <c r="S36407" s="27"/>
      <c r="T36407" s="27"/>
      <c r="U36407" s="27"/>
    </row>
    <row r="36408">
      <c r="S36408" s="27"/>
      <c r="T36408" s="27"/>
      <c r="U36408" s="27"/>
    </row>
    <row r="36413">
      <c r="S36413" s="27"/>
      <c r="T36413" s="27"/>
      <c r="U36413" s="27"/>
    </row>
    <row r="36414">
      <c r="S36414" s="27"/>
      <c r="T36414" s="27"/>
      <c r="U36414" s="27"/>
    </row>
    <row r="36416">
      <c r="S36416" s="27"/>
      <c r="T36416" s="27"/>
      <c r="U36416" s="27"/>
    </row>
    <row r="36417">
      <c r="S36417" s="27"/>
      <c r="T36417" s="27"/>
      <c r="U36417" s="27"/>
    </row>
    <row r="36419">
      <c r="T36419" s="27"/>
    </row>
    <row r="36422">
      <c r="S36422" s="27"/>
      <c r="U36422" s="27"/>
    </row>
    <row r="36423">
      <c r="T36423" s="27"/>
      <c r="U36423" s="27"/>
    </row>
    <row r="36425">
      <c r="S36425" s="27"/>
      <c r="T36425" s="27"/>
      <c r="U36425" s="27"/>
    </row>
    <row r="36426">
      <c r="S36426" s="27"/>
      <c r="T36426" s="27"/>
      <c r="U36426" s="27"/>
    </row>
    <row r="36428">
      <c r="S36428" s="27"/>
      <c r="T36428" s="27"/>
      <c r="U36428" s="27"/>
    </row>
    <row r="36429">
      <c r="S36429" s="27"/>
      <c r="T36429" s="27"/>
      <c r="U36429" s="27"/>
    </row>
    <row r="36431">
      <c r="S36431" s="27"/>
      <c r="T36431" s="27"/>
    </row>
    <row r="36434">
      <c r="S36434" s="27"/>
      <c r="T36434" s="27"/>
      <c r="U36434" s="27"/>
    </row>
    <row r="36435">
      <c r="S36435" s="27"/>
      <c r="T36435" s="27"/>
      <c r="U36435" s="27"/>
    </row>
    <row r="36437">
      <c r="S36437" s="26"/>
      <c r="T36437" s="26"/>
      <c r="U36437" s="26"/>
    </row>
    <row r="36440">
      <c r="S36440" s="27"/>
      <c r="T36440" s="27"/>
      <c r="U36440" s="27"/>
    </row>
    <row r="36443">
      <c r="S36443" s="27"/>
      <c r="T36443" s="27"/>
      <c r="U36443" s="27"/>
    </row>
    <row r="36444">
      <c r="S36444" s="27"/>
      <c r="T36444" s="27"/>
      <c r="U36444" s="27"/>
    </row>
    <row r="36446">
      <c r="S36446" s="27"/>
      <c r="T36446" s="27"/>
      <c r="U36446" s="27"/>
    </row>
    <row r="36447">
      <c r="S36447" s="27"/>
      <c r="T36447" s="27"/>
      <c r="U36447" s="27"/>
    </row>
    <row r="36449">
      <c r="S36449" s="27"/>
      <c r="T36449" s="27"/>
      <c r="U36449" s="27"/>
    </row>
    <row r="36450">
      <c r="S36450" s="27"/>
      <c r="T36450" s="27"/>
      <c r="U36450" s="27"/>
    </row>
    <row r="36452">
      <c r="S36452" s="27"/>
    </row>
    <row r="36453">
      <c r="T36453" s="26"/>
      <c r="U36453" s="26"/>
    </row>
    <row r="36455">
      <c r="S36455" s="27"/>
      <c r="T36455" s="27"/>
      <c r="U36455" s="27"/>
    </row>
    <row r="36456">
      <c r="S36456" s="27"/>
      <c r="T36456" s="27"/>
      <c r="U36456" s="27"/>
    </row>
    <row r="36458">
      <c r="S36458" s="27"/>
      <c r="T36458" s="27"/>
      <c r="U36458" s="27"/>
    </row>
    <row r="36459">
      <c r="S36459" s="27"/>
      <c r="T36459" s="27"/>
      <c r="U36459" s="27"/>
    </row>
    <row r="36461">
      <c r="S36461" s="27"/>
      <c r="T36461" s="27"/>
      <c r="U36461" s="27"/>
    </row>
    <row r="36462">
      <c r="S36462" s="27"/>
      <c r="T36462" s="27"/>
      <c r="U36462" s="27"/>
    </row>
    <row r="36464">
      <c r="S36464" s="27"/>
      <c r="T36464" s="27"/>
      <c r="U36464" s="27"/>
    </row>
    <row r="36465">
      <c r="S36465" s="27"/>
      <c r="T36465" s="27"/>
      <c r="U36465" s="27"/>
    </row>
    <row r="36467">
      <c r="S36467" s="27"/>
      <c r="T36467" s="27"/>
      <c r="U36467" s="27"/>
    </row>
    <row r="36468">
      <c r="S36468" s="27"/>
      <c r="T36468" s="27"/>
      <c r="U36468" s="27"/>
    </row>
    <row r="36470">
      <c r="S36470" s="27"/>
      <c r="T36470" s="27"/>
      <c r="U36470" s="27"/>
    </row>
    <row r="36471">
      <c r="S36471" s="27"/>
      <c r="T36471" s="27"/>
      <c r="U36471" s="27"/>
    </row>
    <row r="36473">
      <c r="S36473" s="27"/>
      <c r="T36473" s="27"/>
      <c r="U36473" s="27"/>
    </row>
    <row r="36474">
      <c r="S36474" s="27"/>
      <c r="T36474" s="27"/>
      <c r="U36474" s="27"/>
    </row>
    <row r="36476">
      <c r="S36476" s="27"/>
      <c r="T36476" s="27"/>
      <c r="U36476" s="27"/>
    </row>
    <row r="36477">
      <c r="S36477" s="27"/>
      <c r="T36477" s="27"/>
      <c r="U36477" s="27"/>
    </row>
    <row r="36479">
      <c r="S36479" s="27"/>
      <c r="T36479" s="27"/>
      <c r="U36479" s="27"/>
    </row>
    <row r="36480">
      <c r="S36480" s="27"/>
      <c r="T36480" s="27"/>
      <c r="U36480" s="27"/>
    </row>
    <row r="36482">
      <c r="S36482" s="27"/>
      <c r="T36482" s="27"/>
      <c r="U36482" s="27"/>
    </row>
    <row r="36483">
      <c r="S36483" s="27"/>
      <c r="T36483" s="27"/>
      <c r="U36483" s="27"/>
    </row>
    <row r="36485">
      <c r="S36485" s="27"/>
      <c r="T36485" s="27"/>
      <c r="U36485" s="27"/>
    </row>
    <row r="36486">
      <c r="S36486" s="27"/>
      <c r="T36486" s="27"/>
      <c r="U36486" s="27"/>
    </row>
    <row r="36488">
      <c r="S36488" s="27"/>
      <c r="T36488" s="27"/>
      <c r="U36488" s="27"/>
    </row>
    <row r="36489">
      <c r="S36489" s="27"/>
      <c r="T36489" s="27"/>
      <c r="U36489" s="27"/>
    </row>
    <row r="36491">
      <c r="S36491" s="27"/>
      <c r="T36491" s="27"/>
      <c r="U36491" s="27"/>
    </row>
    <row r="36492">
      <c r="S36492" s="27"/>
      <c r="T36492" s="27"/>
      <c r="U36492" s="27"/>
    </row>
    <row r="36494">
      <c r="S36494" s="27"/>
      <c r="T36494" s="27"/>
      <c r="U36494" s="27"/>
    </row>
    <row r="36495">
      <c r="S36495" s="27"/>
      <c r="T36495" s="27"/>
      <c r="U36495" s="27"/>
    </row>
    <row r="36497">
      <c r="S36497" s="27"/>
      <c r="T36497" s="27"/>
      <c r="U36497" s="27"/>
    </row>
    <row r="36498">
      <c r="S36498" s="27"/>
      <c r="T36498" s="27"/>
      <c r="U36498" s="27"/>
    </row>
    <row r="36500">
      <c r="S36500" s="27"/>
      <c r="T36500" s="27"/>
      <c r="U36500" s="27"/>
    </row>
    <row r="36501">
      <c r="S36501" s="27"/>
      <c r="T36501" s="27"/>
      <c r="U36501" s="27"/>
    </row>
    <row r="36503">
      <c r="S36503" s="27"/>
      <c r="T36503" s="27"/>
      <c r="U36503" s="27"/>
    </row>
    <row r="36504">
      <c r="S36504" s="27"/>
      <c r="T36504" s="27"/>
      <c r="U36504" s="27"/>
    </row>
    <row r="36506">
      <c r="S36506" s="27"/>
      <c r="T36506" s="27"/>
      <c r="U36506" s="27"/>
    </row>
    <row r="36507">
      <c r="S36507" s="27"/>
      <c r="T36507" s="27"/>
      <c r="U36507" s="27"/>
    </row>
    <row r="36509">
      <c r="S36509" s="27"/>
      <c r="T36509" s="27"/>
      <c r="U36509" s="27"/>
    </row>
    <row r="36510">
      <c r="S36510" s="27"/>
      <c r="T36510" s="27"/>
      <c r="U36510" s="27"/>
    </row>
    <row r="36512">
      <c r="S36512" s="27"/>
      <c r="T36512" s="27"/>
      <c r="U36512" s="27"/>
    </row>
    <row r="36513">
      <c r="S36513" s="27"/>
      <c r="T36513" s="27"/>
      <c r="U36513" s="27"/>
    </row>
    <row r="36515">
      <c r="S36515" s="27"/>
      <c r="T36515" s="27"/>
      <c r="U36515" s="27"/>
    </row>
    <row r="36516">
      <c r="S36516" s="27"/>
      <c r="T36516" s="27"/>
      <c r="U36516" s="27"/>
    </row>
    <row r="36518">
      <c r="S36518" s="27"/>
      <c r="T36518" s="27"/>
      <c r="U36518" s="27"/>
    </row>
    <row r="36519">
      <c r="S36519" s="27"/>
      <c r="T36519" s="27"/>
      <c r="U36519" s="27"/>
    </row>
    <row r="36521">
      <c r="S36521" s="27"/>
      <c r="T36521" s="27"/>
      <c r="U36521" s="27"/>
    </row>
    <row r="36522">
      <c r="S36522" s="27"/>
      <c r="T36522" s="27"/>
      <c r="U36522" s="27"/>
    </row>
    <row r="36524">
      <c r="S36524" s="27"/>
      <c r="T36524" s="27"/>
      <c r="U36524" s="27"/>
    </row>
    <row r="36525">
      <c r="S36525" s="27"/>
      <c r="T36525" s="27"/>
      <c r="U36525" s="27"/>
    </row>
    <row r="36527">
      <c r="S36527" s="27"/>
      <c r="T36527" s="27"/>
      <c r="U36527" s="27"/>
    </row>
    <row r="36528">
      <c r="S36528" s="27"/>
      <c r="T36528" s="27"/>
      <c r="U36528" s="27"/>
    </row>
    <row r="36530">
      <c r="S36530" s="27"/>
      <c r="T36530" s="27"/>
      <c r="U36530" s="27"/>
    </row>
    <row r="36531">
      <c r="S36531" s="27"/>
      <c r="T36531" s="27"/>
      <c r="U36531" s="27"/>
    </row>
    <row r="36533">
      <c r="S36533" s="27"/>
      <c r="T36533" s="27"/>
      <c r="U36533" s="27"/>
    </row>
    <row r="36534">
      <c r="S36534" s="27"/>
      <c r="T36534" s="27"/>
      <c r="U36534" s="27"/>
    </row>
    <row r="36536">
      <c r="S36536" s="27"/>
      <c r="T36536" s="27"/>
      <c r="U36536" s="27"/>
    </row>
    <row r="36537">
      <c r="S36537" s="27"/>
      <c r="T36537" s="27"/>
      <c r="U36537" s="27"/>
    </row>
    <row r="36539">
      <c r="S36539" s="27"/>
      <c r="T36539" s="27"/>
      <c r="U36539" s="27"/>
    </row>
    <row r="36540">
      <c r="S36540" s="27"/>
      <c r="T36540" s="27"/>
      <c r="U36540" s="27"/>
    </row>
    <row r="36542">
      <c r="S36542" s="27"/>
      <c r="T36542" s="27"/>
      <c r="U36542" s="27"/>
    </row>
    <row r="36543">
      <c r="S36543" s="27"/>
      <c r="T36543" s="27"/>
      <c r="U36543" s="27"/>
    </row>
    <row r="36545">
      <c r="S36545" s="27"/>
      <c r="T36545" s="27"/>
      <c r="U36545" s="27"/>
    </row>
    <row r="36546">
      <c r="S36546" s="27"/>
      <c r="T36546" s="27"/>
      <c r="U36546" s="27"/>
    </row>
    <row r="36548">
      <c r="S36548" s="27"/>
      <c r="T36548" s="27"/>
      <c r="U36548" s="27"/>
    </row>
    <row r="36550">
      <c r="S36550" s="27"/>
      <c r="T36550" s="27"/>
      <c r="U36550" s="27"/>
    </row>
    <row r="36551">
      <c r="S36551" s="27"/>
      <c r="T36551" s="27"/>
      <c r="U36551" s="27"/>
    </row>
    <row r="36553">
      <c r="S36553" s="27"/>
      <c r="T36553" s="27"/>
      <c r="U36553" s="27"/>
    </row>
    <row r="36554">
      <c r="S36554" s="27"/>
      <c r="T36554" s="27"/>
      <c r="U36554" s="27"/>
    </row>
    <row r="36556">
      <c r="S36556" s="27"/>
      <c r="T36556" s="27"/>
      <c r="U36556" s="27"/>
    </row>
    <row r="36557">
      <c r="S36557" s="27"/>
      <c r="T36557" s="27"/>
      <c r="U36557" s="27"/>
    </row>
    <row r="36559">
      <c r="S36559" s="27"/>
      <c r="T36559" s="27"/>
      <c r="U36559" s="27"/>
    </row>
    <row r="36560">
      <c r="S36560" s="27"/>
      <c r="T36560" s="27"/>
      <c r="U36560" s="27"/>
    </row>
    <row r="36562">
      <c r="S36562" s="27"/>
      <c r="T36562" s="27"/>
      <c r="U36562" s="27"/>
    </row>
    <row r="36563">
      <c r="S36563" s="27"/>
      <c r="T36563" s="27"/>
      <c r="U36563" s="27"/>
    </row>
    <row r="36565">
      <c r="S36565" s="27"/>
      <c r="T36565" s="27"/>
      <c r="U36565" s="27"/>
    </row>
    <row r="36566">
      <c r="S36566" s="27"/>
      <c r="T36566" s="27"/>
      <c r="U36566" s="27"/>
    </row>
    <row r="36568">
      <c r="S36568" s="27"/>
      <c r="T36568" s="27"/>
      <c r="U36568" s="27"/>
    </row>
    <row r="36569">
      <c r="S36569" s="27"/>
      <c r="T36569" s="27"/>
      <c r="U36569" s="27"/>
    </row>
    <row r="36571">
      <c r="S36571" s="27"/>
      <c r="T36571" s="27"/>
      <c r="U36571" s="27"/>
    </row>
    <row r="36573">
      <c r="S36573" s="27"/>
      <c r="T36573" s="27"/>
      <c r="U36573" s="27"/>
    </row>
    <row r="36575">
      <c r="S36575" s="27"/>
      <c r="T36575" s="27"/>
      <c r="U36575" s="27"/>
    </row>
    <row r="36577">
      <c r="S36577" s="27"/>
      <c r="T36577" s="27"/>
      <c r="U36577" s="27"/>
    </row>
    <row r="36579">
      <c r="S36579" s="27"/>
      <c r="T36579" s="27"/>
      <c r="U36579" s="27"/>
    </row>
    <row r="36580">
      <c r="S36580" s="27"/>
      <c r="T36580" s="27"/>
      <c r="U36580" s="27"/>
    </row>
    <row r="36582">
      <c r="S36582" s="27"/>
      <c r="T36582" s="27"/>
      <c r="U36582" s="27"/>
    </row>
    <row r="36583">
      <c r="S36583" s="27"/>
      <c r="T36583" s="27"/>
      <c r="U36583" s="27"/>
    </row>
    <row r="36585">
      <c r="S36585" s="27"/>
      <c r="T36585" s="27"/>
      <c r="U36585" s="27"/>
    </row>
    <row r="36586">
      <c r="S36586" s="27"/>
      <c r="T36586" s="27"/>
    </row>
    <row r="36588">
      <c r="S36588" s="27"/>
      <c r="T36588" s="27"/>
      <c r="U36588" s="27"/>
    </row>
    <row r="36589">
      <c r="S36589" s="27"/>
      <c r="T36589" s="27"/>
      <c r="U36589" s="27"/>
    </row>
    <row r="36591">
      <c r="S36591" s="27"/>
      <c r="T36591" s="27"/>
      <c r="U36591" s="27"/>
    </row>
    <row r="36592">
      <c r="S36592" s="27"/>
      <c r="T36592" s="27"/>
      <c r="U36592" s="27"/>
    </row>
    <row r="36595">
      <c r="S36595" s="27"/>
      <c r="T36595" s="27"/>
      <c r="U36595" s="27"/>
    </row>
    <row r="36596">
      <c r="S36596" s="27"/>
      <c r="T36596" s="27"/>
      <c r="U36596" s="27"/>
    </row>
    <row r="36598">
      <c r="S36598" s="34"/>
      <c r="T36598" s="27"/>
      <c r="U36598" s="27"/>
    </row>
    <row r="36601">
      <c r="S36601" s="27"/>
      <c r="T36601" s="27"/>
      <c r="U36601" s="27"/>
    </row>
    <row r="36604">
      <c r="S36604" s="27"/>
      <c r="T36604" s="27"/>
      <c r="U36604" s="27"/>
    </row>
    <row r="36605">
      <c r="S36605" s="27"/>
      <c r="T36605" s="27"/>
      <c r="U36605" s="27"/>
    </row>
    <row r="36607">
      <c r="S36607" s="27"/>
      <c r="T36607" s="27"/>
      <c r="U36607" s="27"/>
    </row>
    <row r="36608">
      <c r="S36608" s="27"/>
      <c r="T36608" s="27"/>
      <c r="U36608" s="27"/>
    </row>
    <row r="36610">
      <c r="S36610" s="27"/>
      <c r="T36610" s="27"/>
      <c r="U36610" s="27"/>
    </row>
    <row r="36611">
      <c r="S36611" s="27"/>
      <c r="T36611" s="27"/>
      <c r="U36611" s="27"/>
    </row>
    <row r="36613">
      <c r="S36613" s="26"/>
      <c r="T36613" s="26"/>
    </row>
    <row r="36616">
      <c r="S36616" s="27"/>
      <c r="T36616" s="27"/>
      <c r="U36616" s="27"/>
    </row>
    <row r="36617">
      <c r="S36617" s="27"/>
      <c r="T36617" s="27"/>
      <c r="U36617" s="27"/>
    </row>
    <row r="36619">
      <c r="S36619" s="27"/>
      <c r="T36619" s="27"/>
      <c r="U36619" s="27"/>
    </row>
    <row r="36620">
      <c r="S36620" s="27"/>
      <c r="T36620" s="27"/>
      <c r="U36620" s="27"/>
    </row>
    <row r="36622">
      <c r="S36622" s="27"/>
      <c r="U36622" s="27"/>
    </row>
    <row r="36623">
      <c r="S36623" s="27"/>
      <c r="T36623" s="27"/>
      <c r="U36623" s="27"/>
    </row>
    <row r="36625">
      <c r="T36625" s="27"/>
    </row>
    <row r="36628">
      <c r="S36628" s="26"/>
    </row>
    <row r="36631">
      <c r="S36631" s="27"/>
      <c r="T36631" s="27"/>
      <c r="U36631" s="27"/>
    </row>
    <row r="36632">
      <c r="S36632" s="27"/>
      <c r="T36632" s="27"/>
      <c r="U36632" s="27"/>
    </row>
    <row r="36634">
      <c r="S36634" s="27"/>
      <c r="T36634" s="27"/>
      <c r="U36634" s="27"/>
    </row>
    <row r="36635">
      <c r="S36635" s="27"/>
      <c r="T36635" s="27"/>
      <c r="U36635" s="27"/>
    </row>
    <row r="36640">
      <c r="S36640" s="26"/>
    </row>
    <row r="36643">
      <c r="S36643" s="27"/>
      <c r="T36643" s="27"/>
      <c r="U36643" s="27"/>
    </row>
    <row r="36646">
      <c r="S36646" s="27"/>
      <c r="T36646" s="27"/>
      <c r="U36646" s="27"/>
    </row>
    <row r="36647">
      <c r="S36647" s="27"/>
      <c r="T36647" s="27"/>
      <c r="U36647" s="27"/>
    </row>
    <row r="36649">
      <c r="S36649" s="27"/>
      <c r="T36649" s="27"/>
      <c r="U36649" s="27"/>
    </row>
    <row r="36650">
      <c r="S36650" s="27"/>
      <c r="T36650" s="27"/>
      <c r="U36650" s="27"/>
    </row>
    <row r="36652">
      <c r="S36652" s="27"/>
      <c r="T36652" s="27"/>
      <c r="U36652" s="27"/>
    </row>
    <row r="36653">
      <c r="S36653" s="27"/>
      <c r="T36653" s="27"/>
      <c r="U36653" s="27"/>
    </row>
    <row r="36655">
      <c r="S36655" s="27"/>
      <c r="T36655" s="27"/>
      <c r="U36655" s="27"/>
    </row>
    <row r="36656">
      <c r="S36656" s="27"/>
      <c r="T36656" s="27"/>
      <c r="U36656" s="27"/>
    </row>
    <row r="36658">
      <c r="S36658" s="27"/>
      <c r="T36658" s="27"/>
      <c r="U36658" s="27"/>
    </row>
    <row r="36659">
      <c r="S36659" s="27"/>
      <c r="T36659" s="27"/>
      <c r="U36659" s="27"/>
    </row>
    <row r="36661">
      <c r="S36661" s="27"/>
      <c r="T36661" s="27"/>
      <c r="U36661" s="27"/>
    </row>
    <row r="36662">
      <c r="S36662" s="27"/>
      <c r="T36662" s="27"/>
      <c r="U36662" s="27"/>
    </row>
    <row r="36664">
      <c r="S36664" s="27"/>
      <c r="T36664" s="27"/>
      <c r="U36664" s="27"/>
    </row>
    <row r="36665">
      <c r="S36665" s="27"/>
      <c r="T36665" s="27"/>
      <c r="U36665" s="27"/>
    </row>
    <row r="36667">
      <c r="S36667" s="27"/>
      <c r="T36667" s="27"/>
      <c r="U36667" s="27"/>
    </row>
    <row r="36668">
      <c r="S36668" s="27"/>
      <c r="T36668" s="27"/>
      <c r="U36668" s="27"/>
    </row>
    <row r="36670">
      <c r="S36670" s="27"/>
      <c r="T36670" s="27"/>
      <c r="U36670" s="27"/>
    </row>
    <row r="36671">
      <c r="S36671" s="27"/>
      <c r="T36671" s="27"/>
      <c r="U36671" s="27"/>
    </row>
    <row r="36673">
      <c r="S36673" s="27"/>
      <c r="T36673" s="27"/>
      <c r="U36673" s="27"/>
    </row>
    <row r="36674">
      <c r="S36674" s="27"/>
      <c r="T36674" s="27"/>
      <c r="U36674" s="27"/>
    </row>
    <row r="36676">
      <c r="S36676" s="27"/>
      <c r="T36676" s="27"/>
      <c r="U36676" s="27"/>
    </row>
    <row r="36677">
      <c r="S36677" s="27"/>
      <c r="T36677" s="27"/>
      <c r="U36677" s="27"/>
    </row>
    <row r="36679">
      <c r="S36679" s="27"/>
      <c r="T36679" s="27"/>
      <c r="U36679" s="27"/>
    </row>
    <row r="36680">
      <c r="S36680" s="27"/>
      <c r="T36680" s="27"/>
      <c r="U36680" s="27"/>
    </row>
    <row r="36682">
      <c r="S36682" s="27"/>
      <c r="T36682" s="27"/>
      <c r="U36682" s="27"/>
    </row>
    <row r="36683">
      <c r="S36683" s="27"/>
      <c r="T36683" s="27"/>
      <c r="U36683" s="27"/>
    </row>
    <row r="36685">
      <c r="S36685" s="27"/>
      <c r="T36685" s="27"/>
      <c r="U36685" s="27"/>
    </row>
    <row r="36686">
      <c r="S36686" s="27"/>
      <c r="T36686" s="27"/>
      <c r="U36686" s="27"/>
    </row>
    <row r="36688">
      <c r="S36688" s="27"/>
      <c r="T36688" s="27"/>
      <c r="U36688" s="27"/>
    </row>
    <row r="36689">
      <c r="S36689" s="27"/>
      <c r="T36689" s="27"/>
      <c r="U36689" s="27"/>
    </row>
    <row r="36691">
      <c r="S36691" s="27"/>
      <c r="T36691" s="27"/>
      <c r="U36691" s="27"/>
    </row>
    <row r="36692">
      <c r="S36692" s="27"/>
      <c r="T36692" s="27"/>
      <c r="U36692" s="27"/>
    </row>
    <row r="36694">
      <c r="S36694" s="27"/>
      <c r="T36694" s="27"/>
      <c r="U36694" s="27"/>
    </row>
    <row r="36695">
      <c r="S36695" s="27"/>
      <c r="T36695" s="27"/>
      <c r="U36695" s="27"/>
    </row>
    <row r="36697">
      <c r="S36697" s="27"/>
      <c r="T36697" s="27"/>
      <c r="U36697" s="27"/>
    </row>
    <row r="36698">
      <c r="S36698" s="27"/>
      <c r="T36698" s="27"/>
      <c r="U36698" s="27"/>
    </row>
    <row r="36700">
      <c r="S36700" s="27"/>
      <c r="T36700" s="27"/>
      <c r="U36700" s="27"/>
    </row>
    <row r="36701">
      <c r="S36701" s="27"/>
      <c r="T36701" s="27"/>
      <c r="U36701" s="27"/>
    </row>
    <row r="36703">
      <c r="S36703" s="27"/>
      <c r="T36703" s="27"/>
      <c r="U36703" s="27"/>
    </row>
    <row r="36704">
      <c r="S36704" s="27"/>
      <c r="T36704" s="27"/>
      <c r="U36704" s="27"/>
    </row>
    <row r="36706">
      <c r="S36706" s="27"/>
      <c r="T36706" s="27"/>
      <c r="U36706" s="27"/>
    </row>
    <row r="36707">
      <c r="S36707" s="27"/>
      <c r="T36707" s="27"/>
      <c r="U36707" s="27"/>
    </row>
    <row r="36709">
      <c r="S36709" s="27"/>
      <c r="T36709" s="27"/>
      <c r="U36709" s="27"/>
    </row>
    <row r="36710">
      <c r="S36710" s="27"/>
      <c r="T36710" s="27"/>
      <c r="U36710" s="27"/>
    </row>
    <row r="36712">
      <c r="S36712" s="27"/>
      <c r="T36712" s="27"/>
      <c r="U36712" s="27"/>
    </row>
    <row r="36713">
      <c r="S36713" s="27"/>
      <c r="T36713" s="27"/>
      <c r="U36713" s="27"/>
    </row>
    <row r="36715">
      <c r="S36715" s="27"/>
      <c r="T36715" s="27"/>
      <c r="U36715" s="27"/>
    </row>
    <row r="36716">
      <c r="S36716" s="27"/>
      <c r="T36716" s="27"/>
      <c r="U36716" s="27"/>
    </row>
    <row r="36718">
      <c r="S36718" s="27"/>
      <c r="T36718" s="27"/>
      <c r="U36718" s="27"/>
    </row>
    <row r="36719">
      <c r="S36719" s="27"/>
      <c r="T36719" s="27"/>
      <c r="U36719" s="27"/>
    </row>
    <row r="36721">
      <c r="S36721" s="27"/>
      <c r="T36721" s="27"/>
      <c r="U36721" s="27"/>
    </row>
    <row r="36722">
      <c r="S36722" s="27"/>
      <c r="T36722" s="27"/>
      <c r="U36722" s="27"/>
    </row>
    <row r="36724">
      <c r="S36724" s="27"/>
      <c r="T36724" s="27"/>
      <c r="U36724" s="27"/>
    </row>
    <row r="36727">
      <c r="T36727" s="33"/>
      <c r="U36727" s="33"/>
    </row>
    <row r="36728">
      <c r="T36728" s="27"/>
      <c r="U36728" s="27"/>
    </row>
    <row r="36730">
      <c r="S36730" s="27"/>
      <c r="T36730" s="27"/>
      <c r="U36730" s="27"/>
    </row>
    <row r="36731">
      <c r="S36731" s="27"/>
      <c r="T36731" s="27"/>
      <c r="U36731" s="27"/>
    </row>
    <row r="36733">
      <c r="S36733" s="27"/>
      <c r="T36733" s="27"/>
      <c r="U36733" s="27"/>
    </row>
    <row r="36734">
      <c r="S36734" s="26"/>
      <c r="T36734" s="26"/>
      <c r="U36734" s="26"/>
    </row>
    <row r="36736">
      <c r="S36736" s="27"/>
      <c r="U36736" s="27"/>
    </row>
    <row r="36737">
      <c r="S36737" s="27"/>
      <c r="T36737" s="27"/>
      <c r="U36737" s="27"/>
    </row>
    <row r="36739">
      <c r="S36739" s="27"/>
      <c r="T36739" s="27"/>
      <c r="U36739" s="27"/>
    </row>
    <row r="36740">
      <c r="S36740" s="27"/>
      <c r="T36740" s="27"/>
      <c r="U36740" s="27"/>
    </row>
    <row r="36742">
      <c r="S36742" s="27"/>
      <c r="T36742" s="27"/>
      <c r="U36742" s="27"/>
    </row>
    <row r="36743">
      <c r="S36743" s="27"/>
      <c r="T36743" s="27"/>
      <c r="U36743" s="27"/>
    </row>
    <row r="36745">
      <c r="S36745" s="26"/>
      <c r="T36745" s="26"/>
    </row>
    <row r="36748">
      <c r="S36748" s="26"/>
      <c r="T36748" s="27"/>
      <c r="U36748" s="26"/>
    </row>
    <row r="36751">
      <c r="T36751" s="27"/>
      <c r="U36751" s="27"/>
    </row>
    <row r="36753">
      <c r="S36753" s="27"/>
      <c r="T36753" s="27"/>
      <c r="U36753" s="27"/>
    </row>
    <row r="36755">
      <c r="S36755" s="27"/>
      <c r="T36755" s="27"/>
      <c r="U36755" s="27"/>
    </row>
    <row r="36758">
      <c r="U36758" s="27"/>
    </row>
    <row r="36761">
      <c r="S36761" s="27"/>
      <c r="T36761" s="27"/>
      <c r="U36761" s="27"/>
    </row>
    <row r="36762">
      <c r="S36762" s="27"/>
      <c r="T36762" s="27"/>
      <c r="U36762" s="27"/>
    </row>
    <row r="36764">
      <c r="S36764" s="27"/>
      <c r="T36764" s="27"/>
      <c r="U36764" s="27"/>
    </row>
    <row r="36765">
      <c r="S36765" s="27"/>
      <c r="T36765" s="27"/>
      <c r="U36765" s="27"/>
    </row>
    <row r="36767">
      <c r="S36767" s="27"/>
      <c r="T36767" s="27"/>
      <c r="U36767" s="27"/>
    </row>
    <row r="36768">
      <c r="U36768" s="27"/>
    </row>
    <row r="36770">
      <c r="S36770" s="27"/>
      <c r="T36770" s="27"/>
      <c r="U36770" s="27"/>
    </row>
    <row r="36771">
      <c r="S36771" s="27"/>
      <c r="T36771" s="27"/>
      <c r="U36771" s="26"/>
    </row>
    <row r="36773">
      <c r="S36773" s="27"/>
      <c r="T36773" s="27"/>
      <c r="U36773" s="27"/>
    </row>
    <row r="36774">
      <c r="S36774" s="27"/>
      <c r="T36774" s="27"/>
      <c r="U36774" s="27"/>
    </row>
    <row r="36779">
      <c r="S36779" s="27"/>
      <c r="T36779" s="27"/>
      <c r="U36779" s="27"/>
    </row>
    <row r="36780">
      <c r="S36780" s="27"/>
      <c r="T36780" s="27"/>
      <c r="U36780" s="27"/>
    </row>
    <row r="36782">
      <c r="S36782" s="27"/>
      <c r="T36782" s="27"/>
      <c r="U36782" s="27"/>
    </row>
    <row r="36783">
      <c r="S36783" s="27"/>
      <c r="T36783" s="27"/>
      <c r="U36783" s="27"/>
    </row>
    <row r="36785">
      <c r="S36785" s="27"/>
      <c r="T36785" s="27"/>
      <c r="U36785" s="27"/>
    </row>
    <row r="36786">
      <c r="S36786" s="27"/>
      <c r="T36786" s="27"/>
      <c r="U36786" s="27"/>
    </row>
    <row r="36788">
      <c r="S36788" s="33"/>
      <c r="T36788" s="33"/>
      <c r="U36788" s="33"/>
    </row>
    <row r="36791">
      <c r="S36791" s="27"/>
      <c r="T36791" s="27"/>
      <c r="U36791" s="27"/>
    </row>
    <row r="36792">
      <c r="S36792" s="27"/>
      <c r="T36792" s="27"/>
      <c r="U36792" s="27"/>
    </row>
    <row r="36794">
      <c r="S36794" s="27"/>
      <c r="T36794" s="27"/>
      <c r="U36794" s="27"/>
    </row>
    <row r="36797">
      <c r="S36797" s="27"/>
      <c r="T36797" s="27"/>
      <c r="U36797" s="33"/>
    </row>
    <row r="36798">
      <c r="S36798" s="33"/>
      <c r="T36798" s="33"/>
      <c r="U36798" s="27"/>
    </row>
    <row r="36800">
      <c r="S36800" s="27"/>
    </row>
    <row r="36801">
      <c r="S36801" s="26"/>
      <c r="T36801" s="26"/>
      <c r="U36801" s="26"/>
    </row>
    <row r="36803">
      <c r="S36803" s="27"/>
      <c r="T36803" s="27"/>
      <c r="U36803" s="27"/>
    </row>
    <row r="36804">
      <c r="S36804" s="27"/>
      <c r="T36804" s="27"/>
      <c r="U36804" s="27"/>
    </row>
    <row r="36806">
      <c r="S36806" s="27"/>
      <c r="T36806" s="27"/>
      <c r="U36806" s="27"/>
    </row>
    <row r="36807">
      <c r="S36807" s="27"/>
      <c r="T36807" s="27"/>
      <c r="U36807" s="27"/>
    </row>
    <row r="36809">
      <c r="S36809" s="27"/>
      <c r="T36809" s="27"/>
      <c r="U36809" s="27"/>
    </row>
    <row r="36810">
      <c r="S36810" s="27"/>
      <c r="T36810" s="27"/>
      <c r="U36810" s="27"/>
    </row>
    <row r="36812">
      <c r="S36812" s="27"/>
      <c r="T36812" s="27"/>
      <c r="U36812" s="27"/>
    </row>
    <row r="36813">
      <c r="S36813" s="27"/>
      <c r="T36813" s="27"/>
      <c r="U36813" s="27"/>
    </row>
    <row r="36815">
      <c r="U36815" s="27"/>
    </row>
    <row r="36818">
      <c r="S36818" s="27"/>
      <c r="U36818" s="27"/>
    </row>
    <row r="36819">
      <c r="S36819" s="27"/>
      <c r="U36819" s="27"/>
    </row>
    <row r="36821">
      <c r="S36821" s="27"/>
      <c r="T36821" s="27"/>
      <c r="U36821" s="27"/>
    </row>
    <row r="36822">
      <c r="S36822" s="27"/>
      <c r="T36822" s="27"/>
      <c r="U36822" s="27"/>
    </row>
    <row r="36824">
      <c r="S36824" s="27"/>
      <c r="T36824" s="27"/>
    </row>
    <row r="36827">
      <c r="T36827" s="27"/>
      <c r="U36827" s="26"/>
    </row>
    <row r="36828">
      <c r="S36828" s="27"/>
      <c r="T36828" s="27"/>
    </row>
    <row r="36830">
      <c r="S36830" s="27"/>
      <c r="T36830" s="27"/>
      <c r="U36830" s="27"/>
    </row>
    <row r="36831">
      <c r="S36831" s="27"/>
      <c r="T36831" s="27"/>
      <c r="U36831" s="27"/>
    </row>
    <row r="36833">
      <c r="S36833" s="27"/>
      <c r="T36833" s="27"/>
      <c r="U36833" s="27"/>
    </row>
    <row r="36834">
      <c r="S36834" s="27"/>
      <c r="T36834" s="27"/>
      <c r="U36834" s="27"/>
    </row>
    <row r="36836">
      <c r="T36836" s="27"/>
      <c r="U36836" s="27"/>
    </row>
    <row r="36837">
      <c r="S36837" s="26"/>
      <c r="T36837" s="26"/>
      <c r="U36837" s="26"/>
    </row>
    <row r="36839">
      <c r="S36839" s="27"/>
      <c r="T36839" s="27"/>
      <c r="U36839" s="27"/>
    </row>
    <row r="36840">
      <c r="S36840" s="26"/>
      <c r="T36840" s="26"/>
      <c r="U36840" s="26"/>
    </row>
    <row r="36842">
      <c r="S36842" s="26"/>
      <c r="T36842" s="26"/>
      <c r="U36842" s="26"/>
    </row>
    <row r="36845">
      <c r="S36845" s="27"/>
      <c r="T36845" s="27"/>
      <c r="U36845" s="27"/>
    </row>
    <row r="36848">
      <c r="S36848" s="27"/>
      <c r="T36848" s="27"/>
      <c r="U36848" s="27"/>
    </row>
    <row r="36849">
      <c r="S36849" s="27"/>
      <c r="T36849" s="27"/>
      <c r="U36849" s="27"/>
    </row>
    <row r="36851">
      <c r="S36851" s="27"/>
      <c r="T36851" s="27"/>
      <c r="U36851" s="27"/>
    </row>
    <row r="36852">
      <c r="S36852" s="27"/>
      <c r="T36852" s="27"/>
      <c r="U36852" s="27"/>
    </row>
    <row r="36854">
      <c r="S36854" s="27"/>
      <c r="T36854" s="27"/>
      <c r="U36854" s="27"/>
    </row>
    <row r="36855">
      <c r="S36855" s="27"/>
      <c r="T36855" s="27"/>
      <c r="U36855" s="27"/>
    </row>
    <row r="36857">
      <c r="S36857" s="27"/>
    </row>
    <row r="36858">
      <c r="S36858" s="26"/>
      <c r="T36858" s="26"/>
      <c r="U36858" s="26"/>
    </row>
    <row r="36860">
      <c r="S36860" s="27"/>
      <c r="T36860" s="27"/>
      <c r="U36860" s="27"/>
    </row>
    <row r="36861">
      <c r="S36861" s="27"/>
      <c r="T36861" s="27"/>
      <c r="U36861" s="27"/>
    </row>
    <row r="36863">
      <c r="S36863" s="27"/>
      <c r="T36863" s="27"/>
      <c r="U36863" s="27"/>
    </row>
    <row r="36864">
      <c r="S36864" s="27"/>
      <c r="T36864" s="27"/>
      <c r="U36864" s="27"/>
    </row>
    <row r="36866">
      <c r="S36866" s="27"/>
      <c r="T36866" s="27"/>
      <c r="U36866" s="27"/>
    </row>
    <row r="36867">
      <c r="S36867" s="27"/>
      <c r="T36867" s="27"/>
      <c r="U36867" s="27"/>
    </row>
    <row r="36869">
      <c r="S36869" s="27"/>
      <c r="T36869" s="27"/>
      <c r="U36869" s="27"/>
    </row>
    <row r="36870">
      <c r="S36870" s="27"/>
      <c r="T36870" s="27"/>
      <c r="U36870" s="27"/>
    </row>
    <row r="36872">
      <c r="S36872" s="27"/>
      <c r="T36872" s="27"/>
      <c r="U36872" s="27"/>
    </row>
    <row r="36873">
      <c r="S36873" s="27"/>
      <c r="T36873" s="27"/>
      <c r="U36873" s="27"/>
    </row>
    <row r="36875">
      <c r="S36875" s="27"/>
      <c r="T36875" s="27"/>
      <c r="U36875" s="27"/>
    </row>
    <row r="36876">
      <c r="S36876" s="27"/>
      <c r="T36876" s="27"/>
      <c r="U36876" s="27"/>
    </row>
    <row r="36878">
      <c r="S36878" s="27"/>
      <c r="T36878" s="27"/>
      <c r="U36878" s="27"/>
    </row>
    <row r="36879">
      <c r="S36879" s="27"/>
      <c r="T36879" s="27"/>
      <c r="U36879" s="27"/>
    </row>
    <row r="36881">
      <c r="S36881" s="27"/>
      <c r="T36881" s="27"/>
      <c r="U36881" s="27"/>
    </row>
    <row r="36882">
      <c r="S36882" s="27"/>
      <c r="T36882" s="27"/>
      <c r="U36882" s="27"/>
    </row>
    <row r="36884">
      <c r="S36884" s="27"/>
      <c r="T36884" s="27"/>
      <c r="U36884" s="27"/>
    </row>
    <row r="36885">
      <c r="S36885" s="27"/>
      <c r="T36885" s="27"/>
      <c r="U36885" s="27"/>
    </row>
    <row r="36887">
      <c r="S36887" s="27"/>
      <c r="T36887" s="27"/>
      <c r="U36887" s="27"/>
    </row>
    <row r="36888">
      <c r="S36888" s="27"/>
      <c r="T36888" s="27"/>
      <c r="U36888" s="27"/>
    </row>
    <row r="36890">
      <c r="S36890" s="27"/>
      <c r="T36890" s="27"/>
      <c r="U36890" s="27"/>
    </row>
    <row r="36891">
      <c r="S36891" s="27"/>
      <c r="T36891" s="27"/>
      <c r="U36891" s="27"/>
    </row>
    <row r="36893">
      <c r="S36893" s="27"/>
      <c r="T36893" s="27"/>
      <c r="U36893" s="27"/>
    </row>
    <row r="36894">
      <c r="S36894" s="27"/>
      <c r="T36894" s="27"/>
      <c r="U36894" s="27"/>
    </row>
    <row r="36896">
      <c r="S36896" s="27"/>
      <c r="T36896" s="27"/>
      <c r="U36896" s="27"/>
    </row>
    <row r="36897">
      <c r="S36897" s="27"/>
      <c r="T36897" s="27"/>
      <c r="U36897" s="27"/>
    </row>
    <row r="36899">
      <c r="S36899" s="27"/>
      <c r="T36899" s="27"/>
      <c r="U36899" s="27"/>
    </row>
    <row r="36900">
      <c r="S36900" s="27"/>
      <c r="T36900" s="27"/>
      <c r="U36900" s="27"/>
    </row>
    <row r="36902">
      <c r="S36902" s="27"/>
      <c r="T36902" s="27"/>
      <c r="U36902" s="27"/>
    </row>
    <row r="36903">
      <c r="S36903" s="27"/>
      <c r="T36903" s="27"/>
      <c r="U36903" s="27"/>
    </row>
    <row r="36905">
      <c r="S36905" s="27"/>
      <c r="T36905" s="27"/>
      <c r="U36905" s="27"/>
    </row>
    <row r="36906">
      <c r="S36906" s="27"/>
      <c r="T36906" s="27"/>
      <c r="U36906" s="27"/>
    </row>
    <row r="36908">
      <c r="S36908" s="27"/>
      <c r="T36908" s="27"/>
      <c r="U36908" s="27"/>
    </row>
    <row r="36909">
      <c r="S36909" s="27"/>
      <c r="T36909" s="27"/>
      <c r="U36909" s="27"/>
    </row>
    <row r="36911">
      <c r="S36911" s="27"/>
      <c r="T36911" s="27"/>
      <c r="U36911" s="27"/>
    </row>
    <row r="36912">
      <c r="S36912" s="27"/>
      <c r="T36912" s="27"/>
      <c r="U36912" s="27"/>
    </row>
    <row r="36914">
      <c r="S36914" s="27"/>
      <c r="T36914" s="27"/>
      <c r="U36914" s="27"/>
    </row>
    <row r="36915">
      <c r="S36915" s="27"/>
      <c r="T36915" s="27"/>
      <c r="U36915" s="27"/>
    </row>
    <row r="36917">
      <c r="S36917" s="27"/>
      <c r="T36917" s="27"/>
      <c r="U36917" s="27"/>
    </row>
    <row r="36918">
      <c r="S36918" s="27"/>
      <c r="T36918" s="27"/>
      <c r="U36918" s="27"/>
    </row>
    <row r="36920">
      <c r="S36920" s="27"/>
      <c r="T36920" s="27"/>
      <c r="U36920" s="27"/>
    </row>
    <row r="36921">
      <c r="S36921" s="27"/>
      <c r="T36921" s="27"/>
      <c r="U36921" s="27"/>
    </row>
    <row r="36923">
      <c r="S36923" s="27"/>
      <c r="T36923" s="27"/>
      <c r="U36923" s="27"/>
    </row>
    <row r="36924">
      <c r="S36924" s="27"/>
      <c r="T36924" s="27"/>
      <c r="U36924" s="27"/>
    </row>
    <row r="36926">
      <c r="S36926" s="27"/>
      <c r="T36926" s="27"/>
      <c r="U36926" s="27"/>
    </row>
    <row r="36927">
      <c r="S36927" s="27"/>
      <c r="T36927" s="27"/>
      <c r="U36927" s="27"/>
    </row>
    <row r="36929">
      <c r="S36929" s="27"/>
      <c r="T36929" s="27"/>
      <c r="U36929" s="27"/>
    </row>
    <row r="36930">
      <c r="S36930" s="27"/>
      <c r="T36930" s="27"/>
      <c r="U36930" s="27"/>
    </row>
    <row r="36932">
      <c r="S36932" s="27"/>
      <c r="T36932" s="27"/>
      <c r="U36932" s="27"/>
    </row>
    <row r="36933">
      <c r="S36933" s="27"/>
      <c r="T36933" s="27"/>
      <c r="U36933" s="27"/>
    </row>
    <row r="36935">
      <c r="S36935" s="27"/>
      <c r="T36935" s="27"/>
      <c r="U36935" s="27"/>
    </row>
    <row r="36936">
      <c r="S36936" s="27"/>
      <c r="T36936" s="27"/>
      <c r="U36936" s="27"/>
    </row>
    <row r="36938">
      <c r="S36938" s="27"/>
      <c r="T36938" s="27"/>
      <c r="U36938" s="27"/>
    </row>
    <row r="36939">
      <c r="S36939" s="27"/>
      <c r="T36939" s="27"/>
      <c r="U36939" s="27"/>
    </row>
    <row r="36941">
      <c r="S36941" s="27"/>
      <c r="T36941" s="27"/>
      <c r="U36941" s="27"/>
    </row>
    <row r="36942">
      <c r="S36942" s="27"/>
      <c r="T36942" s="27"/>
      <c r="U36942" s="27"/>
    </row>
    <row r="36944">
      <c r="S36944" s="27"/>
      <c r="T36944" s="27"/>
      <c r="U36944" s="27"/>
    </row>
    <row r="36945">
      <c r="S36945" s="27"/>
      <c r="T36945" s="27"/>
      <c r="U36945" s="27"/>
    </row>
    <row r="36947">
      <c r="S36947" s="27"/>
      <c r="T36947" s="27"/>
      <c r="U36947" s="27"/>
    </row>
    <row r="36948">
      <c r="S36948" s="27"/>
      <c r="T36948" s="27"/>
      <c r="U36948" s="27"/>
    </row>
    <row r="36950">
      <c r="S36950" s="27"/>
      <c r="T36950" s="27"/>
      <c r="U36950" s="27"/>
    </row>
    <row r="36951">
      <c r="S36951" s="27"/>
      <c r="T36951" s="27"/>
      <c r="U36951" s="27"/>
    </row>
    <row r="36953">
      <c r="S36953" s="27"/>
      <c r="T36953" s="27"/>
      <c r="U36953" s="27"/>
    </row>
    <row r="36954">
      <c r="S36954" s="27"/>
      <c r="T36954" s="27"/>
      <c r="U36954" s="27"/>
    </row>
    <row r="36956">
      <c r="S36956" s="27"/>
      <c r="T36956" s="27"/>
      <c r="U36956" s="27"/>
    </row>
    <row r="36958">
      <c r="S36958" s="27"/>
      <c r="T36958" s="27"/>
      <c r="U36958" s="27"/>
    </row>
    <row r="36959">
      <c r="S36959" s="27"/>
      <c r="T36959" s="27"/>
      <c r="U36959" s="27"/>
    </row>
    <row r="36961">
      <c r="S36961" s="27"/>
      <c r="T36961" s="27"/>
      <c r="U36961" s="27"/>
    </row>
    <row r="36962">
      <c r="S36962" s="27"/>
      <c r="T36962" s="27"/>
      <c r="U36962" s="27"/>
    </row>
    <row r="36964">
      <c r="S36964" s="27"/>
      <c r="T36964" s="27"/>
      <c r="U36964" s="27"/>
    </row>
    <row r="36965">
      <c r="S36965" s="27"/>
      <c r="T36965" s="27"/>
      <c r="U36965" s="27"/>
    </row>
    <row r="36967">
      <c r="S36967" s="27"/>
      <c r="T36967" s="27"/>
      <c r="U36967" s="27"/>
    </row>
    <row r="36968">
      <c r="S36968" s="27"/>
      <c r="T36968" s="27"/>
      <c r="U36968" s="27"/>
    </row>
    <row r="36970">
      <c r="S36970" s="27"/>
      <c r="T36970" s="27"/>
      <c r="U36970" s="27"/>
    </row>
    <row r="36971">
      <c r="S36971" s="27"/>
      <c r="T36971" s="27"/>
      <c r="U36971" s="27"/>
    </row>
    <row r="36973">
      <c r="S36973" s="27"/>
      <c r="T36973" s="27"/>
      <c r="U36973" s="27"/>
    </row>
    <row r="36974">
      <c r="S36974" s="27"/>
      <c r="T36974" s="27"/>
      <c r="U36974" s="27"/>
    </row>
    <row r="36976">
      <c r="S36976" s="27"/>
      <c r="T36976" s="27"/>
      <c r="U36976" s="27"/>
    </row>
    <row r="36977">
      <c r="S36977" s="27"/>
      <c r="T36977" s="27"/>
      <c r="U36977" s="27"/>
    </row>
    <row r="36979">
      <c r="S36979" s="27"/>
      <c r="T36979" s="27"/>
      <c r="U36979" s="27"/>
    </row>
    <row r="36981">
      <c r="S36981" s="27"/>
      <c r="T36981" s="27"/>
      <c r="U36981" s="27"/>
    </row>
    <row r="36983">
      <c r="S36983" s="27"/>
      <c r="T36983" s="27"/>
      <c r="U36983" s="27"/>
    </row>
    <row r="36985">
      <c r="S36985" s="27"/>
      <c r="T36985" s="27"/>
      <c r="U36985" s="27"/>
    </row>
    <row r="36987">
      <c r="S36987" s="27"/>
      <c r="T36987" s="27"/>
      <c r="U36987" s="27"/>
    </row>
    <row r="36988">
      <c r="S36988" s="27"/>
      <c r="T36988" s="27"/>
      <c r="U36988" s="27"/>
    </row>
    <row r="36990">
      <c r="S36990" s="27"/>
      <c r="T36990" s="27"/>
      <c r="U36990" s="27"/>
    </row>
    <row r="36991">
      <c r="S36991" s="27"/>
      <c r="T36991" s="27"/>
      <c r="U36991" s="27"/>
    </row>
    <row r="36993">
      <c r="S36993" s="27"/>
      <c r="T36993" s="27"/>
      <c r="U36993" s="27"/>
    </row>
    <row r="36994">
      <c r="S36994" s="27"/>
      <c r="T36994" s="27"/>
      <c r="U36994" s="27"/>
    </row>
    <row r="36996">
      <c r="S36996" s="27"/>
      <c r="T36996" s="27"/>
      <c r="U36996" s="27"/>
    </row>
    <row r="36997">
      <c r="S36997" s="27"/>
      <c r="T36997" s="27"/>
      <c r="U36997" s="27"/>
    </row>
    <row r="36999">
      <c r="S36999" s="27"/>
      <c r="T36999" s="27"/>
      <c r="U36999" s="27"/>
    </row>
    <row r="37000">
      <c r="S37000" s="27"/>
      <c r="T37000" s="27"/>
      <c r="U37000" s="27"/>
    </row>
    <row r="37002">
      <c r="S37002" s="27"/>
      <c r="T37002" s="27"/>
      <c r="U37002" s="27"/>
    </row>
    <row r="37003">
      <c r="S37003" s="27"/>
      <c r="T37003" s="27"/>
      <c r="U37003" s="27"/>
    </row>
    <row r="37005">
      <c r="S37005" s="27"/>
      <c r="T37005" s="27"/>
      <c r="U37005" s="27"/>
    </row>
    <row r="37006">
      <c r="S37006" s="27"/>
      <c r="T37006" s="27"/>
      <c r="U37006" s="27"/>
    </row>
    <row r="37008">
      <c r="S37008" s="26"/>
      <c r="T37008" s="26"/>
      <c r="U37008" s="26"/>
    </row>
    <row r="37011">
      <c r="S37011" s="27"/>
      <c r="T37011" s="27"/>
      <c r="U37011" s="27"/>
    </row>
    <row r="37014">
      <c r="S37014" s="27"/>
      <c r="T37014" s="27"/>
      <c r="U37014" s="27"/>
    </row>
    <row r="37015">
      <c r="S37015" s="27"/>
      <c r="T37015" s="27"/>
      <c r="U37015" s="27"/>
    </row>
    <row r="37017">
      <c r="S37017" s="27"/>
      <c r="T37017" s="27"/>
      <c r="U37017" s="27"/>
    </row>
    <row r="37018">
      <c r="S37018" s="27"/>
      <c r="T37018" s="27"/>
      <c r="U37018" s="27"/>
    </row>
    <row r="37020">
      <c r="S37020" s="27"/>
      <c r="T37020" s="27"/>
      <c r="U37020" s="27"/>
    </row>
    <row r="37021">
      <c r="S37021" s="27"/>
      <c r="T37021" s="27"/>
      <c r="U37021" s="27"/>
    </row>
    <row r="37023">
      <c r="S37023" s="26"/>
      <c r="T37023" s="26"/>
    </row>
    <row r="37026">
      <c r="S37026" s="27"/>
      <c r="T37026" s="27"/>
      <c r="U37026" s="27"/>
    </row>
    <row r="37027">
      <c r="S37027" s="27"/>
      <c r="T37027" s="27"/>
      <c r="U37027" s="27"/>
    </row>
    <row r="37029">
      <c r="S37029" s="27"/>
      <c r="T37029" s="27"/>
      <c r="U37029" s="27"/>
    </row>
    <row r="37030">
      <c r="S37030" s="27"/>
      <c r="T37030" s="27"/>
      <c r="U37030" s="27"/>
    </row>
    <row r="37032">
      <c r="T37032" s="27"/>
      <c r="U37032" s="27"/>
    </row>
    <row r="37033">
      <c r="S37033" s="27"/>
      <c r="T37033" s="27"/>
      <c r="U37033" s="27"/>
    </row>
    <row r="37035">
      <c r="S37035" s="27"/>
      <c r="T37035" s="27"/>
      <c r="U37035" s="27"/>
    </row>
    <row r="37038">
      <c r="S37038" s="26"/>
      <c r="T37038" s="26"/>
      <c r="U37038" s="26"/>
    </row>
    <row r="37041">
      <c r="S37041" s="27"/>
      <c r="T37041" s="27"/>
      <c r="U37041" s="27"/>
    </row>
    <row r="37042">
      <c r="S37042" s="27"/>
      <c r="T37042" s="27"/>
      <c r="U37042" s="27"/>
    </row>
    <row r="37044">
      <c r="S37044" s="27"/>
      <c r="T37044" s="27"/>
      <c r="U37044" s="27"/>
    </row>
    <row r="37045">
      <c r="S37045" s="27"/>
      <c r="T37045" s="27"/>
      <c r="U37045" s="27"/>
    </row>
    <row r="37050">
      <c r="T37050" s="27"/>
      <c r="U37050" s="27"/>
    </row>
    <row r="37053">
      <c r="S37053" s="27"/>
      <c r="T37053" s="27"/>
      <c r="U37053" s="27"/>
    </row>
    <row r="37056">
      <c r="S37056" s="27"/>
      <c r="T37056" s="27"/>
      <c r="U37056" s="27"/>
    </row>
    <row r="37057">
      <c r="S37057" s="27"/>
      <c r="T37057" s="27"/>
      <c r="U37057" s="27"/>
    </row>
    <row r="37059">
      <c r="S37059" s="27"/>
      <c r="T37059" s="27"/>
      <c r="U37059" s="27"/>
    </row>
    <row r="37060">
      <c r="S37060" s="27"/>
      <c r="T37060" s="27"/>
      <c r="U37060" s="27"/>
    </row>
    <row r="37062">
      <c r="S37062" s="27"/>
      <c r="T37062" s="27"/>
      <c r="U37062" s="27"/>
    </row>
    <row r="37063">
      <c r="S37063" s="27"/>
      <c r="T37063" s="27"/>
      <c r="U37063" s="27"/>
    </row>
    <row r="37065">
      <c r="S37065" s="27"/>
      <c r="T37065" s="27"/>
      <c r="U37065" s="27"/>
    </row>
    <row r="37066">
      <c r="S37066" s="27"/>
      <c r="T37066" s="27"/>
      <c r="U37066" s="27"/>
    </row>
    <row r="37068">
      <c r="S37068" s="27"/>
      <c r="T37068" s="27"/>
      <c r="U37068" s="27"/>
    </row>
    <row r="37069">
      <c r="S37069" s="27"/>
      <c r="T37069" s="27"/>
      <c r="U37069" s="27"/>
    </row>
    <row r="37071">
      <c r="S37071" s="27"/>
      <c r="T37071" s="27"/>
      <c r="U37071" s="27"/>
    </row>
    <row r="37072">
      <c r="S37072" s="27"/>
      <c r="T37072" s="27"/>
      <c r="U37072" s="27"/>
    </row>
    <row r="37074">
      <c r="S37074" s="27"/>
      <c r="T37074" s="27"/>
      <c r="U37074" s="27"/>
    </row>
    <row r="37075">
      <c r="S37075" s="27"/>
      <c r="T37075" s="27"/>
      <c r="U37075" s="27"/>
    </row>
    <row r="37077">
      <c r="S37077" s="27"/>
      <c r="T37077" s="27"/>
      <c r="U37077" s="27"/>
    </row>
    <row r="37078">
      <c r="S37078" s="27"/>
      <c r="T37078" s="27"/>
      <c r="U37078" s="27"/>
    </row>
    <row r="37080">
      <c r="S37080" s="27"/>
      <c r="T37080" s="27"/>
      <c r="U37080" s="27"/>
    </row>
    <row r="37081">
      <c r="S37081" s="27"/>
      <c r="T37081" s="27"/>
      <c r="U37081" s="27"/>
    </row>
    <row r="37083">
      <c r="S37083" s="27"/>
      <c r="T37083" s="27"/>
      <c r="U37083" s="27"/>
    </row>
    <row r="37084">
      <c r="S37084" s="27"/>
      <c r="T37084" s="27"/>
      <c r="U37084" s="27"/>
    </row>
    <row r="37086">
      <c r="S37086" s="27"/>
      <c r="T37086" s="27"/>
      <c r="U37086" s="27"/>
    </row>
    <row r="37087">
      <c r="S37087" s="27"/>
      <c r="T37087" s="27"/>
      <c r="U37087" s="27"/>
    </row>
    <row r="37089">
      <c r="S37089" s="27"/>
      <c r="T37089" s="27"/>
      <c r="U37089" s="27"/>
    </row>
    <row r="37090">
      <c r="S37090" s="27"/>
      <c r="T37090" s="27"/>
      <c r="U37090" s="27"/>
    </row>
    <row r="37092">
      <c r="S37092" s="27"/>
      <c r="T37092" s="27"/>
      <c r="U37092" s="27"/>
    </row>
    <row r="37093">
      <c r="S37093" s="27"/>
      <c r="T37093" s="27"/>
      <c r="U37093" s="27"/>
    </row>
    <row r="37095">
      <c r="S37095" s="27"/>
      <c r="T37095" s="27"/>
      <c r="U37095" s="27"/>
    </row>
    <row r="37096">
      <c r="S37096" s="27"/>
      <c r="T37096" s="27"/>
      <c r="U37096" s="27"/>
    </row>
    <row r="37098">
      <c r="S37098" s="27"/>
      <c r="T37098" s="27"/>
      <c r="U37098" s="27"/>
    </row>
    <row r="37099">
      <c r="S37099" s="27"/>
      <c r="T37099" s="27"/>
      <c r="U37099" s="27"/>
    </row>
    <row r="37101">
      <c r="S37101" s="27"/>
      <c r="T37101" s="27"/>
      <c r="U37101" s="27"/>
    </row>
    <row r="37102">
      <c r="S37102" s="27"/>
      <c r="T37102" s="27"/>
      <c r="U37102" s="27"/>
    </row>
    <row r="37104">
      <c r="S37104" s="27"/>
      <c r="T37104" s="27"/>
      <c r="U37104" s="27"/>
    </row>
    <row r="37105">
      <c r="S37105" s="27"/>
      <c r="T37105" s="27"/>
      <c r="U37105" s="27"/>
    </row>
    <row r="37107">
      <c r="S37107" s="27"/>
      <c r="T37107" s="27"/>
      <c r="U37107" s="27"/>
    </row>
    <row r="37108">
      <c r="S37108" s="27"/>
      <c r="T37108" s="27"/>
      <c r="U37108" s="27"/>
    </row>
    <row r="37110">
      <c r="S37110" s="27"/>
      <c r="T37110" s="27"/>
      <c r="U37110" s="27"/>
    </row>
    <row r="37111">
      <c r="S37111" s="27"/>
      <c r="T37111" s="27"/>
      <c r="U37111" s="27"/>
    </row>
    <row r="37113">
      <c r="S37113" s="27"/>
      <c r="T37113" s="27"/>
      <c r="U37113" s="27"/>
    </row>
    <row r="37114">
      <c r="S37114" s="27"/>
      <c r="T37114" s="27"/>
      <c r="U37114" s="27"/>
    </row>
    <row r="37116">
      <c r="T37116" s="27"/>
      <c r="U37116" s="27"/>
    </row>
    <row r="37117">
      <c r="T37117" s="27"/>
      <c r="U37117" s="27"/>
    </row>
    <row r="37119">
      <c r="S37119" s="27"/>
      <c r="T37119" s="27"/>
      <c r="U37119" s="27"/>
    </row>
    <row r="37120">
      <c r="S37120" s="27"/>
      <c r="T37120" s="27"/>
      <c r="U37120" s="27"/>
    </row>
    <row r="37122">
      <c r="S37122" s="27"/>
      <c r="T37122" s="27"/>
      <c r="U37122" s="27"/>
    </row>
    <row r="37123">
      <c r="S37123" s="27"/>
      <c r="T37123" s="27"/>
      <c r="U37123" s="27"/>
    </row>
    <row r="37125">
      <c r="S37125" s="27"/>
      <c r="T37125" s="27"/>
      <c r="U37125" s="27"/>
    </row>
    <row r="37126">
      <c r="S37126" s="27"/>
      <c r="T37126" s="27"/>
      <c r="U37126" s="27"/>
    </row>
    <row r="37128">
      <c r="S37128" s="27"/>
      <c r="T37128" s="27"/>
      <c r="U37128" s="27"/>
    </row>
    <row r="37129">
      <c r="S37129" s="27"/>
      <c r="T37129" s="27"/>
      <c r="U37129" s="27"/>
    </row>
    <row r="37131">
      <c r="S37131" s="27"/>
      <c r="T37131" s="27"/>
      <c r="U37131" s="27"/>
    </row>
    <row r="37132">
      <c r="S37132" s="27"/>
      <c r="T37132" s="27"/>
      <c r="U37132" s="27"/>
    </row>
    <row r="37134">
      <c r="S37134" s="27"/>
      <c r="T37134" s="27"/>
      <c r="U37134" s="27"/>
    </row>
    <row r="37137">
      <c r="S37137" s="33"/>
      <c r="T37137" s="27"/>
      <c r="U37137" s="33"/>
    </row>
    <row r="37138">
      <c r="S37138" s="27"/>
      <c r="T37138" s="27"/>
      <c r="U37138" s="27"/>
    </row>
    <row r="37140">
      <c r="S37140" s="27"/>
      <c r="T37140" s="27"/>
      <c r="U37140" s="27"/>
    </row>
    <row r="37141">
      <c r="S37141" s="27"/>
      <c r="T37141" s="27"/>
      <c r="U37141" s="27"/>
    </row>
    <row r="37143">
      <c r="S37143" s="27"/>
      <c r="T37143" s="27"/>
      <c r="U37143" s="27"/>
    </row>
    <row r="37144">
      <c r="S37144" s="26"/>
      <c r="T37144" s="26"/>
      <c r="U37144" s="26"/>
    </row>
    <row r="37146">
      <c r="S37146" s="27"/>
      <c r="U37146" s="27"/>
    </row>
    <row r="37147">
      <c r="S37147" s="27"/>
      <c r="T37147" s="27"/>
      <c r="U37147" s="27"/>
    </row>
    <row r="37149">
      <c r="S37149" s="27"/>
      <c r="T37149" s="27"/>
      <c r="U37149" s="27"/>
    </row>
    <row r="37150">
      <c r="S37150" s="27"/>
      <c r="T37150" s="27"/>
      <c r="U37150" s="27"/>
    </row>
    <row r="37152">
      <c r="S37152" s="27"/>
      <c r="T37152" s="27"/>
      <c r="U37152" s="27"/>
    </row>
    <row r="37153">
      <c r="S37153" s="27"/>
      <c r="T37153" s="27"/>
      <c r="U37153" s="27"/>
    </row>
    <row r="37155">
      <c r="S37155" s="26"/>
    </row>
    <row r="37158">
      <c r="S37158" s="26"/>
      <c r="T37158" s="26"/>
    </row>
    <row r="37161">
      <c r="S37161" s="27"/>
      <c r="T37161" s="27"/>
    </row>
    <row r="37163">
      <c r="S37163" s="27"/>
      <c r="T37163" s="27"/>
      <c r="U37163" s="27"/>
    </row>
    <row r="37165">
      <c r="S37165" s="26"/>
      <c r="T37165" s="26"/>
      <c r="U37165" s="26"/>
    </row>
    <row r="37168">
      <c r="S37168" s="27"/>
      <c r="T37168" s="27"/>
      <c r="U37168" s="27"/>
    </row>
    <row r="37171">
      <c r="S37171" s="27"/>
      <c r="T37171" s="27"/>
      <c r="U37171" s="27"/>
    </row>
    <row r="37172">
      <c r="S37172" s="27"/>
      <c r="T37172" s="27"/>
      <c r="U37172" s="27"/>
    </row>
    <row r="37174">
      <c r="S37174" s="27"/>
      <c r="T37174" s="27"/>
      <c r="U37174" s="27"/>
    </row>
    <row r="37175">
      <c r="S37175" s="27"/>
      <c r="T37175" s="27"/>
      <c r="U37175" s="27"/>
    </row>
    <row r="37177">
      <c r="S37177" s="27"/>
      <c r="T37177" s="27"/>
      <c r="U37177" s="27"/>
    </row>
    <row r="37178">
      <c r="U37178" s="27"/>
    </row>
    <row r="37180">
      <c r="S37180" s="27"/>
      <c r="T37180" s="27"/>
    </row>
    <row r="37181">
      <c r="S37181" s="27"/>
      <c r="T37181" s="26"/>
      <c r="U37181" s="27"/>
    </row>
    <row r="37183">
      <c r="S37183" s="27"/>
      <c r="T37183" s="27"/>
      <c r="U37183" s="27"/>
    </row>
    <row r="37184">
      <c r="S37184" s="27"/>
      <c r="T37184" s="27"/>
      <c r="U37184" s="27"/>
    </row>
    <row r="37189">
      <c r="S37189" s="27"/>
      <c r="T37189" s="27"/>
      <c r="U37189" s="27"/>
    </row>
    <row r="37190">
      <c r="S37190" s="27"/>
      <c r="T37190" s="27"/>
      <c r="U37190" s="27"/>
    </row>
    <row r="37192">
      <c r="S37192" s="27"/>
      <c r="T37192" s="27"/>
      <c r="U37192" s="27"/>
    </row>
    <row r="37193">
      <c r="S37193" s="27"/>
      <c r="T37193" s="27"/>
      <c r="U37193" s="27"/>
    </row>
    <row r="37195">
      <c r="S37195" s="27"/>
      <c r="T37195" s="27"/>
      <c r="U37195" s="27"/>
    </row>
    <row r="37196">
      <c r="S37196" s="27"/>
      <c r="T37196" s="27"/>
      <c r="U37196" s="27"/>
    </row>
    <row r="37198">
      <c r="S37198" s="27"/>
      <c r="T37198" s="33"/>
      <c r="U37198" s="27"/>
    </row>
    <row r="37201">
      <c r="S37201" s="27"/>
      <c r="T37201" s="27"/>
      <c r="U37201" s="27"/>
    </row>
    <row r="37202">
      <c r="S37202" s="27"/>
      <c r="T37202" s="27"/>
      <c r="U37202" s="27"/>
    </row>
    <row r="37204">
      <c r="S37204" s="27"/>
      <c r="T37204" s="27"/>
      <c r="U37204" s="27"/>
    </row>
    <row r="37207">
      <c r="S37207" s="33"/>
      <c r="T37207" s="33"/>
      <c r="U37207" s="27"/>
    </row>
    <row r="37208">
      <c r="S37208" s="27"/>
      <c r="T37208" s="27"/>
      <c r="U37208" s="27"/>
    </row>
    <row r="37210">
      <c r="S37210" s="27"/>
    </row>
    <row r="37211">
      <c r="S37211" s="26"/>
      <c r="T37211" s="26"/>
      <c r="U37211" s="26"/>
    </row>
    <row r="37213">
      <c r="S37213" s="27"/>
      <c r="T37213" s="27"/>
      <c r="U37213" s="27"/>
    </row>
    <row r="37214">
      <c r="S37214" s="27"/>
      <c r="T37214" s="27"/>
      <c r="U37214" s="27"/>
    </row>
    <row r="37216">
      <c r="S37216" s="27"/>
      <c r="T37216" s="27"/>
      <c r="U37216" s="27"/>
    </row>
    <row r="37217">
      <c r="S37217" s="27"/>
      <c r="T37217" s="27"/>
      <c r="U37217" s="27"/>
    </row>
    <row r="37219">
      <c r="S37219" s="27"/>
      <c r="T37219" s="27"/>
      <c r="U37219" s="27"/>
    </row>
    <row r="37220">
      <c r="S37220" s="27"/>
      <c r="T37220" s="27"/>
      <c r="U37220" s="27"/>
    </row>
    <row r="37222">
      <c r="S37222" s="27"/>
      <c r="T37222" s="27"/>
      <c r="U37222" s="27"/>
    </row>
    <row r="37223">
      <c r="S37223" s="27"/>
      <c r="T37223" s="27"/>
      <c r="U37223" s="27"/>
    </row>
    <row r="37225">
      <c r="S37225" s="27"/>
    </row>
    <row r="37228">
      <c r="S37228" s="27"/>
      <c r="T37228" s="27"/>
      <c r="U37228" s="27"/>
    </row>
    <row r="37229">
      <c r="S37229" s="27"/>
      <c r="T37229" s="27"/>
      <c r="U37229" s="27"/>
    </row>
    <row r="37231">
      <c r="S37231" s="27"/>
      <c r="T37231" s="27"/>
      <c r="U37231" s="27"/>
    </row>
    <row r="37232">
      <c r="S37232" s="27"/>
      <c r="T37232" s="27"/>
      <c r="U37232" s="27"/>
    </row>
    <row r="37234">
      <c r="S37234" s="27"/>
    </row>
    <row r="37237">
      <c r="U37237" s="26"/>
    </row>
    <row r="37238">
      <c r="T37238" s="27"/>
    </row>
    <row r="37240">
      <c r="S37240" s="27"/>
      <c r="T37240" s="27"/>
      <c r="U37240" s="27"/>
    </row>
    <row r="37241">
      <c r="S37241" s="27"/>
      <c r="T37241" s="27"/>
      <c r="U37241" s="27"/>
    </row>
    <row r="37243">
      <c r="S37243" s="27"/>
      <c r="T37243" s="27"/>
      <c r="U37243" s="27"/>
    </row>
    <row r="37244">
      <c r="S37244" s="27"/>
      <c r="T37244" s="27"/>
      <c r="U37244" s="27"/>
    </row>
    <row r="37246">
      <c r="S37246" s="27"/>
      <c r="T37246" s="27"/>
      <c r="U37246" s="27"/>
    </row>
    <row r="37249">
      <c r="S37249" s="27"/>
      <c r="T37249" s="27"/>
      <c r="U37249" s="27"/>
    </row>
    <row r="37250">
      <c r="S37250" s="27"/>
      <c r="T37250" s="27"/>
      <c r="U37250" s="27"/>
    </row>
    <row r="37252">
      <c r="S37252" s="26"/>
      <c r="T37252" s="26"/>
      <c r="U37252" s="26"/>
    </row>
    <row r="37255">
      <c r="S37255" s="27"/>
      <c r="T37255" s="27"/>
      <c r="U37255" s="27"/>
    </row>
    <row r="37258">
      <c r="S37258" s="27"/>
      <c r="T37258" s="27"/>
      <c r="U37258" s="27"/>
    </row>
    <row r="37259">
      <c r="S37259" s="27"/>
      <c r="T37259" s="27"/>
      <c r="U37259" s="27"/>
    </row>
    <row r="37261">
      <c r="S37261" s="27"/>
      <c r="T37261" s="27"/>
      <c r="U37261" s="27"/>
    </row>
    <row r="37262">
      <c r="S37262" s="27"/>
      <c r="T37262" s="27"/>
      <c r="U37262" s="27"/>
    </row>
    <row r="37264">
      <c r="S37264" s="27"/>
      <c r="T37264" s="27"/>
      <c r="U37264" s="27"/>
    </row>
    <row r="37265">
      <c r="S37265" s="27"/>
      <c r="T37265" s="27"/>
      <c r="U37265" s="27"/>
    </row>
    <row r="37267">
      <c r="S37267" s="27"/>
    </row>
    <row r="37268">
      <c r="T37268" s="26"/>
      <c r="U37268" s="26"/>
    </row>
    <row r="37270">
      <c r="S37270" s="27"/>
      <c r="T37270" s="27"/>
      <c r="U37270" s="27"/>
    </row>
    <row r="37271">
      <c r="S37271" s="27"/>
      <c r="T37271" s="27"/>
      <c r="U37271" s="27"/>
    </row>
    <row r="37273">
      <c r="S37273" s="27"/>
      <c r="T37273" s="27"/>
      <c r="U37273" s="27"/>
    </row>
    <row r="37274">
      <c r="S37274" s="27"/>
      <c r="T37274" s="27"/>
      <c r="U37274" s="27"/>
    </row>
    <row r="37279">
      <c r="S37279" s="27"/>
      <c r="T37279" s="27"/>
      <c r="U37279" s="27"/>
    </row>
    <row r="37280">
      <c r="S37280" s="27"/>
      <c r="T37280" s="27"/>
      <c r="U37280" s="27"/>
    </row>
    <row r="37282">
      <c r="S37282" s="27"/>
      <c r="T37282" s="27"/>
      <c r="U37282" s="27"/>
    </row>
    <row r="37283">
      <c r="S37283" s="27"/>
      <c r="T37283" s="27"/>
      <c r="U37283" s="27"/>
    </row>
    <row r="37285">
      <c r="S37285" s="27"/>
      <c r="T37285" s="27"/>
      <c r="U37285" s="27"/>
    </row>
    <row r="37286">
      <c r="S37286" s="27"/>
      <c r="T37286" s="27"/>
      <c r="U37286" s="27"/>
    </row>
    <row r="37288">
      <c r="S37288" s="27"/>
      <c r="T37288" s="27"/>
      <c r="U37288" s="27"/>
    </row>
    <row r="37289">
      <c r="S37289" s="27"/>
      <c r="T37289" s="27"/>
      <c r="U37289" s="27"/>
    </row>
    <row r="37291">
      <c r="S37291" s="27"/>
      <c r="T37291" s="27"/>
      <c r="U37291" s="27"/>
    </row>
    <row r="37292">
      <c r="S37292" s="27"/>
      <c r="T37292" s="27"/>
      <c r="U37292" s="27"/>
    </row>
    <row r="37294">
      <c r="S37294" s="27"/>
      <c r="T37294" s="27"/>
      <c r="U37294" s="27"/>
    </row>
    <row r="37295">
      <c r="S37295" s="27"/>
      <c r="T37295" s="27"/>
      <c r="U37295" s="27"/>
    </row>
    <row r="37297">
      <c r="S37297" s="27"/>
      <c r="T37297" s="27"/>
      <c r="U37297" s="27"/>
    </row>
    <row r="37298">
      <c r="S37298" s="27"/>
      <c r="T37298" s="27"/>
      <c r="U37298" s="27"/>
    </row>
    <row r="37300">
      <c r="S37300" s="27"/>
      <c r="T37300" s="27"/>
      <c r="U37300" s="27"/>
    </row>
    <row r="37301">
      <c r="S37301" s="27"/>
      <c r="T37301" s="27"/>
      <c r="U37301" s="27"/>
    </row>
    <row r="37303">
      <c r="S37303" s="27"/>
      <c r="T37303" s="27"/>
      <c r="U37303" s="27"/>
    </row>
    <row r="37304">
      <c r="S37304" s="27"/>
      <c r="T37304" s="27"/>
      <c r="U37304" s="27"/>
    </row>
    <row r="37306">
      <c r="S37306" s="27"/>
      <c r="T37306" s="27"/>
      <c r="U37306" s="27"/>
    </row>
    <row r="37307">
      <c r="S37307" s="27"/>
      <c r="T37307" s="27"/>
      <c r="U37307" s="27"/>
    </row>
    <row r="37309">
      <c r="S37309" s="27"/>
      <c r="T37309" s="27"/>
      <c r="U37309" s="27"/>
    </row>
    <row r="37310">
      <c r="S37310" s="27"/>
      <c r="T37310" s="27"/>
      <c r="U37310" s="27"/>
    </row>
    <row r="37312">
      <c r="S37312" s="27"/>
      <c r="T37312" s="27"/>
      <c r="U37312" s="27"/>
    </row>
    <row r="37313">
      <c r="S37313" s="27"/>
      <c r="T37313" s="27"/>
      <c r="U37313" s="27"/>
    </row>
    <row r="37315">
      <c r="S37315" s="27"/>
      <c r="T37315" s="27"/>
      <c r="U37315" s="27"/>
    </row>
    <row r="37316">
      <c r="S37316" s="27"/>
      <c r="T37316" s="27"/>
      <c r="U37316" s="27"/>
    </row>
    <row r="37318">
      <c r="S37318" s="27"/>
      <c r="T37318" s="27"/>
      <c r="U37318" s="27"/>
    </row>
    <row r="37319">
      <c r="S37319" s="27"/>
      <c r="T37319" s="27"/>
      <c r="U37319" s="27"/>
    </row>
    <row r="37321">
      <c r="S37321" s="27"/>
      <c r="T37321" s="27"/>
      <c r="U37321" s="27"/>
    </row>
    <row r="37322">
      <c r="S37322" s="27"/>
      <c r="T37322" s="27"/>
      <c r="U37322" s="27"/>
    </row>
    <row r="37324">
      <c r="S37324" s="27"/>
      <c r="T37324" s="27"/>
      <c r="U37324" s="27"/>
    </row>
    <row r="37325">
      <c r="S37325" s="27"/>
      <c r="T37325" s="27"/>
      <c r="U37325" s="27"/>
    </row>
    <row r="37327">
      <c r="S37327" s="27"/>
      <c r="T37327" s="27"/>
      <c r="U37327" s="27"/>
    </row>
    <row r="37328">
      <c r="S37328" s="27"/>
      <c r="T37328" s="27"/>
      <c r="U37328" s="27"/>
    </row>
    <row r="37330">
      <c r="S37330" s="27"/>
      <c r="T37330" s="27"/>
      <c r="U37330" s="27"/>
    </row>
    <row r="37331">
      <c r="S37331" s="27"/>
      <c r="T37331" s="27"/>
      <c r="U37331" s="27"/>
    </row>
    <row r="37333">
      <c r="S37333" s="27"/>
      <c r="T37333" s="27"/>
      <c r="U37333" s="27"/>
    </row>
    <row r="37334">
      <c r="S37334" s="27"/>
      <c r="T37334" s="27"/>
      <c r="U37334" s="27"/>
    </row>
    <row r="37336">
      <c r="S37336" s="27"/>
      <c r="T37336" s="27"/>
      <c r="U37336" s="27"/>
    </row>
    <row r="37337">
      <c r="S37337" s="27"/>
      <c r="T37337" s="27"/>
      <c r="U37337" s="27"/>
    </row>
    <row r="37339">
      <c r="S37339" s="27"/>
      <c r="T37339" s="27"/>
      <c r="U37339" s="27"/>
    </row>
    <row r="37340">
      <c r="S37340" s="27"/>
      <c r="T37340" s="27"/>
      <c r="U37340" s="27"/>
    </row>
    <row r="37342">
      <c r="S37342" s="27"/>
      <c r="T37342" s="27"/>
      <c r="U37342" s="27"/>
    </row>
    <row r="37343">
      <c r="S37343" s="27"/>
      <c r="T37343" s="27"/>
      <c r="U37343" s="27"/>
    </row>
    <row r="37345">
      <c r="S37345" s="27"/>
      <c r="T37345" s="27"/>
      <c r="U37345" s="27"/>
    </row>
    <row r="37346">
      <c r="S37346" s="27"/>
      <c r="T37346" s="27"/>
      <c r="U37346" s="27"/>
    </row>
    <row r="37348">
      <c r="S37348" s="27"/>
      <c r="T37348" s="27"/>
      <c r="U37348" s="27"/>
    </row>
    <row r="37349">
      <c r="S37349" s="27"/>
      <c r="T37349" s="27"/>
      <c r="U37349" s="27"/>
    </row>
    <row r="37351">
      <c r="S37351" s="27"/>
      <c r="T37351" s="27"/>
      <c r="U37351" s="27"/>
    </row>
    <row r="37352">
      <c r="S37352" s="27"/>
      <c r="T37352" s="27"/>
      <c r="U37352" s="27"/>
    </row>
    <row r="37354">
      <c r="S37354" s="27"/>
      <c r="T37354" s="27"/>
      <c r="U37354" s="27"/>
    </row>
    <row r="37355">
      <c r="S37355" s="27"/>
      <c r="T37355" s="27"/>
      <c r="U37355" s="27"/>
    </row>
    <row r="37357">
      <c r="S37357" s="27"/>
      <c r="T37357" s="27"/>
      <c r="U37357" s="27"/>
    </row>
    <row r="37358">
      <c r="S37358" s="27"/>
      <c r="T37358" s="27"/>
      <c r="U37358" s="27"/>
    </row>
    <row r="37360">
      <c r="S37360" s="27"/>
      <c r="T37360" s="27"/>
      <c r="U37360" s="27"/>
    </row>
    <row r="37361">
      <c r="S37361" s="27"/>
      <c r="T37361" s="27"/>
      <c r="U37361" s="27"/>
    </row>
    <row r="37363">
      <c r="S37363" s="27"/>
      <c r="T37363" s="27"/>
      <c r="U37363" s="27"/>
    </row>
    <row r="37364">
      <c r="S37364" s="27"/>
      <c r="T37364" s="27"/>
      <c r="U37364" s="27"/>
    </row>
    <row r="37366">
      <c r="S37366" s="27"/>
      <c r="T37366" s="27"/>
      <c r="U37366" s="27"/>
    </row>
    <row r="37368">
      <c r="S37368" s="27"/>
      <c r="T37368" s="27"/>
    </row>
    <row r="37369">
      <c r="S37369" s="27"/>
      <c r="T37369" s="27"/>
      <c r="U37369" s="27"/>
    </row>
    <row r="37371">
      <c r="S37371" s="27"/>
      <c r="T37371" s="27"/>
      <c r="U37371" s="27"/>
    </row>
    <row r="37372">
      <c r="S37372" s="27"/>
      <c r="T37372" s="27"/>
      <c r="U37372" s="27"/>
    </row>
    <row r="37374">
      <c r="S37374" s="27"/>
      <c r="T37374" s="27"/>
      <c r="U37374" s="27"/>
    </row>
    <row r="37375">
      <c r="S37375" s="27"/>
      <c r="T37375" s="27"/>
      <c r="U37375" s="27"/>
    </row>
    <row r="37377">
      <c r="S37377" s="27"/>
      <c r="T37377" s="27"/>
      <c r="U37377" s="27"/>
    </row>
    <row r="37378">
      <c r="S37378" s="27"/>
      <c r="T37378" s="27"/>
      <c r="U37378" s="27"/>
    </row>
    <row r="37380">
      <c r="S37380" s="27"/>
      <c r="T37380" s="27"/>
      <c r="U37380" s="27"/>
    </row>
    <row r="37381">
      <c r="S37381" s="27"/>
      <c r="T37381" s="27"/>
      <c r="U37381" s="27"/>
    </row>
    <row r="37383">
      <c r="S37383" s="27"/>
      <c r="T37383" s="27"/>
      <c r="U37383" s="27"/>
    </row>
    <row r="37384">
      <c r="S37384" s="27"/>
      <c r="T37384" s="27"/>
      <c r="U37384" s="27"/>
    </row>
    <row r="37386">
      <c r="S37386" s="27"/>
      <c r="T37386" s="27"/>
      <c r="U37386" s="27"/>
    </row>
    <row r="37387">
      <c r="S37387" s="27"/>
      <c r="T37387" s="27"/>
      <c r="U37387" s="27"/>
    </row>
    <row r="37389">
      <c r="S37389" s="35"/>
      <c r="T37389" s="27"/>
      <c r="U37389" s="27"/>
    </row>
    <row r="37391">
      <c r="S37391" s="27"/>
      <c r="T37391" s="27"/>
      <c r="U37391" s="27"/>
    </row>
    <row r="37393">
      <c r="T37393" s="27"/>
      <c r="U37393" s="27"/>
    </row>
    <row r="37395">
      <c r="S37395" s="27"/>
      <c r="T37395" s="27"/>
      <c r="U37395" s="27"/>
    </row>
    <row r="37397">
      <c r="S37397" s="27"/>
      <c r="T37397" s="27"/>
      <c r="U37397" s="27"/>
    </row>
    <row r="37398">
      <c r="S37398" s="27"/>
      <c r="T37398" s="27"/>
      <c r="U37398" s="27"/>
    </row>
    <row r="37400">
      <c r="S37400" s="27"/>
      <c r="T37400" s="27"/>
      <c r="U37400" s="27"/>
    </row>
    <row r="37401">
      <c r="S37401" s="27"/>
      <c r="T37401" s="27"/>
      <c r="U37401" s="27"/>
    </row>
    <row r="37403">
      <c r="S37403" s="27"/>
      <c r="T37403" s="27"/>
      <c r="U37403" s="27"/>
    </row>
    <row r="37404">
      <c r="S37404" s="27"/>
      <c r="T37404" s="27"/>
      <c r="U37404" s="33"/>
    </row>
    <row r="37406">
      <c r="S37406" s="27"/>
      <c r="T37406" s="27"/>
      <c r="U37406" s="27"/>
    </row>
    <row r="37407">
      <c r="S37407" s="27"/>
      <c r="T37407" s="27"/>
      <c r="U37407" s="27"/>
    </row>
    <row r="37409">
      <c r="S37409" s="27"/>
      <c r="T37409" s="27"/>
      <c r="U37409" s="27"/>
    </row>
    <row r="37410">
      <c r="S37410" s="27"/>
      <c r="T37410" s="27"/>
      <c r="U37410" s="27"/>
    </row>
    <row r="37412">
      <c r="S37412" s="27"/>
      <c r="T37412" s="27"/>
      <c r="U37412" s="27"/>
    </row>
    <row r="37413">
      <c r="S37413" s="27"/>
      <c r="T37413" s="27"/>
      <c r="U37413" s="27"/>
    </row>
    <row r="37415">
      <c r="S37415" s="27"/>
      <c r="T37415" s="27"/>
      <c r="U37415" s="27"/>
    </row>
    <row r="37416">
      <c r="S37416" s="27"/>
      <c r="T37416" s="27"/>
      <c r="U37416" s="27"/>
    </row>
    <row r="37421">
      <c r="S37421" s="33"/>
      <c r="T37421" s="33"/>
      <c r="U37421" s="33"/>
    </row>
    <row r="37424">
      <c r="S37424" s="27"/>
      <c r="T37424" s="27"/>
      <c r="U37424" s="27"/>
    </row>
    <row r="37425">
      <c r="S37425" s="27"/>
      <c r="T37425" s="27"/>
      <c r="U37425" s="27"/>
    </row>
    <row r="37427">
      <c r="S37427" s="27"/>
      <c r="T37427" s="27"/>
      <c r="U37427" s="27"/>
    </row>
    <row r="37428">
      <c r="S37428" s="27"/>
      <c r="T37428" s="27"/>
      <c r="U37428" s="27"/>
    </row>
    <row r="37430">
      <c r="S37430" s="27"/>
      <c r="T37430" s="27"/>
      <c r="U37430" s="27"/>
    </row>
    <row r="37431">
      <c r="S37431" s="27"/>
      <c r="T37431" s="27"/>
      <c r="U37431" s="27"/>
    </row>
    <row r="37433">
      <c r="S37433" s="26"/>
      <c r="T37433" s="26"/>
    </row>
    <row r="37436">
      <c r="S37436" s="27"/>
      <c r="T37436" s="27"/>
      <c r="U37436" s="27"/>
    </row>
    <row r="37437">
      <c r="S37437" s="27"/>
      <c r="T37437" s="27"/>
      <c r="U37437" s="27"/>
    </row>
    <row r="37439">
      <c r="S37439" s="27"/>
      <c r="T37439" s="27"/>
      <c r="U37439" s="27"/>
    </row>
    <row r="37440">
      <c r="S37440" s="27"/>
      <c r="T37440" s="27"/>
      <c r="U37440" s="27"/>
    </row>
    <row r="37442">
      <c r="S37442" s="27"/>
      <c r="T37442" s="27"/>
      <c r="U37442" s="27"/>
    </row>
    <row r="37443">
      <c r="S37443" s="27"/>
      <c r="U37443" s="27"/>
    </row>
    <row r="37445">
      <c r="T37445" s="27"/>
      <c r="U37445" s="27"/>
    </row>
    <row r="37448">
      <c r="S37448" s="26"/>
    </row>
    <row r="37451">
      <c r="S37451" s="27"/>
      <c r="T37451" s="27"/>
      <c r="U37451" s="27"/>
    </row>
    <row r="37452">
      <c r="S37452" s="27"/>
      <c r="T37452" s="27"/>
      <c r="U37452" s="27"/>
    </row>
    <row r="37454">
      <c r="S37454" s="27"/>
      <c r="T37454" s="27"/>
      <c r="U37454" s="27"/>
    </row>
    <row r="37455">
      <c r="S37455" s="27"/>
      <c r="T37455" s="27"/>
      <c r="U37455" s="27"/>
    </row>
    <row r="37457">
      <c r="S37457" s="26"/>
      <c r="T37457" s="26"/>
      <c r="U37457" s="26"/>
    </row>
    <row r="37460">
      <c r="T37460" s="27"/>
      <c r="U37460" s="27"/>
    </row>
    <row r="37463">
      <c r="S37463" s="27"/>
      <c r="T37463" s="27"/>
      <c r="U37463" s="27"/>
    </row>
    <row r="37466">
      <c r="S37466" s="27"/>
      <c r="T37466" s="27"/>
      <c r="U37466" s="27"/>
    </row>
    <row r="37467">
      <c r="S37467" s="27"/>
      <c r="T37467" s="27"/>
      <c r="U37467" s="27"/>
    </row>
    <row r="37469">
      <c r="S37469" s="27"/>
      <c r="T37469" s="27"/>
      <c r="U37469" s="27"/>
    </row>
    <row r="37470">
      <c r="S37470" s="27"/>
      <c r="T37470" s="27"/>
      <c r="U37470" s="27"/>
    </row>
    <row r="37472">
      <c r="S37472" s="27"/>
      <c r="T37472" s="27"/>
      <c r="U37472" s="27"/>
    </row>
    <row r="37473">
      <c r="S37473" s="27"/>
      <c r="T37473" s="27"/>
      <c r="U37473" s="27"/>
    </row>
    <row r="37475">
      <c r="S37475" s="27"/>
      <c r="T37475" s="27"/>
      <c r="U37475" s="27"/>
    </row>
    <row r="37476">
      <c r="S37476" s="27"/>
      <c r="T37476" s="27"/>
      <c r="U37476" s="27"/>
    </row>
    <row r="37478">
      <c r="S37478" s="27"/>
      <c r="T37478" s="27"/>
      <c r="U37478" s="27"/>
    </row>
    <row r="37479">
      <c r="S37479" s="27"/>
      <c r="T37479" s="27"/>
      <c r="U37479" s="27"/>
    </row>
    <row r="37481">
      <c r="S37481" s="27"/>
      <c r="T37481" s="27"/>
      <c r="U37481" s="27"/>
    </row>
    <row r="37482">
      <c r="S37482" s="27"/>
      <c r="T37482" s="27"/>
      <c r="U37482" s="27"/>
    </row>
    <row r="37484">
      <c r="S37484" s="27"/>
      <c r="T37484" s="27"/>
      <c r="U37484" s="27"/>
    </row>
    <row r="37485">
      <c r="S37485" s="27"/>
      <c r="T37485" s="27"/>
      <c r="U37485" s="27"/>
    </row>
    <row r="37487">
      <c r="S37487" s="27"/>
      <c r="T37487" s="27"/>
      <c r="U37487" s="27"/>
    </row>
    <row r="37488">
      <c r="S37488" s="27"/>
      <c r="T37488" s="27"/>
      <c r="U37488" s="27"/>
    </row>
    <row r="37490">
      <c r="S37490" s="27"/>
      <c r="T37490" s="27"/>
      <c r="U37490" s="27"/>
    </row>
    <row r="37491">
      <c r="S37491" s="27"/>
      <c r="T37491" s="27"/>
      <c r="U37491" s="27"/>
    </row>
    <row r="37493">
      <c r="S37493" s="27"/>
      <c r="T37493" s="27"/>
      <c r="U37493" s="27"/>
    </row>
    <row r="37494">
      <c r="S37494" s="27"/>
      <c r="T37494" s="27"/>
      <c r="U37494" s="27"/>
    </row>
    <row r="37496">
      <c r="S37496" s="27"/>
      <c r="T37496" s="27"/>
      <c r="U37496" s="27"/>
    </row>
    <row r="37497">
      <c r="S37497" s="27"/>
      <c r="T37497" s="27"/>
      <c r="U37497" s="27"/>
    </row>
    <row r="37499">
      <c r="S37499" s="27"/>
      <c r="T37499" s="27"/>
      <c r="U37499" s="27"/>
    </row>
    <row r="37500">
      <c r="S37500" s="27"/>
      <c r="T37500" s="27"/>
      <c r="U37500" s="27"/>
    </row>
    <row r="37502">
      <c r="S37502" s="27"/>
      <c r="T37502" s="27"/>
      <c r="U37502" s="27"/>
    </row>
    <row r="37503">
      <c r="S37503" s="27"/>
      <c r="T37503" s="27"/>
      <c r="U37503" s="27"/>
    </row>
    <row r="37505">
      <c r="S37505" s="27"/>
      <c r="T37505" s="27"/>
      <c r="U37505" s="27"/>
    </row>
    <row r="37506">
      <c r="S37506" s="27"/>
      <c r="T37506" s="27"/>
      <c r="U37506" s="27"/>
    </row>
    <row r="37508">
      <c r="S37508" s="27"/>
      <c r="T37508" s="27"/>
      <c r="U37508" s="27"/>
    </row>
    <row r="37509">
      <c r="S37509" s="27"/>
      <c r="T37509" s="27"/>
      <c r="U37509" s="27"/>
    </row>
    <row r="37511">
      <c r="S37511" s="27"/>
      <c r="T37511" s="27"/>
      <c r="U37511" s="27"/>
    </row>
    <row r="37512">
      <c r="S37512" s="27"/>
      <c r="T37512" s="27"/>
      <c r="U37512" s="27"/>
    </row>
    <row r="37514">
      <c r="S37514" s="27"/>
      <c r="T37514" s="27"/>
      <c r="U37514" s="27"/>
    </row>
    <row r="37515">
      <c r="S37515" s="27"/>
      <c r="T37515" s="27"/>
      <c r="U37515" s="27"/>
    </row>
    <row r="37517">
      <c r="S37517" s="27"/>
      <c r="T37517" s="27"/>
      <c r="U37517" s="27"/>
    </row>
    <row r="37518">
      <c r="S37518" s="27"/>
      <c r="T37518" s="27"/>
      <c r="U37518" s="27"/>
    </row>
    <row r="37520">
      <c r="S37520" s="27"/>
      <c r="T37520" s="27"/>
      <c r="U37520" s="27"/>
    </row>
    <row r="37521">
      <c r="S37521" s="27"/>
      <c r="T37521" s="27"/>
      <c r="U37521" s="27"/>
    </row>
    <row r="37523">
      <c r="S37523" s="27"/>
      <c r="T37523" s="27"/>
      <c r="U37523" s="27"/>
    </row>
    <row r="37524">
      <c r="S37524" s="27"/>
      <c r="T37524" s="27"/>
      <c r="U37524" s="27"/>
    </row>
    <row r="37526">
      <c r="S37526" s="27"/>
      <c r="T37526" s="27"/>
      <c r="U37526" s="27"/>
    </row>
    <row r="37527">
      <c r="S37527" s="27"/>
      <c r="T37527" s="27"/>
      <c r="U37527" s="27"/>
    </row>
    <row r="37529">
      <c r="S37529" s="27"/>
      <c r="T37529" s="27"/>
      <c r="U37529" s="27"/>
    </row>
    <row r="37530">
      <c r="S37530" s="27"/>
      <c r="T37530" s="27"/>
      <c r="U37530" s="27"/>
    </row>
    <row r="37532">
      <c r="S37532" s="27"/>
      <c r="T37532" s="27"/>
      <c r="U37532" s="27"/>
    </row>
    <row r="37533">
      <c r="S37533" s="27"/>
      <c r="T37533" s="27"/>
      <c r="U37533" s="27"/>
    </row>
    <row r="37535">
      <c r="S37535" s="27"/>
      <c r="T37535" s="27"/>
      <c r="U37535" s="27"/>
    </row>
    <row r="37536">
      <c r="S37536" s="27"/>
      <c r="T37536" s="27"/>
      <c r="U37536" s="27"/>
    </row>
    <row r="37538">
      <c r="S37538" s="27"/>
      <c r="T37538" s="27"/>
      <c r="U37538" s="27"/>
    </row>
    <row r="37539">
      <c r="S37539" s="27"/>
      <c r="T37539" s="27"/>
      <c r="U37539" s="27"/>
    </row>
    <row r="37541">
      <c r="S37541" s="27"/>
      <c r="T37541" s="27"/>
      <c r="U37541" s="27"/>
    </row>
    <row r="37542">
      <c r="S37542" s="27"/>
      <c r="T37542" s="27"/>
      <c r="U37542" s="27"/>
    </row>
    <row r="37544">
      <c r="S37544" s="27"/>
      <c r="T37544" s="27"/>
      <c r="U37544" s="27"/>
    </row>
    <row r="37545">
      <c r="S37545" s="34"/>
    </row>
    <row r="37547">
      <c r="S37547" s="33"/>
      <c r="T37547" s="33"/>
    </row>
    <row r="37548">
      <c r="S37548" s="27"/>
      <c r="T37548" s="27"/>
    </row>
    <row r="37550">
      <c r="S37550" s="27"/>
      <c r="T37550" s="27"/>
      <c r="U37550" s="27"/>
    </row>
    <row r="37551">
      <c r="S37551" s="27"/>
      <c r="T37551" s="27"/>
      <c r="U37551" s="27"/>
    </row>
    <row r="37553">
      <c r="S37553" s="27"/>
      <c r="T37553" s="27"/>
      <c r="U37553" s="27"/>
    </row>
    <row r="37554">
      <c r="S37554" s="27"/>
    </row>
    <row r="37556">
      <c r="S37556" s="27"/>
      <c r="T37556" s="27"/>
      <c r="U37556" s="27"/>
    </row>
    <row r="37557">
      <c r="S37557" s="27"/>
      <c r="T37557" s="27"/>
      <c r="U37557" s="27"/>
    </row>
    <row r="37559">
      <c r="S37559" s="27"/>
      <c r="T37559" s="27"/>
      <c r="U37559" s="27"/>
    </row>
    <row r="37560">
      <c r="S37560" s="27"/>
      <c r="T37560" s="27"/>
      <c r="U37560" s="27"/>
    </row>
    <row r="37562">
      <c r="S37562" s="27"/>
      <c r="T37562" s="27"/>
      <c r="U37562" s="27"/>
    </row>
    <row r="37563">
      <c r="S37563" s="27"/>
      <c r="T37563" s="27"/>
      <c r="U37563" s="27"/>
    </row>
    <row r="37568">
      <c r="S37568" s="26"/>
      <c r="T37568" s="26"/>
    </row>
    <row r="37571">
      <c r="U37571" s="27"/>
    </row>
    <row r="37575">
      <c r="S37575" s="26"/>
      <c r="T37575" s="26"/>
      <c r="U37575" s="26"/>
    </row>
    <row r="37578">
      <c r="S37578" s="27"/>
      <c r="T37578" s="27"/>
      <c r="U37578" s="27"/>
    </row>
    <row r="37581">
      <c r="S37581" s="27"/>
      <c r="T37581" s="27"/>
      <c r="U37581" s="27"/>
    </row>
    <row r="37582">
      <c r="S37582" s="27"/>
      <c r="T37582" s="27"/>
      <c r="U37582" s="27"/>
    </row>
    <row r="37584">
      <c r="S37584" s="27"/>
      <c r="T37584" s="27"/>
      <c r="U37584" s="27"/>
    </row>
    <row r="37585">
      <c r="S37585" s="27"/>
      <c r="T37585" s="27"/>
      <c r="U37585" s="27"/>
    </row>
    <row r="37587">
      <c r="S37587" s="33"/>
      <c r="T37587" s="27"/>
      <c r="U37587" s="27"/>
    </row>
    <row r="37588">
      <c r="S37588" s="27"/>
      <c r="T37588" s="27"/>
      <c r="U37588" s="27"/>
    </row>
    <row r="37590">
      <c r="S37590" s="27"/>
      <c r="T37590" s="27"/>
      <c r="U37590" s="27"/>
    </row>
    <row r="37591">
      <c r="S37591" s="27"/>
      <c r="T37591" s="27"/>
      <c r="U37591" s="27"/>
    </row>
    <row r="37594">
      <c r="S37594" s="27"/>
      <c r="T37594" s="27"/>
      <c r="U37594" s="27"/>
    </row>
    <row r="37599">
      <c r="S37599" s="27"/>
      <c r="T37599" s="27"/>
      <c r="U37599" s="27"/>
    </row>
    <row r="37600">
      <c r="S37600" s="27"/>
      <c r="T37600" s="27"/>
      <c r="U37600" s="27"/>
    </row>
    <row r="37602">
      <c r="S37602" s="27"/>
      <c r="T37602" s="27"/>
      <c r="U37602" s="27"/>
    </row>
    <row r="37603">
      <c r="S37603" s="27"/>
      <c r="T37603" s="27"/>
      <c r="U37603" s="27"/>
    </row>
    <row r="37605">
      <c r="S37605" s="27"/>
      <c r="T37605" s="27"/>
      <c r="U37605" s="27"/>
    </row>
    <row r="37606">
      <c r="S37606" s="27"/>
      <c r="T37606" s="27"/>
      <c r="U37606" s="27"/>
    </row>
    <row r="37608">
      <c r="S37608" s="33"/>
      <c r="T37608" s="33"/>
      <c r="U37608" s="33"/>
    </row>
    <row r="37611">
      <c r="U37611" s="27"/>
    </row>
    <row r="37612">
      <c r="U37612" s="27"/>
    </row>
    <row r="37614">
      <c r="S37614" s="27"/>
      <c r="T37614" s="27"/>
      <c r="U37614" s="27"/>
    </row>
    <row r="37617">
      <c r="S37617" s="33"/>
      <c r="T37617" s="33"/>
      <c r="U37617" s="27"/>
    </row>
    <row r="37618">
      <c r="S37618" s="27"/>
      <c r="T37618" s="27"/>
      <c r="U37618" s="33"/>
    </row>
    <row r="37620">
      <c r="S37620" s="27"/>
    </row>
    <row r="37621">
      <c r="S37621" s="26"/>
      <c r="T37621" s="26"/>
      <c r="U37621" s="26"/>
    </row>
    <row r="37623">
      <c r="S37623" s="27"/>
      <c r="T37623" s="27"/>
      <c r="U37623" s="27"/>
    </row>
    <row r="37624">
      <c r="S37624" s="27"/>
      <c r="T37624" s="27"/>
      <c r="U37624" s="27"/>
    </row>
    <row r="37626">
      <c r="S37626" s="27"/>
      <c r="T37626" s="27"/>
      <c r="U37626" s="27"/>
    </row>
    <row r="37627">
      <c r="S37627" s="27"/>
      <c r="T37627" s="27"/>
      <c r="U37627" s="27"/>
    </row>
    <row r="37629">
      <c r="S37629" s="27"/>
      <c r="T37629" s="27"/>
      <c r="U37629" s="27"/>
    </row>
    <row r="37630">
      <c r="S37630" s="27"/>
      <c r="T37630" s="27"/>
      <c r="U37630" s="27"/>
    </row>
    <row r="37632">
      <c r="S37632" s="27"/>
      <c r="T37632" s="27"/>
      <c r="U37632" s="27"/>
    </row>
    <row r="37633">
      <c r="S37633" s="27"/>
      <c r="T37633" s="27"/>
      <c r="U37633" s="27"/>
    </row>
    <row r="37638">
      <c r="S37638" s="33"/>
      <c r="T37638" s="27"/>
      <c r="U37638" s="27"/>
    </row>
    <row r="37639">
      <c r="S37639" s="27"/>
      <c r="T37639" s="27"/>
      <c r="U37639" s="27"/>
    </row>
    <row r="37641">
      <c r="S37641" s="27"/>
      <c r="T37641" s="27"/>
      <c r="U37641" s="27"/>
    </row>
    <row r="37642">
      <c r="S37642" s="27"/>
      <c r="T37642" s="27"/>
      <c r="U37642" s="27"/>
    </row>
    <row r="37644">
      <c r="S37644" s="26"/>
      <c r="T37644" s="27"/>
      <c r="U37644" s="27"/>
    </row>
    <row r="37647">
      <c r="S37647" s="27"/>
      <c r="T37647" s="26"/>
      <c r="U37647" s="27"/>
    </row>
    <row r="37648">
      <c r="S37648" s="27"/>
      <c r="U37648" s="27"/>
    </row>
    <row r="37650">
      <c r="S37650" s="27"/>
      <c r="T37650" s="27"/>
      <c r="U37650" s="27"/>
    </row>
    <row r="37651">
      <c r="S37651" s="27"/>
      <c r="T37651" s="27"/>
      <c r="U37651" s="27"/>
    </row>
    <row r="37653">
      <c r="S37653" s="27"/>
      <c r="T37653" s="27"/>
      <c r="U37653" s="27"/>
    </row>
    <row r="37654">
      <c r="S37654" s="27"/>
      <c r="T37654" s="27"/>
      <c r="U37654" s="27"/>
    </row>
    <row r="37659">
      <c r="S37659" s="27"/>
      <c r="T37659" s="27"/>
      <c r="U37659" s="27"/>
    </row>
    <row r="37660">
      <c r="S37660" s="27"/>
      <c r="T37660" s="27"/>
      <c r="U37660" s="27"/>
    </row>
    <row r="37665">
      <c r="S37665" s="27"/>
      <c r="T37665" s="27"/>
      <c r="U37665" s="27"/>
    </row>
    <row r="37668">
      <c r="S37668" s="27"/>
      <c r="T37668" s="27"/>
      <c r="U37668" s="27"/>
    </row>
    <row r="37669">
      <c r="S37669" s="27"/>
      <c r="T37669" s="27"/>
      <c r="U37669" s="27"/>
    </row>
    <row r="37671">
      <c r="S37671" s="27"/>
      <c r="T37671" s="27"/>
      <c r="U37671" s="27"/>
    </row>
    <row r="37672">
      <c r="S37672" s="27"/>
      <c r="T37672" s="27"/>
      <c r="U37672" s="27"/>
    </row>
    <row r="37674">
      <c r="S37674" s="27"/>
      <c r="T37674" s="27"/>
      <c r="U37674" s="27"/>
    </row>
    <row r="37675">
      <c r="S37675" s="27"/>
      <c r="T37675" s="27"/>
      <c r="U37675" s="27"/>
    </row>
    <row r="37677">
      <c r="S37677" s="26"/>
    </row>
    <row r="37678">
      <c r="S37678" s="26"/>
      <c r="T37678" s="26"/>
      <c r="U37678" s="26"/>
    </row>
    <row r="37680">
      <c r="S37680" s="27"/>
      <c r="T37680" s="27"/>
      <c r="U37680" s="27"/>
    </row>
    <row r="37681">
      <c r="S37681" s="27"/>
      <c r="T37681" s="27"/>
      <c r="U37681" s="27"/>
    </row>
    <row r="37683">
      <c r="S37683" s="27"/>
      <c r="T37683" s="27"/>
      <c r="U37683" s="27"/>
    </row>
    <row r="37684">
      <c r="S37684" s="27"/>
      <c r="T37684" s="27"/>
      <c r="U37684" s="27"/>
    </row>
    <row r="37686">
      <c r="S37686" s="27"/>
      <c r="T37686" s="27"/>
      <c r="U37686" s="27"/>
    </row>
    <row r="37687">
      <c r="S37687" s="27"/>
      <c r="T37687" s="27"/>
      <c r="U37687" s="27"/>
    </row>
    <row r="37689">
      <c r="S37689" s="27"/>
      <c r="T37689" s="27"/>
      <c r="U37689" s="27"/>
    </row>
    <row r="37690">
      <c r="S37690" s="27"/>
      <c r="T37690" s="27"/>
      <c r="U37690" s="27"/>
    </row>
    <row r="37692">
      <c r="S37692" s="27"/>
      <c r="T37692" s="27"/>
      <c r="U37692" s="27"/>
    </row>
    <row r="37693">
      <c r="S37693" s="27"/>
      <c r="T37693" s="27"/>
      <c r="U37693" s="27"/>
    </row>
    <row r="37695">
      <c r="S37695" s="27"/>
      <c r="T37695" s="27"/>
      <c r="U37695" s="27"/>
    </row>
    <row r="37696">
      <c r="S37696" s="27"/>
      <c r="T37696" s="27"/>
      <c r="U37696" s="27"/>
    </row>
    <row r="37698">
      <c r="S37698" s="27"/>
      <c r="T37698" s="27"/>
      <c r="U37698" s="27"/>
    </row>
    <row r="37699">
      <c r="S37699" s="27"/>
      <c r="T37699" s="27"/>
      <c r="U37699" s="27"/>
    </row>
    <row r="37701">
      <c r="S37701" s="27"/>
      <c r="T37701" s="27"/>
      <c r="U37701" s="27"/>
    </row>
    <row r="37702">
      <c r="S37702" s="27"/>
      <c r="T37702" s="27"/>
      <c r="U37702" s="27"/>
    </row>
    <row r="37704">
      <c r="S37704" s="27"/>
      <c r="T37704" s="27"/>
      <c r="U37704" s="27"/>
    </row>
    <row r="37705">
      <c r="S37705" s="27"/>
      <c r="T37705" s="27"/>
      <c r="U37705" s="27"/>
    </row>
    <row r="37707">
      <c r="S37707" s="27"/>
      <c r="T37707" s="27"/>
      <c r="U37707" s="27"/>
    </row>
    <row r="37708">
      <c r="S37708" s="27"/>
      <c r="T37708" s="27"/>
      <c r="U37708" s="27"/>
    </row>
    <row r="37710">
      <c r="S37710" s="27"/>
      <c r="T37710" s="27"/>
      <c r="U37710" s="27"/>
    </row>
    <row r="37711">
      <c r="S37711" s="27"/>
      <c r="T37711" s="27"/>
      <c r="U37711" s="27"/>
    </row>
    <row r="37713">
      <c r="S37713" s="27"/>
      <c r="T37713" s="27"/>
      <c r="U37713" s="27"/>
    </row>
    <row r="37714">
      <c r="S37714" s="27"/>
      <c r="T37714" s="27"/>
      <c r="U37714" s="27"/>
    </row>
    <row r="37716">
      <c r="S37716" s="27"/>
      <c r="T37716" s="27"/>
      <c r="U37716" s="27"/>
    </row>
    <row r="37717">
      <c r="S37717" s="27"/>
      <c r="T37717" s="27"/>
      <c r="U37717" s="27"/>
    </row>
    <row r="37719">
      <c r="S37719" s="27"/>
      <c r="T37719" s="27"/>
      <c r="U37719" s="27"/>
    </row>
    <row r="37720">
      <c r="S37720" s="27"/>
      <c r="T37720" s="27"/>
      <c r="U37720" s="27"/>
    </row>
    <row r="37722">
      <c r="S37722" s="27"/>
      <c r="T37722" s="27"/>
      <c r="U37722" s="27"/>
    </row>
    <row r="37723">
      <c r="S37723" s="27"/>
      <c r="T37723" s="27"/>
      <c r="U37723" s="27"/>
    </row>
    <row r="37725">
      <c r="S37725" s="27"/>
      <c r="T37725" s="27"/>
      <c r="U37725" s="27"/>
    </row>
    <row r="37726">
      <c r="S37726" s="27"/>
      <c r="T37726" s="27"/>
      <c r="U37726" s="27"/>
    </row>
    <row r="37728">
      <c r="S37728" s="27"/>
      <c r="T37728" s="27"/>
      <c r="U37728" s="27"/>
    </row>
    <row r="37729">
      <c r="S37729" s="27"/>
      <c r="T37729" s="27"/>
      <c r="U37729" s="27"/>
    </row>
    <row r="37731">
      <c r="S37731" s="27"/>
      <c r="T37731" s="27"/>
      <c r="U37731" s="27"/>
    </row>
    <row r="37732">
      <c r="S37732" s="27"/>
      <c r="T37732" s="27"/>
      <c r="U37732" s="27"/>
    </row>
    <row r="37734">
      <c r="S37734" s="27"/>
      <c r="T37734" s="27"/>
      <c r="U37734" s="27"/>
    </row>
    <row r="37735">
      <c r="S37735" s="27"/>
      <c r="T37735" s="27"/>
      <c r="U37735" s="27"/>
    </row>
    <row r="37737">
      <c r="S37737" s="27"/>
      <c r="T37737" s="27"/>
      <c r="U37737" s="27"/>
    </row>
    <row r="37738">
      <c r="S37738" s="27"/>
      <c r="T37738" s="27"/>
      <c r="U37738" s="27"/>
    </row>
    <row r="37740">
      <c r="S37740" s="27"/>
      <c r="T37740" s="27"/>
      <c r="U37740" s="27"/>
    </row>
    <row r="37741">
      <c r="S37741" s="27"/>
      <c r="T37741" s="27"/>
      <c r="U37741" s="27"/>
    </row>
    <row r="37743">
      <c r="S37743" s="27"/>
      <c r="T37743" s="27"/>
      <c r="U37743" s="27"/>
    </row>
    <row r="37744">
      <c r="S37744" s="27"/>
      <c r="T37744" s="27"/>
      <c r="U37744" s="27"/>
    </row>
    <row r="37746">
      <c r="S37746" s="27"/>
      <c r="T37746" s="27"/>
      <c r="U37746" s="27"/>
    </row>
    <row r="37747">
      <c r="S37747" s="27"/>
      <c r="T37747" s="27"/>
      <c r="U37747" s="27"/>
    </row>
    <row r="37749">
      <c r="S37749" s="27"/>
      <c r="T37749" s="27"/>
      <c r="U37749" s="27"/>
    </row>
    <row r="37750">
      <c r="S37750" s="27"/>
      <c r="T37750" s="27"/>
      <c r="U37750" s="27"/>
    </row>
    <row r="37752">
      <c r="S37752" s="27"/>
      <c r="T37752" s="27"/>
      <c r="U37752" s="27"/>
    </row>
    <row r="37753">
      <c r="S37753" s="27"/>
      <c r="T37753" s="27"/>
      <c r="U37753" s="27"/>
    </row>
    <row r="37755">
      <c r="S37755" s="27"/>
      <c r="T37755" s="27"/>
      <c r="U37755" s="27"/>
    </row>
    <row r="37756">
      <c r="S37756" s="27"/>
      <c r="T37756" s="27"/>
      <c r="U37756" s="27"/>
    </row>
    <row r="37758">
      <c r="S37758" s="27"/>
      <c r="T37758" s="27"/>
      <c r="U37758" s="27"/>
    </row>
    <row r="37759">
      <c r="S37759" s="27"/>
      <c r="T37759" s="27"/>
      <c r="U37759" s="27"/>
    </row>
    <row r="37761">
      <c r="S37761" s="27"/>
      <c r="T37761" s="27"/>
      <c r="U37761" s="27"/>
    </row>
    <row r="37762">
      <c r="S37762" s="27"/>
      <c r="T37762" s="27"/>
      <c r="U37762" s="27"/>
    </row>
    <row r="37764">
      <c r="S37764" s="27"/>
      <c r="T37764" s="27"/>
      <c r="U37764" s="27"/>
    </row>
    <row r="37765">
      <c r="S37765" s="27"/>
      <c r="T37765" s="27"/>
      <c r="U37765" s="27"/>
    </row>
    <row r="37767">
      <c r="S37767" s="27"/>
      <c r="T37767" s="27"/>
      <c r="U37767" s="27"/>
    </row>
    <row r="37768">
      <c r="S37768" s="27"/>
      <c r="T37768" s="27"/>
      <c r="U37768" s="27"/>
    </row>
    <row r="37770">
      <c r="S37770" s="27"/>
      <c r="T37770" s="27"/>
      <c r="U37770" s="27"/>
    </row>
    <row r="37771">
      <c r="S37771" s="27"/>
      <c r="T37771" s="27"/>
      <c r="U37771" s="27"/>
    </row>
    <row r="37773">
      <c r="S37773" s="27"/>
      <c r="T37773" s="27"/>
      <c r="U37773" s="27"/>
    </row>
    <row r="37774">
      <c r="S37774" s="27"/>
      <c r="T37774" s="27"/>
      <c r="U37774" s="27"/>
    </row>
    <row r="37776">
      <c r="S37776" s="27"/>
      <c r="T37776" s="27"/>
      <c r="U37776" s="27"/>
    </row>
    <row r="37778">
      <c r="S37778" s="27"/>
      <c r="T37778" s="27"/>
      <c r="U37778" s="27"/>
    </row>
    <row r="37779">
      <c r="S37779" s="27"/>
      <c r="T37779" s="27"/>
      <c r="U37779" s="27"/>
    </row>
    <row r="37781">
      <c r="S37781" s="27"/>
      <c r="T37781" s="27"/>
      <c r="U37781" s="27"/>
    </row>
    <row r="37782">
      <c r="S37782" s="27"/>
      <c r="T37782" s="27"/>
      <c r="U37782" s="27"/>
    </row>
    <row r="37784">
      <c r="S37784" s="27"/>
      <c r="T37784" s="27"/>
      <c r="U37784" s="27"/>
    </row>
    <row r="37785">
      <c r="S37785" s="27"/>
      <c r="T37785" s="27"/>
      <c r="U37785" s="27"/>
    </row>
    <row r="37787">
      <c r="S37787" s="27"/>
      <c r="T37787" s="27"/>
      <c r="U37787" s="27"/>
    </row>
    <row r="37788">
      <c r="S37788" s="27"/>
      <c r="T37788" s="27"/>
      <c r="U37788" s="27"/>
    </row>
    <row r="37790">
      <c r="S37790" s="27"/>
      <c r="T37790" s="27"/>
      <c r="U37790" s="27"/>
    </row>
    <row r="37791">
      <c r="S37791" s="27"/>
      <c r="T37791" s="27"/>
      <c r="U37791" s="27"/>
    </row>
    <row r="37793">
      <c r="S37793" s="27"/>
      <c r="T37793" s="27"/>
      <c r="U37793" s="27"/>
    </row>
    <row r="37794">
      <c r="S37794" s="27"/>
      <c r="T37794" s="27"/>
      <c r="U37794" s="27"/>
    </row>
    <row r="37796">
      <c r="S37796" s="27"/>
      <c r="T37796" s="27"/>
      <c r="U37796" s="27"/>
    </row>
    <row r="37797">
      <c r="S37797" s="27"/>
      <c r="T37797" s="27"/>
      <c r="U37797" s="27"/>
    </row>
    <row r="37799">
      <c r="S37799" s="27"/>
      <c r="T37799" s="27"/>
      <c r="U37799" s="27"/>
    </row>
    <row r="37801">
      <c r="S37801" s="27"/>
      <c r="T37801" s="27"/>
      <c r="U37801" s="27"/>
    </row>
    <row r="37803">
      <c r="T37803" s="27"/>
      <c r="U37803" s="27"/>
    </row>
    <row r="37805">
      <c r="S37805" s="27"/>
      <c r="T37805" s="27"/>
      <c r="U37805" s="27"/>
    </row>
    <row r="37807">
      <c r="S37807" s="27"/>
      <c r="T37807" s="27"/>
      <c r="U37807" s="27"/>
    </row>
    <row r="37808">
      <c r="S37808" s="27"/>
      <c r="T37808" s="27"/>
      <c r="U37808" s="27"/>
    </row>
    <row r="37810">
      <c r="S37810" s="27"/>
      <c r="T37810" s="27"/>
      <c r="U37810" s="27"/>
    </row>
    <row r="37811">
      <c r="S37811" s="27"/>
      <c r="T37811" s="27"/>
      <c r="U37811" s="27"/>
    </row>
    <row r="37813">
      <c r="S37813" s="27"/>
      <c r="T37813" s="27"/>
      <c r="U37813" s="27"/>
    </row>
    <row r="37814">
      <c r="S37814" s="27"/>
      <c r="T37814" s="27"/>
      <c r="U37814" s="33"/>
    </row>
    <row r="37816">
      <c r="S37816" s="27"/>
      <c r="T37816" s="27"/>
      <c r="U37816" s="27"/>
    </row>
    <row r="37817">
      <c r="S37817" s="27"/>
      <c r="T37817" s="27"/>
      <c r="U37817" s="27"/>
    </row>
    <row r="37819">
      <c r="S37819" s="27"/>
      <c r="T37819" s="27"/>
      <c r="U37819" s="26"/>
    </row>
    <row r="37820">
      <c r="S37820" s="27"/>
      <c r="T37820" s="27"/>
    </row>
    <row r="37822">
      <c r="S37822" s="27"/>
      <c r="T37822" s="27"/>
      <c r="U37822" s="27"/>
    </row>
    <row r="37823">
      <c r="S37823" s="27"/>
      <c r="T37823" s="27"/>
      <c r="U37823" s="27"/>
    </row>
    <row r="37825">
      <c r="S37825" s="27"/>
      <c r="T37825" s="27"/>
      <c r="U37825" s="27"/>
    </row>
    <row r="37826">
      <c r="S37826" s="27"/>
      <c r="T37826" s="27"/>
      <c r="U37826" s="27"/>
    </row>
    <row r="37831">
      <c r="S37831" s="27"/>
      <c r="T37831" s="27"/>
      <c r="U37831" s="27"/>
    </row>
    <row r="37834">
      <c r="S37834" s="27"/>
      <c r="T37834" s="27"/>
      <c r="U37834" s="27"/>
    </row>
    <row r="37835">
      <c r="S37835" s="27"/>
      <c r="T37835" s="27"/>
      <c r="U37835" s="27"/>
    </row>
    <row r="37837">
      <c r="S37837" s="27"/>
      <c r="T37837" s="27"/>
      <c r="U37837" s="27"/>
    </row>
    <row r="37838">
      <c r="S37838" s="27"/>
      <c r="T37838" s="27"/>
      <c r="U37838" s="27"/>
    </row>
    <row r="37840">
      <c r="S37840" s="27"/>
      <c r="T37840" s="27"/>
      <c r="U37840" s="27"/>
    </row>
    <row r="37841">
      <c r="S37841" s="27"/>
      <c r="T37841" s="27"/>
      <c r="U37841" s="27"/>
    </row>
    <row r="37843">
      <c r="S37843" s="26"/>
      <c r="T37843" s="26"/>
      <c r="U37843" s="27"/>
    </row>
    <row r="37846">
      <c r="S37846" s="27"/>
      <c r="T37846" s="27"/>
      <c r="U37846" s="27"/>
    </row>
    <row r="37847">
      <c r="S37847" s="27"/>
      <c r="T37847" s="27"/>
      <c r="U37847" s="27"/>
    </row>
    <row r="37849">
      <c r="S37849" s="27"/>
      <c r="T37849" s="27"/>
      <c r="U37849" s="27"/>
    </row>
    <row r="37850">
      <c r="S37850" s="27"/>
      <c r="T37850" s="27"/>
      <c r="U37850" s="27"/>
    </row>
    <row r="37852">
      <c r="S37852" s="27"/>
      <c r="U37852" s="27"/>
    </row>
    <row r="37853">
      <c r="S37853" s="27"/>
      <c r="T37853" s="27"/>
      <c r="U37853" s="27"/>
    </row>
    <row r="37855">
      <c r="S37855" s="27"/>
      <c r="T37855" s="27"/>
    </row>
    <row r="37858">
      <c r="S37858" s="26"/>
      <c r="T37858" s="26"/>
      <c r="U37858" s="26"/>
    </row>
    <row r="37861">
      <c r="S37861" s="27"/>
      <c r="T37861" s="27"/>
      <c r="U37861" s="27"/>
    </row>
    <row r="37862">
      <c r="S37862" s="27"/>
      <c r="T37862" s="27"/>
      <c r="U37862" s="27"/>
    </row>
    <row r="37864">
      <c r="S37864" s="27"/>
      <c r="T37864" s="27"/>
      <c r="U37864" s="27"/>
    </row>
    <row r="37865">
      <c r="S37865" s="27"/>
      <c r="T37865" s="27"/>
      <c r="U37865" s="27"/>
    </row>
    <row r="37867">
      <c r="S37867" s="26"/>
      <c r="T37867" s="26"/>
      <c r="U37867" s="26"/>
    </row>
    <row r="37870">
      <c r="T37870" s="34"/>
      <c r="U37870" s="34"/>
    </row>
    <row r="37873">
      <c r="S37873" s="27"/>
      <c r="T37873" s="27"/>
      <c r="U37873" s="27"/>
    </row>
    <row r="37876">
      <c r="S37876" s="27"/>
      <c r="T37876" s="27"/>
      <c r="U37876" s="27"/>
    </row>
    <row r="37877">
      <c r="S37877" s="27"/>
      <c r="T37877" s="27"/>
      <c r="U37877" s="27"/>
    </row>
    <row r="37879">
      <c r="S37879" s="27"/>
      <c r="T37879" s="27"/>
      <c r="U37879" s="27"/>
    </row>
    <row r="37880">
      <c r="S37880" s="27"/>
      <c r="T37880" s="27"/>
      <c r="U37880" s="27"/>
    </row>
    <row r="37882">
      <c r="S37882" s="27"/>
      <c r="T37882" s="27"/>
      <c r="U37882" s="27"/>
    </row>
    <row r="37883">
      <c r="S37883" s="27"/>
      <c r="T37883" s="27"/>
      <c r="U37883" s="27"/>
    </row>
    <row r="37885">
      <c r="S37885" s="27"/>
      <c r="T37885" s="27"/>
      <c r="U37885" s="27"/>
    </row>
    <row r="37886">
      <c r="S37886" s="27"/>
      <c r="T37886" s="27"/>
      <c r="U37886" s="27"/>
    </row>
    <row r="37888">
      <c r="S37888" s="27"/>
      <c r="T37888" s="27"/>
      <c r="U37888" s="27"/>
    </row>
    <row r="37889">
      <c r="S37889" s="27"/>
      <c r="T37889" s="27"/>
      <c r="U37889" s="27"/>
    </row>
    <row r="37891">
      <c r="S37891" s="27"/>
      <c r="T37891" s="27"/>
      <c r="U37891" s="27"/>
    </row>
    <row r="37892">
      <c r="S37892" s="27"/>
      <c r="T37892" s="27"/>
      <c r="U37892" s="27"/>
    </row>
    <row r="37894">
      <c r="S37894" s="27"/>
      <c r="T37894" s="27"/>
      <c r="U37894" s="27"/>
    </row>
    <row r="37895">
      <c r="S37895" s="27"/>
      <c r="T37895" s="27"/>
      <c r="U37895" s="27"/>
    </row>
    <row r="37897">
      <c r="S37897" s="27"/>
      <c r="T37897" s="27"/>
      <c r="U37897" s="27"/>
    </row>
    <row r="37898">
      <c r="S37898" s="27"/>
      <c r="T37898" s="27"/>
      <c r="U37898" s="27"/>
    </row>
    <row r="37900">
      <c r="S37900" s="27"/>
      <c r="T37900" s="27"/>
      <c r="U37900" s="27"/>
    </row>
    <row r="37901">
      <c r="S37901" s="27"/>
      <c r="T37901" s="27"/>
      <c r="U37901" s="27"/>
    </row>
    <row r="37903">
      <c r="S37903" s="27"/>
      <c r="T37903" s="27"/>
      <c r="U37903" s="27"/>
    </row>
    <row r="37904">
      <c r="S37904" s="27"/>
      <c r="T37904" s="27"/>
      <c r="U37904" s="27"/>
    </row>
    <row r="37906">
      <c r="S37906" s="27"/>
      <c r="T37906" s="27"/>
      <c r="U37906" s="27"/>
    </row>
    <row r="37907">
      <c r="S37907" s="27"/>
      <c r="T37907" s="27"/>
      <c r="U37907" s="27"/>
    </row>
    <row r="37909">
      <c r="S37909" s="27"/>
      <c r="T37909" s="27"/>
      <c r="U37909" s="27"/>
    </row>
    <row r="37910">
      <c r="S37910" s="27"/>
      <c r="T37910" s="27"/>
      <c r="U37910" s="27"/>
    </row>
    <row r="37912">
      <c r="S37912" s="27"/>
      <c r="T37912" s="27"/>
      <c r="U37912" s="27"/>
    </row>
    <row r="37913">
      <c r="S37913" s="27"/>
      <c r="T37913" s="27"/>
      <c r="U37913" s="27"/>
    </row>
    <row r="37915">
      <c r="S37915" s="27"/>
      <c r="T37915" s="27"/>
      <c r="U37915" s="27"/>
    </row>
    <row r="37916">
      <c r="S37916" s="27"/>
      <c r="T37916" s="27"/>
      <c r="U37916" s="27"/>
    </row>
    <row r="37918">
      <c r="S37918" s="27"/>
      <c r="T37918" s="27"/>
      <c r="U37918" s="27"/>
    </row>
    <row r="37919">
      <c r="S37919" s="27"/>
      <c r="T37919" s="27"/>
      <c r="U37919" s="27"/>
    </row>
    <row r="37921">
      <c r="S37921" s="27"/>
      <c r="T37921" s="27"/>
      <c r="U37921" s="27"/>
    </row>
    <row r="37922">
      <c r="S37922" s="27"/>
      <c r="T37922" s="27"/>
      <c r="U37922" s="27"/>
    </row>
    <row r="37924">
      <c r="S37924" s="27"/>
      <c r="T37924" s="27"/>
      <c r="U37924" s="27"/>
    </row>
    <row r="37925">
      <c r="S37925" s="27"/>
      <c r="T37925" s="27"/>
      <c r="U37925" s="27"/>
    </row>
    <row r="37927">
      <c r="S37927" s="27"/>
      <c r="T37927" s="27"/>
      <c r="U37927" s="27"/>
    </row>
    <row r="37928">
      <c r="S37928" s="27"/>
      <c r="T37928" s="27"/>
      <c r="U37928" s="27"/>
    </row>
    <row r="37930">
      <c r="S37930" s="27"/>
      <c r="T37930" s="27"/>
      <c r="U37930" s="27"/>
    </row>
    <row r="37931">
      <c r="S37931" s="27"/>
      <c r="T37931" s="27"/>
      <c r="U37931" s="27"/>
    </row>
    <row r="37933">
      <c r="S37933" s="27"/>
      <c r="T37933" s="27"/>
      <c r="U37933" s="27"/>
    </row>
    <row r="37934">
      <c r="S37934" s="27"/>
      <c r="T37934" s="27"/>
      <c r="U37934" s="27"/>
    </row>
    <row r="37936">
      <c r="S37936" s="27"/>
      <c r="T37936" s="27"/>
      <c r="U37936" s="27"/>
    </row>
    <row r="37937">
      <c r="S37937" s="27"/>
      <c r="T37937" s="27"/>
      <c r="U37937" s="27"/>
    </row>
    <row r="37939">
      <c r="S37939" s="27"/>
      <c r="T37939" s="27"/>
      <c r="U37939" s="27"/>
    </row>
    <row r="37940">
      <c r="S37940" s="27"/>
      <c r="T37940" s="27"/>
      <c r="U37940" s="27"/>
    </row>
    <row r="37942">
      <c r="S37942" s="27"/>
      <c r="T37942" s="27"/>
      <c r="U37942" s="27"/>
    </row>
    <row r="37943">
      <c r="S37943" s="27"/>
      <c r="T37943" s="27"/>
      <c r="U37943" s="27"/>
    </row>
    <row r="37945">
      <c r="S37945" s="27"/>
      <c r="T37945" s="27"/>
      <c r="U37945" s="27"/>
    </row>
    <row r="37946">
      <c r="S37946" s="27"/>
      <c r="T37946" s="27"/>
      <c r="U37946" s="27"/>
    </row>
    <row r="37948">
      <c r="S37948" s="27"/>
      <c r="T37948" s="27"/>
      <c r="U37948" s="27"/>
    </row>
    <row r="37949">
      <c r="S37949" s="27"/>
      <c r="T37949" s="27"/>
      <c r="U37949" s="27"/>
    </row>
    <row r="37951">
      <c r="S37951" s="27"/>
      <c r="T37951" s="27"/>
      <c r="U37951" s="27"/>
    </row>
    <row r="37952">
      <c r="S37952" s="27"/>
      <c r="T37952" s="27"/>
      <c r="U37952" s="27"/>
    </row>
    <row r="37954">
      <c r="S37954" s="27"/>
      <c r="T37954" s="27"/>
      <c r="U37954" s="27"/>
    </row>
    <row r="37960">
      <c r="S37960" s="27"/>
      <c r="T37960" s="27"/>
      <c r="U37960" s="27"/>
    </row>
    <row r="37961">
      <c r="S37961" s="27"/>
      <c r="T37961" s="27"/>
      <c r="U37961" s="27"/>
    </row>
    <row r="37963">
      <c r="S37963" s="27"/>
      <c r="T37963" s="27"/>
      <c r="U37963" s="27"/>
    </row>
    <row r="37966">
      <c r="S37966" s="27"/>
      <c r="T37966" s="27"/>
      <c r="U37966" s="27"/>
    </row>
    <row r="37967">
      <c r="S37967" s="27"/>
      <c r="T37967" s="27"/>
      <c r="U37967" s="27"/>
    </row>
    <row r="37969">
      <c r="S37969" s="27"/>
      <c r="T37969" s="27"/>
      <c r="U37969" s="27"/>
    </row>
    <row r="37970">
      <c r="S37970" s="27"/>
      <c r="T37970" s="27"/>
      <c r="U37970" s="27"/>
    </row>
    <row r="37972">
      <c r="S37972" s="27"/>
      <c r="T37972" s="27"/>
      <c r="U37972" s="27"/>
    </row>
    <row r="37973">
      <c r="S37973" s="27"/>
      <c r="T37973" s="27"/>
      <c r="U37973" s="27"/>
    </row>
    <row r="37978">
      <c r="S37978" s="26"/>
      <c r="T37978" s="26"/>
    </row>
    <row r="37981">
      <c r="T37981" s="35"/>
    </row>
    <row r="37983">
      <c r="S37983" s="27"/>
      <c r="T37983" s="27"/>
      <c r="U37983" s="27"/>
    </row>
    <row r="37985">
      <c r="S37985" s="26"/>
      <c r="T37985" s="26"/>
      <c r="U37985" s="26"/>
    </row>
    <row r="37988">
      <c r="S37988" s="27"/>
      <c r="T37988" s="27"/>
      <c r="U37988" s="27"/>
    </row>
    <row r="37991">
      <c r="S37991" s="27"/>
      <c r="T37991" s="27"/>
      <c r="U37991" s="27"/>
    </row>
    <row r="37992">
      <c r="S37992" s="27"/>
      <c r="T37992" s="27"/>
      <c r="U37992" s="27"/>
    </row>
    <row r="37994">
      <c r="S37994" s="27"/>
      <c r="T37994" s="27"/>
      <c r="U37994" s="27"/>
    </row>
    <row r="37995">
      <c r="S37995" s="27"/>
      <c r="T37995" s="27"/>
      <c r="U37995" s="27"/>
    </row>
    <row r="37997">
      <c r="S37997" s="27"/>
      <c r="T37997" s="27"/>
      <c r="U37997" s="27"/>
    </row>
    <row r="37998">
      <c r="U37998" s="27"/>
    </row>
    <row r="38000">
      <c r="S38000" s="27"/>
      <c r="T38000" s="27"/>
      <c r="U38000" s="27"/>
    </row>
    <row r="38001">
      <c r="S38001" s="27"/>
      <c r="T38001" s="27"/>
      <c r="U38001" s="27"/>
    </row>
    <row r="38003">
      <c r="S38003" s="27"/>
      <c r="T38003" s="27"/>
      <c r="U38003" s="27"/>
    </row>
    <row r="38004">
      <c r="S38004" s="27"/>
      <c r="T38004" s="27"/>
      <c r="U38004" s="27"/>
    </row>
    <row r="38009">
      <c r="S38009" s="27"/>
      <c r="T38009" s="27"/>
      <c r="U38009" s="27"/>
    </row>
    <row r="38010">
      <c r="S38010" s="27"/>
      <c r="T38010" s="27"/>
      <c r="U38010" s="27"/>
    </row>
    <row r="38012">
      <c r="S38012" s="27"/>
      <c r="T38012" s="27"/>
      <c r="U38012" s="27"/>
    </row>
    <row r="38013">
      <c r="S38013" s="27"/>
      <c r="T38013" s="27"/>
      <c r="U38013" s="27"/>
    </row>
    <row r="38015">
      <c r="S38015" s="27"/>
      <c r="T38015" s="27"/>
      <c r="U38015" s="27"/>
    </row>
    <row r="38016">
      <c r="S38016" s="27"/>
      <c r="T38016" s="27"/>
      <c r="U38016" s="27"/>
    </row>
    <row r="38018">
      <c r="S38018" s="33"/>
      <c r="T38018" s="27"/>
      <c r="U38018" s="33"/>
    </row>
    <row r="38024">
      <c r="S38024" s="27"/>
      <c r="T38024" s="27"/>
      <c r="U38024" s="27"/>
    </row>
    <row r="38028">
      <c r="S38028" s="33"/>
      <c r="T38028" s="33"/>
      <c r="U38028" s="33"/>
    </row>
    <row r="38030">
      <c r="S38030" s="27"/>
    </row>
    <row r="38033">
      <c r="S38033" s="27"/>
      <c r="T38033" s="27"/>
      <c r="U38033" s="27"/>
    </row>
    <row r="38034">
      <c r="S38034" s="27"/>
      <c r="T38034" s="27"/>
      <c r="U38034" s="27"/>
    </row>
    <row r="38036">
      <c r="S38036" s="27"/>
      <c r="T38036" s="27"/>
      <c r="U38036" s="27"/>
    </row>
    <row r="38037">
      <c r="S38037" s="27"/>
      <c r="T38037" s="27"/>
      <c r="U38037" s="27"/>
    </row>
    <row r="38039">
      <c r="S38039" s="27"/>
      <c r="T38039" s="27"/>
      <c r="U38039" s="27"/>
    </row>
    <row r="38040">
      <c r="S38040" s="27"/>
      <c r="T38040" s="27"/>
      <c r="U38040" s="27"/>
    </row>
    <row r="38042">
      <c r="S38042" s="27"/>
      <c r="T38042" s="27"/>
      <c r="U38042" s="27"/>
    </row>
    <row r="38043">
      <c r="S38043" s="27"/>
      <c r="T38043" s="27"/>
      <c r="U38043" s="27"/>
    </row>
    <row r="38045">
      <c r="S38045" s="27"/>
    </row>
    <row r="38048">
      <c r="S38048" s="27"/>
      <c r="T38048" s="27"/>
      <c r="U38048" s="27"/>
    </row>
    <row r="38049">
      <c r="S38049" s="27"/>
      <c r="T38049" s="27"/>
      <c r="U38049" s="27"/>
    </row>
    <row r="38051">
      <c r="S38051" s="27"/>
      <c r="T38051" s="27"/>
      <c r="U38051" s="27"/>
    </row>
    <row r="38052">
      <c r="S38052" s="27"/>
      <c r="T38052" s="27"/>
      <c r="U38052" s="27"/>
    </row>
    <row r="38054">
      <c r="S38054" s="27"/>
      <c r="T38054" s="27"/>
      <c r="U38054" s="27"/>
    </row>
    <row r="38057">
      <c r="S38057" s="27"/>
      <c r="T38057" s="27"/>
      <c r="U38057" s="27"/>
    </row>
    <row r="38058">
      <c r="T38058" s="27"/>
      <c r="U38058" s="27"/>
    </row>
    <row r="38063">
      <c r="S38063" s="27"/>
      <c r="T38063" s="27"/>
      <c r="U38063" s="27"/>
    </row>
    <row r="38064">
      <c r="S38064" s="27"/>
      <c r="T38064" s="27"/>
      <c r="U38064" s="27"/>
    </row>
    <row r="38066">
      <c r="S38066" s="27"/>
      <c r="T38066" s="27"/>
      <c r="U38066" s="27"/>
    </row>
    <row r="38069">
      <c r="S38069" s="27"/>
      <c r="T38069" s="27"/>
      <c r="U38069" s="27"/>
    </row>
    <row r="38070">
      <c r="S38070" s="27"/>
      <c r="T38070" s="27"/>
      <c r="U38070" s="27"/>
    </row>
    <row r="38072">
      <c r="S38072" s="26"/>
      <c r="T38072" s="26"/>
      <c r="U38072" s="26"/>
    </row>
    <row r="38075">
      <c r="S38075" s="33"/>
      <c r="T38075" s="27"/>
      <c r="U38075" s="27"/>
    </row>
    <row r="38078">
      <c r="T38078" s="27"/>
    </row>
    <row r="38079">
      <c r="S38079" s="27"/>
      <c r="T38079" s="27"/>
      <c r="U38079" s="27"/>
    </row>
    <row r="38081">
      <c r="S38081" s="27"/>
      <c r="T38081" s="27"/>
      <c r="U38081" s="27"/>
    </row>
    <row r="38082">
      <c r="S38082" s="27"/>
      <c r="T38082" s="27"/>
      <c r="U38082" s="27"/>
    </row>
    <row r="38085">
      <c r="S38085" s="27"/>
      <c r="T38085" s="27"/>
      <c r="U38085" s="27"/>
    </row>
    <row r="38087">
      <c r="S38087" s="27"/>
    </row>
    <row r="38088">
      <c r="S38088" s="26"/>
      <c r="T38088" s="26"/>
      <c r="U38088" s="26"/>
    </row>
    <row r="38090">
      <c r="S38090" s="27"/>
      <c r="T38090" s="27"/>
      <c r="U38090" s="27"/>
    </row>
    <row r="38091">
      <c r="S38091" s="27"/>
      <c r="T38091" s="27"/>
      <c r="U38091" s="27"/>
    </row>
    <row r="38093">
      <c r="S38093" s="27"/>
      <c r="T38093" s="27"/>
      <c r="U38093" s="27"/>
    </row>
    <row r="38094">
      <c r="S38094" s="27"/>
      <c r="T38094" s="27"/>
      <c r="U38094" s="27"/>
    </row>
    <row r="38099">
      <c r="S38099" s="27"/>
      <c r="T38099" s="27"/>
      <c r="U38099" s="27"/>
    </row>
    <row r="38100">
      <c r="S38100" s="27"/>
      <c r="T38100" s="27"/>
      <c r="U38100" s="27"/>
    </row>
    <row r="38102">
      <c r="S38102" s="27"/>
      <c r="T38102" s="27"/>
      <c r="U38102" s="27"/>
    </row>
    <row r="38103">
      <c r="S38103" s="27"/>
      <c r="T38103" s="27"/>
      <c r="U38103" s="27"/>
    </row>
    <row r="38105">
      <c r="S38105" s="27"/>
      <c r="T38105" s="27"/>
      <c r="U38105" s="27"/>
    </row>
    <row r="38106">
      <c r="S38106" s="27"/>
      <c r="T38106" s="27"/>
      <c r="U38106" s="27"/>
    </row>
    <row r="38108">
      <c r="S38108" s="27"/>
      <c r="T38108" s="27"/>
      <c r="U38108" s="27"/>
    </row>
    <row r="38109">
      <c r="S38109" s="27"/>
      <c r="T38109" s="27"/>
      <c r="U38109" s="27"/>
    </row>
    <row r="38111">
      <c r="S38111" s="27"/>
      <c r="T38111" s="27"/>
      <c r="U38111" s="27"/>
    </row>
    <row r="38112">
      <c r="S38112" s="27"/>
      <c r="T38112" s="27"/>
      <c r="U38112" s="27"/>
    </row>
    <row r="38114">
      <c r="S38114" s="27"/>
      <c r="T38114" s="27"/>
      <c r="U38114" s="27"/>
    </row>
    <row r="38115">
      <c r="S38115" s="27"/>
      <c r="T38115" s="27"/>
      <c r="U38115" s="27"/>
    </row>
    <row r="38117">
      <c r="S38117" s="27"/>
      <c r="T38117" s="27"/>
      <c r="U38117" s="27"/>
    </row>
    <row r="38118">
      <c r="S38118" s="27"/>
      <c r="T38118" s="27"/>
      <c r="U38118" s="27"/>
    </row>
    <row r="38120">
      <c r="S38120" s="27"/>
      <c r="T38120" s="27"/>
      <c r="U38120" s="27"/>
    </row>
    <row r="38121">
      <c r="S38121" s="27"/>
      <c r="T38121" s="27"/>
      <c r="U38121" s="27"/>
    </row>
    <row r="38123">
      <c r="S38123" s="27"/>
      <c r="T38123" s="27"/>
      <c r="U38123" s="27"/>
    </row>
    <row r="38124">
      <c r="S38124" s="27"/>
      <c r="T38124" s="27"/>
      <c r="U38124" s="27"/>
    </row>
    <row r="38126">
      <c r="S38126" s="27"/>
      <c r="T38126" s="27"/>
      <c r="U38126" s="27"/>
    </row>
    <row r="38127">
      <c r="S38127" s="27"/>
      <c r="T38127" s="27"/>
      <c r="U38127" s="27"/>
    </row>
    <row r="38129">
      <c r="S38129" s="27"/>
      <c r="T38129" s="27"/>
      <c r="U38129" s="27"/>
    </row>
    <row r="38130">
      <c r="S38130" s="27"/>
      <c r="T38130" s="27"/>
      <c r="U38130" s="27"/>
    </row>
    <row r="38132">
      <c r="S38132" s="27"/>
      <c r="T38132" s="27"/>
      <c r="U38132" s="27"/>
    </row>
    <row r="38133">
      <c r="S38133" s="27"/>
      <c r="T38133" s="27"/>
      <c r="U38133" s="27"/>
    </row>
    <row r="38135">
      <c r="S38135" s="27"/>
      <c r="T38135" s="27"/>
      <c r="U38135" s="27"/>
    </row>
    <row r="38136">
      <c r="S38136" s="27"/>
      <c r="T38136" s="27"/>
      <c r="U38136" s="27"/>
    </row>
    <row r="38138">
      <c r="S38138" s="27"/>
      <c r="T38138" s="27"/>
      <c r="U38138" s="27"/>
    </row>
    <row r="38139">
      <c r="S38139" s="27"/>
      <c r="T38139" s="27"/>
      <c r="U38139" s="27"/>
    </row>
    <row r="38141">
      <c r="S38141" s="27"/>
      <c r="T38141" s="27"/>
      <c r="U38141" s="27"/>
    </row>
    <row r="38142">
      <c r="S38142" s="27"/>
      <c r="T38142" s="27"/>
      <c r="U38142" s="27"/>
    </row>
    <row r="38144">
      <c r="S38144" s="27"/>
      <c r="T38144" s="27"/>
      <c r="U38144" s="27"/>
    </row>
    <row r="38145">
      <c r="S38145" s="27"/>
      <c r="T38145" s="27"/>
      <c r="U38145" s="27"/>
    </row>
    <row r="38147">
      <c r="S38147" s="27"/>
      <c r="T38147" s="27"/>
      <c r="U38147" s="27"/>
    </row>
    <row r="38148">
      <c r="S38148" s="27"/>
      <c r="T38148" s="27"/>
      <c r="U38148" s="27"/>
    </row>
    <row r="38150">
      <c r="S38150" s="27"/>
      <c r="T38150" s="27"/>
      <c r="U38150" s="27"/>
    </row>
    <row r="38151">
      <c r="S38151" s="27"/>
      <c r="T38151" s="27"/>
      <c r="U38151" s="27"/>
    </row>
    <row r="38153">
      <c r="S38153" s="27"/>
      <c r="T38153" s="27"/>
      <c r="U38153" s="27"/>
    </row>
    <row r="38154">
      <c r="S38154" s="27"/>
      <c r="T38154" s="27"/>
      <c r="U38154" s="27"/>
    </row>
    <row r="38156">
      <c r="S38156" s="27"/>
      <c r="T38156" s="27"/>
      <c r="U38156" s="27"/>
    </row>
    <row r="38157">
      <c r="S38157" s="27"/>
      <c r="T38157" s="27"/>
      <c r="U38157" s="27"/>
    </row>
    <row r="38159">
      <c r="S38159" s="27"/>
      <c r="T38159" s="27"/>
      <c r="U38159" s="27"/>
    </row>
    <row r="38160">
      <c r="S38160" s="27"/>
      <c r="T38160" s="27"/>
      <c r="U38160" s="27"/>
    </row>
    <row r="38162">
      <c r="S38162" s="27"/>
      <c r="T38162" s="27"/>
      <c r="U38162" s="27"/>
    </row>
    <row r="38163">
      <c r="S38163" s="27"/>
      <c r="T38163" s="27"/>
      <c r="U38163" s="27"/>
    </row>
    <row r="38165">
      <c r="S38165" s="27"/>
      <c r="T38165" s="27"/>
      <c r="U38165" s="27"/>
    </row>
    <row r="38166">
      <c r="S38166" s="27"/>
      <c r="T38166" s="27"/>
      <c r="U38166" s="27"/>
    </row>
    <row r="38168">
      <c r="S38168" s="27"/>
      <c r="T38168" s="27"/>
      <c r="U38168" s="27"/>
    </row>
    <row r="38169">
      <c r="S38169" s="27"/>
      <c r="T38169" s="27"/>
      <c r="U38169" s="27"/>
    </row>
    <row r="38171">
      <c r="S38171" s="27"/>
      <c r="T38171" s="27"/>
      <c r="U38171" s="27"/>
    </row>
    <row r="38172">
      <c r="S38172" s="27"/>
      <c r="T38172" s="27"/>
      <c r="U38172" s="27"/>
    </row>
    <row r="38174">
      <c r="S38174" s="27"/>
      <c r="T38174" s="27"/>
      <c r="U38174" s="27"/>
    </row>
    <row r="38175">
      <c r="S38175" s="27"/>
      <c r="T38175" s="27"/>
      <c r="U38175" s="27"/>
    </row>
    <row r="38177">
      <c r="S38177" s="27"/>
      <c r="T38177" s="27"/>
      <c r="U38177" s="27"/>
    </row>
    <row r="38178">
      <c r="S38178" s="27"/>
      <c r="T38178" s="27"/>
      <c r="U38178" s="27"/>
    </row>
    <row r="38180">
      <c r="S38180" s="27"/>
      <c r="T38180" s="27"/>
      <c r="U38180" s="27"/>
    </row>
    <row r="38181">
      <c r="S38181" s="27"/>
      <c r="T38181" s="27"/>
      <c r="U38181" s="27"/>
    </row>
    <row r="38183">
      <c r="S38183" s="27"/>
      <c r="T38183" s="27"/>
      <c r="U38183" s="27"/>
    </row>
    <row r="38184">
      <c r="S38184" s="27"/>
      <c r="T38184" s="27"/>
      <c r="U38184" s="27"/>
    </row>
    <row r="38186">
      <c r="S38186" s="27"/>
      <c r="T38186" s="27"/>
      <c r="U38186" s="27"/>
    </row>
    <row r="38188">
      <c r="S38188" s="27"/>
      <c r="T38188" s="27"/>
      <c r="U38188" s="27"/>
    </row>
    <row r="38189">
      <c r="S38189" s="27"/>
      <c r="T38189" s="27"/>
      <c r="U38189" s="27"/>
    </row>
    <row r="38191">
      <c r="S38191" s="27"/>
      <c r="T38191" s="27"/>
      <c r="U38191" s="27"/>
    </row>
    <row r="38192">
      <c r="S38192" s="27"/>
      <c r="T38192" s="27"/>
      <c r="U38192" s="27"/>
    </row>
    <row r="38194">
      <c r="S38194" s="27"/>
      <c r="T38194" s="27"/>
      <c r="U38194" s="27"/>
    </row>
    <row r="38195">
      <c r="S38195" s="27"/>
      <c r="T38195" s="27"/>
      <c r="U38195" s="27"/>
    </row>
    <row r="38197">
      <c r="S38197" s="27"/>
      <c r="T38197" s="27"/>
      <c r="U38197" s="27"/>
    </row>
    <row r="38198">
      <c r="S38198" s="27"/>
      <c r="T38198" s="27"/>
      <c r="U38198" s="27"/>
    </row>
    <row r="38200">
      <c r="S38200" s="27"/>
      <c r="T38200" s="27"/>
      <c r="U38200" s="27"/>
    </row>
    <row r="38201">
      <c r="S38201" s="27"/>
      <c r="T38201" s="27"/>
      <c r="U38201" s="27"/>
    </row>
    <row r="38203">
      <c r="S38203" s="27"/>
      <c r="T38203" s="27"/>
      <c r="U38203" s="27"/>
    </row>
    <row r="38204">
      <c r="S38204" s="27"/>
      <c r="T38204" s="27"/>
      <c r="U38204" s="27"/>
    </row>
    <row r="38207">
      <c r="S38207" s="27"/>
      <c r="T38207" s="27"/>
      <c r="U38207" s="27"/>
    </row>
    <row r="38209">
      <c r="S38209" s="27"/>
      <c r="T38209" s="27"/>
      <c r="U38209" s="27"/>
    </row>
    <row r="38211">
      <c r="S38211" s="27"/>
      <c r="T38211" s="27"/>
      <c r="U38211" s="27"/>
    </row>
    <row r="38213">
      <c r="T38213" s="27"/>
      <c r="U38213" s="27"/>
    </row>
    <row r="38215">
      <c r="S38215" s="27"/>
      <c r="T38215" s="27"/>
      <c r="U38215" s="27"/>
    </row>
    <row r="38217">
      <c r="S38217" s="27"/>
      <c r="T38217" s="27"/>
      <c r="U38217" s="27"/>
    </row>
    <row r="38218">
      <c r="S38218" s="27"/>
      <c r="T38218" s="27"/>
      <c r="U38218" s="27"/>
    </row>
    <row r="38220">
      <c r="S38220" s="27"/>
      <c r="T38220" s="27"/>
      <c r="U38220" s="27"/>
    </row>
    <row r="38221">
      <c r="S38221" s="27"/>
      <c r="T38221" s="27"/>
      <c r="U38221" s="27"/>
    </row>
    <row r="38223">
      <c r="S38223" s="27"/>
      <c r="T38223" s="27"/>
      <c r="U38223" s="27"/>
    </row>
    <row r="38224">
      <c r="S38224" s="33"/>
      <c r="T38224" s="33"/>
      <c r="U38224" s="33"/>
    </row>
    <row r="38226">
      <c r="S38226" s="27"/>
      <c r="T38226" s="27"/>
      <c r="U38226" s="27"/>
    </row>
    <row r="38227">
      <c r="S38227" s="27"/>
      <c r="T38227" s="27"/>
      <c r="U38227" s="27"/>
    </row>
    <row r="38229">
      <c r="S38229" s="27"/>
      <c r="T38229" s="27"/>
      <c r="U38229" s="27"/>
    </row>
    <row r="38230">
      <c r="S38230" s="27"/>
      <c r="T38230" s="27"/>
      <c r="U38230" s="27"/>
    </row>
    <row r="38232">
      <c r="S38232" s="27"/>
      <c r="T38232" s="27"/>
      <c r="U38232" s="27"/>
    </row>
    <row r="38233">
      <c r="S38233" s="27"/>
      <c r="T38233" s="27"/>
      <c r="U38233" s="27"/>
    </row>
    <row r="38238">
      <c r="S38238" s="27"/>
      <c r="T38238" s="27"/>
      <c r="U38238" s="27"/>
    </row>
    <row r="38241">
      <c r="S38241" s="33"/>
      <c r="T38241" s="33"/>
      <c r="U38241" s="33"/>
    </row>
    <row r="38242">
      <c r="S38242" s="26"/>
      <c r="T38242" s="26"/>
      <c r="U38242" s="26"/>
    </row>
    <row r="38244">
      <c r="S38244" s="27"/>
      <c r="T38244" s="27"/>
      <c r="U38244" s="27"/>
    </row>
    <row r="38245">
      <c r="S38245" s="27"/>
      <c r="T38245" s="27"/>
      <c r="U38245" s="27"/>
    </row>
    <row r="38247">
      <c r="S38247" s="27"/>
      <c r="T38247" s="27"/>
      <c r="U38247" s="27"/>
    </row>
    <row r="38248">
      <c r="S38248" s="27"/>
      <c r="T38248" s="27"/>
      <c r="U38248" s="27"/>
    </row>
    <row r="38250">
      <c r="T38250" s="27"/>
      <c r="U38250" s="27"/>
    </row>
    <row r="38251">
      <c r="T38251" s="27"/>
      <c r="U38251" s="27"/>
    </row>
    <row r="38253">
      <c r="S38253" s="26"/>
      <c r="T38253" s="26"/>
      <c r="U38253" s="26"/>
    </row>
    <row r="38256">
      <c r="S38256" s="27"/>
      <c r="T38256" s="27"/>
      <c r="U38256" s="27"/>
    </row>
    <row r="38257">
      <c r="S38257" s="27"/>
      <c r="T38257" s="27"/>
      <c r="U38257" s="27"/>
    </row>
    <row r="38259">
      <c r="S38259" s="27"/>
      <c r="T38259" s="27"/>
      <c r="U38259" s="27"/>
    </row>
    <row r="38260">
      <c r="S38260" s="27"/>
      <c r="T38260" s="27"/>
      <c r="U38260" s="27"/>
    </row>
    <row r="38262">
      <c r="S38262" s="27"/>
      <c r="T38262" s="27"/>
      <c r="U38262" s="26"/>
    </row>
    <row r="38263">
      <c r="S38263" s="27"/>
      <c r="T38263" s="27"/>
    </row>
    <row r="38265">
      <c r="T38265" s="27"/>
      <c r="U38265" s="27"/>
    </row>
    <row r="38268">
      <c r="S38268" s="26"/>
      <c r="T38268" s="26"/>
      <c r="U38268" s="26"/>
    </row>
    <row r="38271">
      <c r="S38271" s="27"/>
      <c r="T38271" s="27"/>
      <c r="U38271" s="27"/>
    </row>
    <row r="38272">
      <c r="S38272" s="27"/>
      <c r="T38272" s="27"/>
      <c r="U38272" s="27"/>
    </row>
    <row r="38274">
      <c r="S38274" s="27"/>
      <c r="T38274" s="27"/>
      <c r="U38274" s="27"/>
    </row>
    <row r="38275">
      <c r="S38275" s="27"/>
      <c r="T38275" s="27"/>
      <c r="U38275" s="27"/>
    </row>
    <row r="38283">
      <c r="S38283" s="27"/>
      <c r="T38283" s="27"/>
      <c r="U38283" s="27"/>
    </row>
    <row r="38286">
      <c r="S38286" s="27"/>
      <c r="T38286" s="27"/>
      <c r="U38286" s="27"/>
    </row>
    <row r="38287">
      <c r="S38287" s="27"/>
      <c r="T38287" s="27"/>
      <c r="U38287" s="27"/>
    </row>
    <row r="38289">
      <c r="S38289" s="27"/>
      <c r="T38289" s="27"/>
      <c r="U38289" s="27"/>
    </row>
    <row r="38290">
      <c r="S38290" s="27"/>
      <c r="T38290" s="27"/>
      <c r="U38290" s="27"/>
    </row>
    <row r="38292">
      <c r="S38292" s="27"/>
      <c r="T38292" s="27"/>
      <c r="U38292" s="27"/>
    </row>
    <row r="38293">
      <c r="S38293" s="27"/>
      <c r="T38293" s="27"/>
      <c r="U38293" s="27"/>
    </row>
    <row r="38295">
      <c r="S38295" s="27"/>
      <c r="T38295" s="27"/>
      <c r="U38295" s="27"/>
    </row>
    <row r="38296">
      <c r="S38296" s="27"/>
      <c r="T38296" s="27"/>
      <c r="U38296" s="27"/>
    </row>
    <row r="38298">
      <c r="S38298" s="27"/>
      <c r="T38298" s="27"/>
      <c r="U38298" s="27"/>
    </row>
    <row r="38299">
      <c r="S38299" s="27"/>
      <c r="T38299" s="27"/>
      <c r="U38299" s="27"/>
    </row>
    <row r="38301">
      <c r="S38301" s="27"/>
      <c r="T38301" s="27"/>
      <c r="U38301" s="27"/>
    </row>
    <row r="38302">
      <c r="S38302" s="27"/>
      <c r="T38302" s="27"/>
      <c r="U38302" s="27"/>
    </row>
    <row r="38304">
      <c r="S38304" s="27"/>
      <c r="T38304" s="27"/>
      <c r="U38304" s="27"/>
    </row>
    <row r="38305">
      <c r="S38305" s="27"/>
      <c r="T38305" s="27"/>
      <c r="U38305" s="27"/>
    </row>
    <row r="38307">
      <c r="S38307" s="27"/>
      <c r="T38307" s="27"/>
      <c r="U38307" s="27"/>
    </row>
    <row r="38308">
      <c r="S38308" s="27"/>
      <c r="T38308" s="27"/>
      <c r="U38308" s="27"/>
    </row>
    <row r="38310">
      <c r="S38310" s="27"/>
      <c r="T38310" s="27"/>
      <c r="U38310" s="27"/>
    </row>
    <row r="38311">
      <c r="S38311" s="27"/>
      <c r="T38311" s="27"/>
      <c r="U38311" s="27"/>
    </row>
    <row r="38313">
      <c r="S38313" s="27"/>
      <c r="T38313" s="27"/>
      <c r="U38313" s="27"/>
    </row>
    <row r="38314">
      <c r="S38314" s="27"/>
      <c r="T38314" s="27"/>
      <c r="U38314" s="27"/>
    </row>
    <row r="38316">
      <c r="S38316" s="27"/>
      <c r="T38316" s="27"/>
      <c r="U38316" s="27"/>
    </row>
    <row r="38317">
      <c r="S38317" s="27"/>
      <c r="T38317" s="27"/>
      <c r="U38317" s="27"/>
    </row>
    <row r="38319">
      <c r="S38319" s="27"/>
      <c r="T38319" s="27"/>
      <c r="U38319" s="27"/>
    </row>
    <row r="38320">
      <c r="S38320" s="27"/>
      <c r="T38320" s="27"/>
      <c r="U38320" s="27"/>
    </row>
    <row r="38322">
      <c r="S38322" s="27"/>
      <c r="T38322" s="27"/>
      <c r="U38322" s="27"/>
    </row>
    <row r="38323">
      <c r="S38323" s="27"/>
      <c r="T38323" s="27"/>
      <c r="U38323" s="27"/>
    </row>
    <row r="38325">
      <c r="S38325" s="26"/>
      <c r="T38325" s="26"/>
      <c r="U38325" s="27"/>
    </row>
    <row r="38326">
      <c r="S38326" s="26"/>
      <c r="T38326" s="26"/>
      <c r="U38326" s="27"/>
    </row>
    <row r="38328">
      <c r="S38328" s="27"/>
      <c r="T38328" s="27"/>
      <c r="U38328" s="27"/>
    </row>
    <row r="38329">
      <c r="S38329" s="27"/>
      <c r="T38329" s="27"/>
      <c r="U38329" s="27"/>
    </row>
    <row r="38331">
      <c r="S38331" s="27"/>
      <c r="T38331" s="27"/>
      <c r="U38331" s="27"/>
    </row>
    <row r="38332">
      <c r="S38332" s="27"/>
      <c r="T38332" s="27"/>
      <c r="U38332" s="27"/>
    </row>
    <row r="38334">
      <c r="S38334" s="27"/>
      <c r="T38334" s="27"/>
      <c r="U38334" s="27"/>
    </row>
    <row r="38335">
      <c r="S38335" s="27"/>
      <c r="T38335" s="27"/>
      <c r="U38335" s="27"/>
    </row>
    <row r="38337">
      <c r="S38337" s="27"/>
      <c r="T38337" s="27"/>
      <c r="U38337" s="27"/>
    </row>
    <row r="38338">
      <c r="S38338" s="27"/>
      <c r="T38338" s="27"/>
      <c r="U38338" s="27"/>
    </row>
    <row r="38340">
      <c r="S38340" s="26"/>
      <c r="T38340" s="26"/>
      <c r="U38340" s="27"/>
    </row>
    <row r="38341">
      <c r="S38341" s="26"/>
      <c r="T38341" s="26"/>
      <c r="U38341" s="27"/>
    </row>
    <row r="38343">
      <c r="S38343" s="27"/>
      <c r="T38343" s="27"/>
      <c r="U38343" s="27"/>
    </row>
    <row r="38344">
      <c r="S38344" s="27"/>
      <c r="T38344" s="27"/>
      <c r="U38344" s="27"/>
    </row>
    <row r="38346">
      <c r="S38346" s="27"/>
      <c r="T38346" s="27"/>
      <c r="U38346" s="27"/>
    </row>
    <row r="38347">
      <c r="S38347" s="27"/>
      <c r="T38347" s="27"/>
      <c r="U38347" s="27"/>
    </row>
    <row r="38349">
      <c r="S38349" s="27"/>
      <c r="T38349" s="27"/>
      <c r="U38349" s="27"/>
    </row>
    <row r="38350">
      <c r="S38350" s="27"/>
      <c r="T38350" s="27"/>
      <c r="U38350" s="27"/>
    </row>
    <row r="38352">
      <c r="S38352" s="27"/>
      <c r="T38352" s="27"/>
      <c r="U38352" s="27"/>
    </row>
    <row r="38353">
      <c r="S38353" s="27"/>
      <c r="T38353" s="27"/>
      <c r="U38353" s="27"/>
    </row>
    <row r="38355">
      <c r="S38355" s="27"/>
      <c r="T38355" s="27"/>
      <c r="U38355" s="27"/>
    </row>
    <row r="38356">
      <c r="S38356" s="27"/>
      <c r="T38356" s="27"/>
      <c r="U38356" s="27"/>
    </row>
    <row r="38361">
      <c r="S38361" s="27"/>
      <c r="T38361" s="27"/>
      <c r="U38361" s="27"/>
    </row>
    <row r="38362">
      <c r="U38362" s="27"/>
    </row>
    <row r="38364">
      <c r="S38364" s="27"/>
      <c r="T38364" s="27"/>
      <c r="U38364" s="27"/>
    </row>
    <row r="38367">
      <c r="S38367" s="27"/>
      <c r="T38367" s="27"/>
      <c r="U38367" s="27"/>
    </row>
    <row r="38368">
      <c r="S38368" s="27"/>
      <c r="T38368" s="27"/>
      <c r="U38368" s="27"/>
    </row>
    <row r="38370">
      <c r="S38370" s="27"/>
      <c r="T38370" s="27"/>
      <c r="U38370" s="27"/>
    </row>
    <row r="38371">
      <c r="S38371" s="27"/>
      <c r="T38371" s="27"/>
      <c r="U38371" s="27"/>
    </row>
    <row r="38373">
      <c r="S38373" s="27"/>
      <c r="T38373" s="27"/>
      <c r="U38373" s="27"/>
    </row>
    <row r="38374">
      <c r="S38374" s="27"/>
      <c r="T38374" s="27"/>
      <c r="U38374" s="27"/>
    </row>
    <row r="38376">
      <c r="S38376" s="27"/>
      <c r="U38376" s="27"/>
    </row>
    <row r="38377">
      <c r="S38377" s="27"/>
      <c r="T38377" s="27"/>
      <c r="U38377" s="27"/>
    </row>
    <row r="38379">
      <c r="S38379" s="27"/>
      <c r="T38379" s="27"/>
      <c r="U38379" s="27"/>
    </row>
    <row r="38380">
      <c r="S38380" s="27"/>
      <c r="T38380" s="27"/>
      <c r="U38380" s="27"/>
    </row>
    <row r="38382">
      <c r="S38382" s="27"/>
      <c r="T38382" s="27"/>
      <c r="U38382" s="27"/>
    </row>
    <row r="38383">
      <c r="S38383" s="27"/>
      <c r="T38383" s="27"/>
      <c r="U38383" s="27"/>
    </row>
    <row r="38388">
      <c r="T38388" s="26"/>
      <c r="U38388" s="26"/>
    </row>
    <row r="38391">
      <c r="S38391" s="27"/>
      <c r="T38391" s="27"/>
      <c r="U38391" s="27"/>
    </row>
    <row r="38393">
      <c r="S38393" s="27"/>
      <c r="T38393" s="27"/>
      <c r="U38393" s="27"/>
    </row>
    <row r="38395">
      <c r="S38395" s="27"/>
      <c r="T38395" s="26"/>
      <c r="U38395" s="26"/>
    </row>
    <row r="38398">
      <c r="S38398" s="27"/>
      <c r="T38398" s="27"/>
      <c r="U38398" s="27"/>
    </row>
    <row r="38401">
      <c r="S38401" s="27"/>
      <c r="T38401" s="27"/>
      <c r="U38401" s="27"/>
    </row>
    <row r="38402">
      <c r="S38402" s="27"/>
      <c r="T38402" s="27"/>
      <c r="U38402" s="27"/>
    </row>
    <row r="38404">
      <c r="S38404" s="27"/>
      <c r="T38404" s="27"/>
      <c r="U38404" s="27"/>
    </row>
    <row r="38405">
      <c r="S38405" s="27"/>
      <c r="T38405" s="27"/>
      <c r="U38405" s="27"/>
    </row>
    <row r="38407">
      <c r="S38407" s="27"/>
      <c r="T38407" s="27"/>
      <c r="U38407" s="27"/>
    </row>
    <row r="38408">
      <c r="U38408" s="27"/>
    </row>
    <row r="38410">
      <c r="S38410" s="27"/>
      <c r="T38410" s="27"/>
      <c r="U38410" s="27"/>
    </row>
    <row r="38413">
      <c r="S38413" s="27"/>
      <c r="T38413" s="27"/>
      <c r="U38413" s="27"/>
    </row>
    <row r="38414">
      <c r="S38414" s="27"/>
      <c r="T38414" s="27"/>
      <c r="U38414" s="27"/>
    </row>
    <row r="38419">
      <c r="S38419" s="27"/>
      <c r="T38419" s="27"/>
      <c r="U38419" s="27"/>
    </row>
    <row r="38420">
      <c r="S38420" s="27"/>
      <c r="T38420" s="27"/>
      <c r="U38420" s="27"/>
    </row>
    <row r="38422">
      <c r="S38422" s="27"/>
      <c r="T38422" s="27"/>
      <c r="U38422" s="27"/>
    </row>
    <row r="38423">
      <c r="S38423" s="27"/>
      <c r="T38423" s="27"/>
      <c r="U38423" s="27"/>
    </row>
    <row r="38425">
      <c r="S38425" s="27"/>
      <c r="T38425" s="27"/>
      <c r="U38425" s="27"/>
    </row>
    <row r="38426">
      <c r="S38426" s="27"/>
      <c r="T38426" s="27"/>
      <c r="U38426" s="27"/>
    </row>
    <row r="38428">
      <c r="T38428" s="27"/>
      <c r="U38428" s="27"/>
    </row>
    <row r="38429">
      <c r="T38429" s="27"/>
      <c r="U38429" s="27"/>
    </row>
    <row r="38431">
      <c r="S38431" s="27"/>
      <c r="T38431" s="27"/>
      <c r="U38431" s="27"/>
    </row>
    <row r="38434">
      <c r="S38434" s="27"/>
      <c r="T38434" s="27"/>
      <c r="U38434" s="33"/>
    </row>
    <row r="38435">
      <c r="S38435" s="33"/>
      <c r="T38435" s="33"/>
      <c r="U38435" s="27"/>
    </row>
    <row r="38437">
      <c r="S38437" s="26"/>
      <c r="T38437" s="26"/>
      <c r="U38437" s="26"/>
    </row>
    <row r="38438">
      <c r="S38438" s="26"/>
      <c r="T38438" s="26"/>
      <c r="U38438" s="26"/>
    </row>
    <row r="38440">
      <c r="S38440" s="27"/>
      <c r="T38440" s="27"/>
      <c r="U38440" s="27"/>
    </row>
    <row r="38441">
      <c r="S38441" s="27"/>
      <c r="T38441" s="27"/>
      <c r="U38441" s="27"/>
    </row>
    <row r="38443">
      <c r="S38443" s="27"/>
      <c r="T38443" s="27"/>
      <c r="U38443" s="27"/>
    </row>
    <row r="38444">
      <c r="S38444" s="27"/>
      <c r="T38444" s="27"/>
      <c r="U38444" s="27"/>
    </row>
    <row r="38446">
      <c r="S38446" s="27"/>
      <c r="T38446" s="27"/>
      <c r="U38446" s="27"/>
    </row>
    <row r="38447">
      <c r="S38447" s="27"/>
      <c r="T38447" s="27"/>
      <c r="U38447" s="27"/>
    </row>
    <row r="38449">
      <c r="S38449" s="27"/>
      <c r="T38449" s="27"/>
      <c r="U38449" s="27"/>
    </row>
    <row r="38450">
      <c r="S38450" s="27"/>
      <c r="T38450" s="27"/>
      <c r="U38450" s="27"/>
    </row>
    <row r="38455">
      <c r="S38455" s="27"/>
      <c r="T38455" s="27"/>
      <c r="U38455" s="27"/>
    </row>
    <row r="38456">
      <c r="S38456" s="27"/>
      <c r="T38456" s="27"/>
      <c r="U38456" s="27"/>
    </row>
    <row r="38458">
      <c r="S38458" s="27"/>
      <c r="T38458" s="27"/>
      <c r="U38458" s="27"/>
    </row>
    <row r="38459">
      <c r="S38459" s="27"/>
      <c r="T38459" s="27"/>
      <c r="U38459" s="27"/>
    </row>
    <row r="38461">
      <c r="S38461" s="27"/>
      <c r="T38461" s="27"/>
      <c r="U38461" s="27"/>
    </row>
    <row r="38462">
      <c r="S38462" s="26"/>
    </row>
    <row r="38464">
      <c r="T38464" s="26"/>
      <c r="U38464" s="26"/>
    </row>
    <row r="38465">
      <c r="S38465" s="27"/>
    </row>
    <row r="38467">
      <c r="S38467" s="27"/>
      <c r="T38467" s="27"/>
      <c r="U38467" s="27"/>
    </row>
    <row r="38468">
      <c r="S38468" s="27"/>
      <c r="T38468" s="27"/>
      <c r="U38468" s="27"/>
    </row>
    <row r="38470">
      <c r="S38470" s="27"/>
      <c r="T38470" s="27"/>
      <c r="U38470" s="27"/>
    </row>
    <row r="38471">
      <c r="S38471" s="27"/>
      <c r="T38471" s="27"/>
      <c r="U38471" s="27"/>
    </row>
    <row r="38473">
      <c r="S38473" s="27"/>
      <c r="T38473" s="27"/>
      <c r="U38473" s="27"/>
    </row>
    <row r="38476">
      <c r="S38476" s="27"/>
      <c r="T38476" s="27"/>
      <c r="U38476" s="27"/>
    </row>
    <row r="38477">
      <c r="S38477" s="27"/>
      <c r="T38477" s="27"/>
      <c r="U38477" s="27"/>
    </row>
    <row r="38479">
      <c r="S38479" s="26"/>
      <c r="T38479" s="26"/>
      <c r="U38479" s="26"/>
    </row>
    <row r="38482">
      <c r="S38482" s="27"/>
      <c r="T38482" s="27"/>
      <c r="U38482" s="27"/>
    </row>
    <row r="38485">
      <c r="S38485" s="27"/>
      <c r="T38485" s="27"/>
      <c r="U38485" s="27"/>
    </row>
    <row r="38486">
      <c r="S38486" s="27"/>
      <c r="T38486" s="27"/>
      <c r="U38486" s="27"/>
    </row>
    <row r="38488">
      <c r="S38488" s="33"/>
      <c r="T38488" s="27"/>
      <c r="U38488" s="27"/>
    </row>
    <row r="38489">
      <c r="T38489" s="27"/>
      <c r="U38489" s="27"/>
    </row>
    <row r="38491">
      <c r="S38491" s="27"/>
      <c r="T38491" s="27"/>
      <c r="U38491" s="27"/>
    </row>
    <row r="38492">
      <c r="S38492" s="27"/>
      <c r="T38492" s="27"/>
      <c r="U38492" s="27"/>
    </row>
    <row r="38494">
      <c r="S38494" s="26"/>
    </row>
    <row r="38495">
      <c r="S38495" s="26"/>
      <c r="T38495" s="26"/>
      <c r="U38495" s="26"/>
    </row>
    <row r="38497">
      <c r="S38497" s="27"/>
      <c r="T38497" s="27"/>
      <c r="U38497" s="27"/>
    </row>
    <row r="38498">
      <c r="S38498" s="27"/>
      <c r="T38498" s="27"/>
      <c r="U38498" s="27"/>
    </row>
    <row r="38500">
      <c r="S38500" s="27"/>
      <c r="T38500" s="27"/>
      <c r="U38500" s="27"/>
    </row>
    <row r="38501">
      <c r="S38501" s="27"/>
      <c r="T38501" s="27"/>
      <c r="U38501" s="27"/>
    </row>
    <row r="38503">
      <c r="S38503" s="27"/>
      <c r="T38503" s="27"/>
      <c r="U38503" s="27"/>
    </row>
    <row r="38504">
      <c r="S38504" s="27"/>
      <c r="T38504" s="27"/>
      <c r="U38504" s="27"/>
    </row>
    <row r="38506">
      <c r="S38506" s="27"/>
      <c r="T38506" s="27"/>
      <c r="U38506" s="27"/>
    </row>
    <row r="38507">
      <c r="S38507" s="27"/>
      <c r="T38507" s="27"/>
      <c r="U38507" s="27"/>
    </row>
    <row r="38509">
      <c r="S38509" s="27"/>
      <c r="T38509" s="27"/>
      <c r="U38509" s="27"/>
    </row>
    <row r="38510">
      <c r="S38510" s="27"/>
      <c r="T38510" s="27"/>
      <c r="U38510" s="27"/>
    </row>
    <row r="38512">
      <c r="S38512" s="27"/>
      <c r="T38512" s="27"/>
      <c r="U38512" s="27"/>
    </row>
    <row r="38513">
      <c r="S38513" s="27"/>
      <c r="T38513" s="27"/>
      <c r="U38513" s="27"/>
    </row>
    <row r="38515">
      <c r="S38515" s="27"/>
      <c r="T38515" s="27"/>
      <c r="U38515" s="27"/>
    </row>
    <row r="38516">
      <c r="S38516" s="27"/>
      <c r="T38516" s="27"/>
      <c r="U38516" s="27"/>
    </row>
    <row r="38518">
      <c r="S38518" s="27"/>
      <c r="T38518" s="27"/>
      <c r="U38518" s="27"/>
    </row>
    <row r="38519">
      <c r="S38519" s="27"/>
      <c r="T38519" s="27"/>
      <c r="U38519" s="27"/>
    </row>
    <row r="38521">
      <c r="S38521" s="27"/>
      <c r="T38521" s="27"/>
      <c r="U38521" s="27"/>
    </row>
    <row r="38522">
      <c r="S38522" s="27"/>
      <c r="T38522" s="27"/>
      <c r="U38522" s="27"/>
    </row>
    <row r="38524">
      <c r="S38524" s="27"/>
      <c r="T38524" s="27"/>
      <c r="U38524" s="27"/>
    </row>
    <row r="38525">
      <c r="S38525" s="27"/>
      <c r="T38525" s="27"/>
      <c r="U38525" s="27"/>
    </row>
    <row r="38527">
      <c r="S38527" s="27"/>
      <c r="T38527" s="27"/>
      <c r="U38527" s="27"/>
    </row>
    <row r="38528">
      <c r="S38528" s="27"/>
      <c r="T38528" s="27"/>
      <c r="U38528" s="27"/>
    </row>
    <row r="38530">
      <c r="S38530" s="27"/>
      <c r="T38530" s="27"/>
      <c r="U38530" s="27"/>
    </row>
    <row r="38531">
      <c r="S38531" s="27"/>
      <c r="T38531" s="27"/>
      <c r="U38531" s="27"/>
    </row>
    <row r="38533">
      <c r="S38533" s="27"/>
      <c r="T38533" s="27"/>
      <c r="U38533" s="27"/>
    </row>
    <row r="38534">
      <c r="S38534" s="27"/>
      <c r="T38534" s="27"/>
      <c r="U38534" s="27"/>
    </row>
    <row r="38536">
      <c r="S38536" s="27"/>
      <c r="T38536" s="27"/>
      <c r="U38536" s="27"/>
    </row>
    <row r="38537">
      <c r="S38537" s="27"/>
      <c r="T38537" s="27"/>
      <c r="U38537" s="27"/>
    </row>
    <row r="38539">
      <c r="S38539" s="27"/>
      <c r="T38539" s="27"/>
      <c r="U38539" s="27"/>
    </row>
    <row r="38540">
      <c r="S38540" s="27"/>
      <c r="T38540" s="27"/>
      <c r="U38540" s="27"/>
    </row>
    <row r="38542">
      <c r="S38542" s="27"/>
      <c r="T38542" s="27"/>
      <c r="U38542" s="27"/>
    </row>
    <row r="38543">
      <c r="S38543" s="27"/>
      <c r="T38543" s="27"/>
      <c r="U38543" s="27"/>
    </row>
    <row r="38545">
      <c r="S38545" s="27"/>
      <c r="T38545" s="27"/>
      <c r="U38545" s="27"/>
    </row>
    <row r="38546">
      <c r="S38546" s="27"/>
      <c r="T38546" s="27"/>
      <c r="U38546" s="27"/>
    </row>
    <row r="38548">
      <c r="S38548" s="27"/>
      <c r="T38548" s="27"/>
      <c r="U38548" s="27"/>
    </row>
    <row r="38549">
      <c r="S38549" s="27"/>
      <c r="T38549" s="27"/>
      <c r="U38549" s="27"/>
    </row>
    <row r="38551">
      <c r="S38551" s="27"/>
      <c r="T38551" s="27"/>
      <c r="U38551" s="27"/>
    </row>
    <row r="38552">
      <c r="S38552" s="27"/>
      <c r="T38552" s="27"/>
      <c r="U38552" s="27"/>
    </row>
    <row r="38554">
      <c r="S38554" s="27"/>
      <c r="T38554" s="27"/>
      <c r="U38554" s="27"/>
    </row>
    <row r="38555">
      <c r="S38555" s="27"/>
      <c r="T38555" s="27"/>
      <c r="U38555" s="27"/>
    </row>
    <row r="38557">
      <c r="S38557" s="27"/>
      <c r="T38557" s="27"/>
      <c r="U38557" s="27"/>
    </row>
    <row r="38558">
      <c r="S38558" s="27"/>
      <c r="T38558" s="27"/>
      <c r="U38558" s="27"/>
    </row>
    <row r="38560">
      <c r="S38560" s="27"/>
      <c r="T38560" s="27"/>
      <c r="U38560" s="27"/>
    </row>
    <row r="38561">
      <c r="S38561" s="27"/>
      <c r="T38561" s="27"/>
      <c r="U38561" s="27"/>
    </row>
    <row r="38563">
      <c r="S38563" s="27"/>
      <c r="T38563" s="27"/>
      <c r="U38563" s="27"/>
    </row>
    <row r="38564">
      <c r="S38564" s="27"/>
      <c r="T38564" s="27"/>
      <c r="U38564" s="27"/>
    </row>
    <row r="38566">
      <c r="S38566" s="27"/>
      <c r="T38566" s="27"/>
      <c r="U38566" s="27"/>
    </row>
    <row r="38567">
      <c r="S38567" s="27"/>
      <c r="T38567" s="27"/>
      <c r="U38567" s="27"/>
    </row>
    <row r="38569">
      <c r="S38569" s="27"/>
      <c r="T38569" s="27"/>
      <c r="U38569" s="27"/>
    </row>
    <row r="38570">
      <c r="S38570" s="27"/>
      <c r="T38570" s="27"/>
      <c r="U38570" s="27"/>
    </row>
    <row r="38572">
      <c r="S38572" s="27"/>
      <c r="T38572" s="27"/>
      <c r="U38572" s="27"/>
    </row>
    <row r="38573">
      <c r="S38573" s="27"/>
      <c r="T38573" s="27"/>
      <c r="U38573" s="27"/>
    </row>
    <row r="38575">
      <c r="S38575" s="27"/>
      <c r="T38575" s="27"/>
      <c r="U38575" s="27"/>
    </row>
    <row r="38576">
      <c r="S38576" s="27"/>
      <c r="T38576" s="27"/>
      <c r="U38576" s="27"/>
    </row>
    <row r="38578">
      <c r="S38578" s="27"/>
      <c r="T38578" s="27"/>
      <c r="U38578" s="27"/>
    </row>
    <row r="38579">
      <c r="S38579" s="27"/>
      <c r="T38579" s="27"/>
      <c r="U38579" s="27"/>
    </row>
    <row r="38581">
      <c r="S38581" s="27"/>
      <c r="T38581" s="27"/>
      <c r="U38581" s="27"/>
    </row>
    <row r="38582">
      <c r="S38582" s="27"/>
      <c r="T38582" s="27"/>
      <c r="U38582" s="27"/>
    </row>
    <row r="38584">
      <c r="S38584" s="27"/>
      <c r="T38584" s="27"/>
      <c r="U38584" s="27"/>
    </row>
    <row r="38585">
      <c r="S38585" s="27"/>
      <c r="T38585" s="27"/>
      <c r="U38585" s="27"/>
    </row>
    <row r="38587">
      <c r="S38587" s="27"/>
      <c r="T38587" s="27"/>
      <c r="U38587" s="27"/>
    </row>
    <row r="38588">
      <c r="S38588" s="27"/>
      <c r="T38588" s="27"/>
      <c r="U38588" s="27"/>
    </row>
    <row r="38590">
      <c r="S38590" s="27"/>
      <c r="T38590" s="27"/>
      <c r="U38590" s="27"/>
    </row>
    <row r="38592">
      <c r="S38592" s="27"/>
      <c r="T38592" s="27"/>
      <c r="U38592" s="27"/>
    </row>
    <row r="38593">
      <c r="S38593" s="27"/>
      <c r="T38593" s="27"/>
      <c r="U38593" s="27"/>
    </row>
    <row r="38595">
      <c r="S38595" s="27"/>
      <c r="T38595" s="27"/>
      <c r="U38595" s="27"/>
    </row>
    <row r="38596">
      <c r="S38596" s="27"/>
      <c r="T38596" s="27"/>
      <c r="U38596" s="27"/>
    </row>
    <row r="38598">
      <c r="S38598" s="27"/>
      <c r="T38598" s="27"/>
      <c r="U38598" s="27"/>
    </row>
    <row r="38599">
      <c r="S38599" s="27"/>
      <c r="T38599" s="27"/>
      <c r="U38599" s="27"/>
    </row>
    <row r="38601">
      <c r="S38601" s="27"/>
      <c r="T38601" s="27"/>
      <c r="U38601" s="27"/>
    </row>
    <row r="38602">
      <c r="S38602" s="27"/>
      <c r="T38602" s="27"/>
      <c r="U38602" s="27"/>
    </row>
    <row r="38604">
      <c r="S38604" s="27"/>
      <c r="T38604" s="27"/>
      <c r="U38604" s="27"/>
    </row>
    <row r="38605">
      <c r="S38605" s="27"/>
      <c r="T38605" s="27"/>
      <c r="U38605" s="27"/>
    </row>
    <row r="38607">
      <c r="S38607" s="27"/>
      <c r="T38607" s="27"/>
      <c r="U38607" s="27"/>
    </row>
    <row r="38608">
      <c r="S38608" s="27"/>
      <c r="T38608" s="27"/>
      <c r="U38608" s="27"/>
    </row>
    <row r="38611">
      <c r="S38611" s="27"/>
      <c r="T38611" s="27"/>
      <c r="U38611" s="27"/>
    </row>
    <row r="38613">
      <c r="S38613" s="27"/>
      <c r="T38613" s="27"/>
      <c r="U38613" s="27"/>
    </row>
    <row r="38615">
      <c r="S38615" s="27"/>
      <c r="T38615" s="27"/>
      <c r="U38615" s="27"/>
    </row>
    <row r="38617">
      <c r="S38617" s="27"/>
      <c r="T38617" s="27"/>
      <c r="U38617" s="27"/>
    </row>
    <row r="38619">
      <c r="S38619" s="27"/>
      <c r="T38619" s="27"/>
      <c r="U38619" s="27"/>
    </row>
    <row r="38621">
      <c r="S38621" s="27"/>
      <c r="T38621" s="27"/>
      <c r="U38621" s="27"/>
    </row>
    <row r="38622">
      <c r="S38622" s="27"/>
      <c r="T38622" s="27"/>
      <c r="U38622" s="27"/>
    </row>
    <row r="38624">
      <c r="S38624" s="27"/>
      <c r="T38624" s="27"/>
      <c r="U38624" s="27"/>
    </row>
    <row r="38625">
      <c r="S38625" s="27"/>
      <c r="T38625" s="27"/>
      <c r="U38625" s="27"/>
    </row>
    <row r="38627">
      <c r="S38627" s="27"/>
      <c r="T38627" s="27"/>
      <c r="U38627" s="27"/>
    </row>
    <row r="38628">
      <c r="S38628" s="27"/>
      <c r="T38628" s="27"/>
      <c r="U38628" s="27"/>
    </row>
    <row r="38630">
      <c r="S38630" s="27"/>
      <c r="T38630" s="27"/>
      <c r="U38630" s="27"/>
    </row>
    <row r="38631">
      <c r="S38631" s="27"/>
      <c r="T38631" s="27"/>
      <c r="U38631" s="27"/>
    </row>
    <row r="38633">
      <c r="S38633" s="27"/>
      <c r="T38633" s="27"/>
      <c r="U38633" s="27"/>
    </row>
    <row r="38634">
      <c r="S38634" s="27"/>
      <c r="T38634" s="27"/>
      <c r="U38634" s="27"/>
    </row>
    <row r="38636">
      <c r="S38636" s="27"/>
      <c r="T38636" s="27"/>
      <c r="U38636" s="27"/>
    </row>
    <row r="38637">
      <c r="S38637" s="27"/>
      <c r="T38637" s="27"/>
      <c r="U38637" s="27"/>
    </row>
    <row r="38645">
      <c r="S38645" s="27"/>
      <c r="T38645" s="27"/>
      <c r="U38645" s="33"/>
    </row>
    <row r="38648">
      <c r="S38648" s="27"/>
      <c r="T38648" s="27"/>
      <c r="U38648" s="27"/>
    </row>
    <row r="38649">
      <c r="S38649" s="27"/>
      <c r="T38649" s="27"/>
      <c r="U38649" s="27"/>
    </row>
    <row r="38651">
      <c r="S38651" s="27"/>
      <c r="T38651" s="27"/>
      <c r="U38651" s="27"/>
    </row>
    <row r="38652">
      <c r="S38652" s="27"/>
      <c r="T38652" s="27"/>
      <c r="U38652" s="27"/>
    </row>
    <row r="38654">
      <c r="S38654" s="27"/>
      <c r="T38654" s="27"/>
      <c r="U38654" s="27"/>
    </row>
    <row r="38655">
      <c r="S38655" s="27"/>
      <c r="T38655" s="27"/>
      <c r="U38655" s="27"/>
    </row>
    <row r="38657">
      <c r="U38657" s="26"/>
    </row>
    <row r="38660">
      <c r="S38660" s="27"/>
      <c r="T38660" s="27"/>
      <c r="U38660" s="27"/>
    </row>
    <row r="38661">
      <c r="S38661" s="27"/>
      <c r="T38661" s="27"/>
      <c r="U38661" s="27"/>
    </row>
    <row r="38663">
      <c r="S38663" s="27"/>
      <c r="T38663" s="27"/>
      <c r="U38663" s="27"/>
    </row>
    <row r="38664">
      <c r="S38664" s="27"/>
      <c r="T38664" s="27"/>
      <c r="U38664" s="27"/>
    </row>
    <row r="38666">
      <c r="S38666" s="27"/>
      <c r="T38666" s="27"/>
      <c r="U38666" s="27"/>
    </row>
    <row r="38667">
      <c r="S38667" s="27"/>
      <c r="T38667" s="27"/>
      <c r="U38667" s="27"/>
    </row>
    <row r="38669">
      <c r="U38669" s="27"/>
    </row>
    <row r="38672">
      <c r="S38672" s="26"/>
      <c r="T38672" s="26"/>
      <c r="U38672" s="26"/>
    </row>
    <row r="38675">
      <c r="S38675" s="27"/>
      <c r="T38675" s="27"/>
      <c r="U38675" s="27"/>
    </row>
    <row r="38676">
      <c r="S38676" s="27"/>
      <c r="T38676" s="27"/>
      <c r="U38676" s="27"/>
    </row>
    <row r="38682">
      <c r="S38682" s="27"/>
    </row>
    <row r="38685">
      <c r="S38685" s="27"/>
      <c r="T38685" s="27"/>
      <c r="U38685" s="27"/>
    </row>
    <row r="38688">
      <c r="S38688" s="27"/>
      <c r="T38688" s="27"/>
      <c r="U38688" s="27"/>
    </row>
    <row r="38689">
      <c r="S38689" s="27"/>
      <c r="T38689" s="27"/>
      <c r="U38689" s="27"/>
    </row>
    <row r="38691">
      <c r="S38691" s="27"/>
      <c r="T38691" s="27"/>
      <c r="U38691" s="27"/>
    </row>
    <row r="38692">
      <c r="S38692" s="27"/>
      <c r="T38692" s="27"/>
      <c r="U38692" s="27"/>
    </row>
    <row r="38694">
      <c r="S38694" s="27"/>
      <c r="T38694" s="27"/>
      <c r="U38694" s="27"/>
    </row>
    <row r="38695">
      <c r="S38695" s="27"/>
      <c r="T38695" s="27"/>
      <c r="U38695" s="27"/>
    </row>
    <row r="38697">
      <c r="S38697" s="27"/>
      <c r="T38697" s="27"/>
      <c r="U38697" s="27"/>
    </row>
    <row r="38698">
      <c r="S38698" s="27"/>
      <c r="T38698" s="27"/>
      <c r="U38698" s="27"/>
    </row>
    <row r="38700">
      <c r="S38700" s="27"/>
      <c r="T38700" s="27"/>
      <c r="U38700" s="27"/>
    </row>
    <row r="38701">
      <c r="S38701" s="27"/>
      <c r="T38701" s="27"/>
      <c r="U38701" s="27"/>
    </row>
    <row r="38703">
      <c r="S38703" s="27"/>
      <c r="T38703" s="27"/>
      <c r="U38703" s="27"/>
    </row>
    <row r="38704">
      <c r="S38704" s="27"/>
      <c r="T38704" s="27"/>
      <c r="U38704" s="27"/>
    </row>
    <row r="38706">
      <c r="S38706" s="27"/>
      <c r="T38706" s="27"/>
      <c r="U38706" s="27"/>
    </row>
    <row r="38707">
      <c r="S38707" s="27"/>
      <c r="T38707" s="27"/>
      <c r="U38707" s="27"/>
    </row>
    <row r="38709">
      <c r="S38709" s="27"/>
      <c r="T38709" s="27"/>
      <c r="U38709" s="27"/>
    </row>
    <row r="38710">
      <c r="S38710" s="27"/>
      <c r="T38710" s="27"/>
      <c r="U38710" s="27"/>
    </row>
    <row r="38712">
      <c r="S38712" s="27"/>
      <c r="T38712" s="27"/>
      <c r="U38712" s="27"/>
    </row>
    <row r="38713">
      <c r="S38713" s="27"/>
      <c r="T38713" s="27"/>
      <c r="U38713" s="27"/>
    </row>
    <row r="38715">
      <c r="S38715" s="27"/>
      <c r="T38715" s="27"/>
      <c r="U38715" s="27"/>
    </row>
    <row r="38716">
      <c r="S38716" s="27"/>
      <c r="T38716" s="27"/>
      <c r="U38716" s="27"/>
    </row>
    <row r="38718">
      <c r="S38718" s="27"/>
      <c r="T38718" s="27"/>
      <c r="U38718" s="27"/>
    </row>
    <row r="38719">
      <c r="S38719" s="27"/>
      <c r="T38719" s="27"/>
      <c r="U38719" s="27"/>
    </row>
    <row r="38721">
      <c r="S38721" s="27"/>
      <c r="T38721" s="27"/>
      <c r="U38721" s="27"/>
    </row>
    <row r="38722">
      <c r="S38722" s="27"/>
      <c r="T38722" s="27"/>
      <c r="U38722" s="27"/>
    </row>
    <row r="38724">
      <c r="S38724" s="27"/>
      <c r="T38724" s="27"/>
      <c r="U38724" s="27"/>
    </row>
    <row r="38725">
      <c r="S38725" s="27"/>
      <c r="T38725" s="27"/>
      <c r="U38725" s="27"/>
    </row>
    <row r="38727">
      <c r="S38727" s="27"/>
      <c r="T38727" s="27"/>
      <c r="U38727" s="27"/>
    </row>
    <row r="38728">
      <c r="S38728" s="27"/>
      <c r="T38728" s="27"/>
      <c r="U38728" s="27"/>
    </row>
    <row r="38730">
      <c r="S38730" s="27"/>
      <c r="T38730" s="27"/>
      <c r="U38730" s="27"/>
    </row>
    <row r="38731">
      <c r="S38731" s="27"/>
      <c r="T38731" s="27"/>
      <c r="U38731" s="27"/>
    </row>
    <row r="38733">
      <c r="S38733" s="27"/>
      <c r="T38733" s="27"/>
      <c r="U38733" s="27"/>
    </row>
    <row r="38734">
      <c r="S38734" s="27"/>
      <c r="T38734" s="27"/>
      <c r="U38734" s="27"/>
    </row>
    <row r="38736">
      <c r="S38736" s="27"/>
      <c r="T38736" s="27"/>
      <c r="U38736" s="27"/>
    </row>
    <row r="38737">
      <c r="S38737" s="27"/>
      <c r="T38737" s="27"/>
      <c r="U38737" s="27"/>
    </row>
    <row r="38739">
      <c r="S38739" s="27"/>
      <c r="T38739" s="27"/>
      <c r="U38739" s="27"/>
    </row>
    <row r="38740">
      <c r="S38740" s="27"/>
      <c r="T38740" s="27"/>
      <c r="U38740" s="27"/>
    </row>
    <row r="38742">
      <c r="S38742" s="27"/>
      <c r="T38742" s="27"/>
      <c r="U38742" s="27"/>
    </row>
    <row r="38743">
      <c r="S38743" s="27"/>
      <c r="T38743" s="27"/>
      <c r="U38743" s="27"/>
    </row>
    <row r="38745">
      <c r="S38745" s="27"/>
      <c r="T38745" s="27"/>
      <c r="U38745" s="27"/>
    </row>
    <row r="38746">
      <c r="S38746" s="27"/>
      <c r="T38746" s="27"/>
      <c r="U38746" s="27"/>
    </row>
    <row r="38748">
      <c r="S38748" s="27"/>
      <c r="T38748" s="27"/>
      <c r="U38748" s="27"/>
    </row>
    <row r="38749">
      <c r="S38749" s="27"/>
      <c r="T38749" s="27"/>
      <c r="U38749" s="27"/>
    </row>
    <row r="38751">
      <c r="S38751" s="27"/>
      <c r="T38751" s="27"/>
      <c r="U38751" s="27"/>
    </row>
    <row r="38752">
      <c r="S38752" s="27"/>
      <c r="T38752" s="27"/>
      <c r="U38752" s="27"/>
    </row>
    <row r="38754">
      <c r="S38754" s="27"/>
      <c r="T38754" s="27"/>
      <c r="U38754" s="27"/>
    </row>
    <row r="38755">
      <c r="S38755" s="27"/>
      <c r="T38755" s="27"/>
      <c r="U38755" s="27"/>
    </row>
    <row r="38757">
      <c r="T38757" s="27"/>
      <c r="U38757" s="27"/>
    </row>
    <row r="38758">
      <c r="S38758" s="27"/>
      <c r="T38758" s="27"/>
      <c r="U38758" s="27"/>
    </row>
    <row r="38760">
      <c r="S38760" s="27"/>
      <c r="T38760" s="27"/>
      <c r="U38760" s="27"/>
    </row>
    <row r="38761">
      <c r="S38761" s="27"/>
      <c r="T38761" s="27"/>
      <c r="U38761" s="27"/>
    </row>
    <row r="38763">
      <c r="S38763" s="27"/>
      <c r="T38763" s="27"/>
      <c r="U38763" s="27"/>
    </row>
    <row r="38766">
      <c r="S38766" s="33"/>
      <c r="T38766" s="33"/>
    </row>
    <row r="38767">
      <c r="S38767" s="27"/>
      <c r="T38767" s="27"/>
    </row>
    <row r="38769">
      <c r="S38769" s="27"/>
      <c r="T38769" s="27"/>
      <c r="U38769" s="27"/>
    </row>
    <row r="38770">
      <c r="S38770" s="27"/>
      <c r="T38770" s="27"/>
      <c r="U38770" s="27"/>
    </row>
    <row r="38772">
      <c r="T38772" s="27"/>
      <c r="U38772" s="27"/>
    </row>
    <row r="38773">
      <c r="T38773" s="26"/>
      <c r="U38773" s="26"/>
    </row>
    <row r="38775">
      <c r="S38775" s="27"/>
      <c r="T38775" s="27"/>
      <c r="U38775" s="27"/>
    </row>
    <row r="38776">
      <c r="S38776" s="27"/>
      <c r="T38776" s="27"/>
      <c r="U38776" s="27"/>
    </row>
    <row r="38778">
      <c r="S38778" s="27"/>
      <c r="T38778" s="27"/>
      <c r="U38778" s="27"/>
    </row>
    <row r="38779">
      <c r="S38779" s="27"/>
      <c r="T38779" s="27"/>
      <c r="U38779" s="27"/>
    </row>
    <row r="38781">
      <c r="S38781" s="27"/>
      <c r="T38781" s="27"/>
      <c r="U38781" s="27"/>
    </row>
    <row r="38782">
      <c r="S38782" s="27"/>
      <c r="T38782" s="27"/>
      <c r="U38782" s="27"/>
    </row>
    <row r="38784">
      <c r="S38784" s="26"/>
      <c r="T38784" s="26"/>
    </row>
    <row r="38787">
      <c r="S38787" s="26"/>
      <c r="T38787" s="26"/>
      <c r="U38787" s="26"/>
    </row>
    <row r="38790">
      <c r="S38790" s="27"/>
      <c r="T38790" s="27"/>
      <c r="U38790" s="27"/>
    </row>
    <row r="38792">
      <c r="S38792" s="27"/>
      <c r="T38792" s="27"/>
      <c r="U38792" s="27"/>
    </row>
    <row r="38794">
      <c r="S38794" s="27"/>
      <c r="T38794" s="27"/>
      <c r="U38794" s="27"/>
    </row>
    <row r="38800">
      <c r="S38800" s="27"/>
      <c r="T38800" s="27"/>
      <c r="U38800" s="27"/>
    </row>
    <row r="38801">
      <c r="S38801" s="27"/>
      <c r="T38801" s="27"/>
      <c r="U38801" s="27"/>
    </row>
    <row r="38803">
      <c r="S38803" s="27"/>
      <c r="T38803" s="27"/>
      <c r="U38803" s="27"/>
    </row>
    <row r="38804">
      <c r="S38804" s="27"/>
      <c r="T38804" s="27"/>
      <c r="U38804" s="27"/>
    </row>
    <row r="38807">
      <c r="S38807" s="27"/>
      <c r="T38807" s="27"/>
    </row>
    <row r="38809">
      <c r="S38809" s="27"/>
      <c r="T38809" s="27"/>
      <c r="U38809" s="27"/>
    </row>
    <row r="38810">
      <c r="S38810" s="26"/>
      <c r="T38810" s="26"/>
      <c r="U38810" s="26"/>
    </row>
    <row r="38813">
      <c r="S38813" s="27"/>
      <c r="T38813" s="27"/>
      <c r="U38813" s="27"/>
    </row>
    <row r="38818">
      <c r="S38818" s="27"/>
      <c r="T38818" s="27"/>
      <c r="U38818" s="27"/>
    </row>
    <row r="38819">
      <c r="S38819" s="27"/>
      <c r="T38819" s="27"/>
      <c r="U38819" s="27"/>
    </row>
    <row r="38821">
      <c r="S38821" s="27"/>
      <c r="T38821" s="27"/>
    </row>
    <row r="38822">
      <c r="S38822" s="27"/>
      <c r="T38822" s="27"/>
    </row>
    <row r="38824">
      <c r="S38824" s="27"/>
      <c r="T38824" s="27"/>
      <c r="U38824" s="27"/>
    </row>
    <row r="38825">
      <c r="S38825" s="27"/>
      <c r="T38825" s="27"/>
      <c r="U38825" s="27"/>
    </row>
    <row r="38827">
      <c r="S38827" s="33"/>
      <c r="T38827" s="27"/>
      <c r="U38827" s="33"/>
    </row>
    <row r="38833">
      <c r="S38833" s="27"/>
      <c r="T38833" s="27"/>
      <c r="U38833" s="27"/>
    </row>
    <row r="38836">
      <c r="S38836" s="27"/>
      <c r="T38836" s="27"/>
      <c r="U38836" s="27"/>
    </row>
    <row r="38837">
      <c r="S38837" s="33"/>
      <c r="T38837" s="33"/>
      <c r="U38837" s="33"/>
    </row>
    <row r="38842">
      <c r="S38842" s="27"/>
      <c r="T38842" s="27"/>
      <c r="U38842" s="27"/>
    </row>
    <row r="38843">
      <c r="S38843" s="27"/>
      <c r="T38843" s="27"/>
      <c r="U38843" s="27"/>
    </row>
    <row r="38845">
      <c r="S38845" s="27"/>
      <c r="T38845" s="27"/>
      <c r="U38845" s="27"/>
    </row>
    <row r="38846">
      <c r="S38846" s="27"/>
      <c r="T38846" s="27"/>
      <c r="U38846" s="27"/>
    </row>
    <row r="38848">
      <c r="S38848" s="27"/>
      <c r="T38848" s="27"/>
      <c r="U38848" s="27"/>
    </row>
    <row r="38849">
      <c r="S38849" s="27"/>
      <c r="T38849" s="27"/>
      <c r="U38849" s="27"/>
    </row>
    <row r="38857">
      <c r="S38857" s="27"/>
      <c r="T38857" s="33"/>
      <c r="U38857" s="27"/>
    </row>
    <row r="38858">
      <c r="S38858" s="27"/>
      <c r="T38858" s="27"/>
      <c r="U38858" s="27"/>
    </row>
    <row r="38860">
      <c r="S38860" s="27"/>
      <c r="T38860" s="27"/>
      <c r="U38860" s="27"/>
    </row>
    <row r="38861">
      <c r="S38861" s="27"/>
      <c r="T38861" s="27"/>
      <c r="U38861" s="27"/>
    </row>
    <row r="38863">
      <c r="S38863" s="27"/>
      <c r="T38863" s="27"/>
      <c r="U38863" s="27"/>
    </row>
    <row r="38866">
      <c r="S38866" s="26"/>
      <c r="T38866" s="26"/>
      <c r="U38866" s="26"/>
    </row>
    <row r="38872">
      <c r="S38872" s="27"/>
      <c r="T38872" s="27"/>
      <c r="U38872" s="27"/>
    </row>
    <row r="38873">
      <c r="S38873" s="27"/>
      <c r="T38873" s="27"/>
      <c r="U38873" s="27"/>
    </row>
    <row r="38878">
      <c r="S38878" s="27"/>
      <c r="T38878" s="27"/>
      <c r="U38878" s="27"/>
    </row>
    <row r="38879">
      <c r="S38879" s="27"/>
      <c r="T38879" s="27"/>
      <c r="U38879" s="27"/>
    </row>
    <row r="38881">
      <c r="S38881" s="26"/>
      <c r="T38881" s="26"/>
      <c r="U38881" s="26"/>
    </row>
    <row r="38884">
      <c r="S38884" s="27"/>
      <c r="T38884" s="27"/>
    </row>
    <row r="38887">
      <c r="S38887" s="27"/>
      <c r="T38887" s="27"/>
      <c r="U38887" s="27"/>
    </row>
    <row r="38888">
      <c r="S38888" s="27"/>
      <c r="T38888" s="27"/>
      <c r="U38888" s="27"/>
    </row>
    <row r="38890">
      <c r="S38890" s="27"/>
      <c r="T38890" s="27"/>
      <c r="U38890" s="27"/>
    </row>
    <row r="38891">
      <c r="S38891" s="27"/>
      <c r="T38891" s="27"/>
      <c r="U38891" s="27"/>
    </row>
    <row r="38893">
      <c r="S38893" s="27"/>
    </row>
    <row r="38894">
      <c r="T38894" s="26"/>
      <c r="U38894" s="26"/>
    </row>
    <row r="38896">
      <c r="S38896" s="27"/>
      <c r="T38896" s="27"/>
      <c r="U38896" s="27"/>
    </row>
    <row r="38897">
      <c r="S38897" s="27"/>
      <c r="T38897" s="27"/>
      <c r="U38897" s="27"/>
    </row>
    <row r="38899">
      <c r="S38899" s="27"/>
      <c r="T38899" s="27"/>
      <c r="U38899" s="27"/>
    </row>
    <row r="38900">
      <c r="S38900" s="27"/>
      <c r="T38900" s="27"/>
      <c r="U38900" s="27"/>
    </row>
    <row r="38902">
      <c r="S38902" s="27"/>
      <c r="T38902" s="27"/>
      <c r="U38902" s="27"/>
    </row>
    <row r="38903">
      <c r="S38903" s="27"/>
      <c r="T38903" s="27"/>
      <c r="U38903" s="27"/>
    </row>
    <row r="38905">
      <c r="S38905" s="27"/>
      <c r="T38905" s="27"/>
      <c r="U38905" s="27"/>
    </row>
    <row r="38906">
      <c r="S38906" s="27"/>
      <c r="T38906" s="27"/>
      <c r="U38906" s="27"/>
    </row>
    <row r="38908">
      <c r="S38908" s="27"/>
      <c r="T38908" s="27"/>
      <c r="U38908" s="27"/>
    </row>
    <row r="38909">
      <c r="S38909" s="27"/>
      <c r="T38909" s="27"/>
      <c r="U38909" s="27"/>
    </row>
    <row r="38911">
      <c r="S38911" s="27"/>
      <c r="T38911" s="27"/>
      <c r="U38911" s="27"/>
    </row>
    <row r="38912">
      <c r="S38912" s="27"/>
      <c r="T38912" s="27"/>
      <c r="U38912" s="27"/>
    </row>
    <row r="38914">
      <c r="S38914" s="27"/>
      <c r="T38914" s="27"/>
      <c r="U38914" s="27"/>
    </row>
    <row r="38915">
      <c r="S38915" s="27"/>
      <c r="T38915" s="27"/>
      <c r="U38915" s="27"/>
    </row>
    <row r="38917">
      <c r="S38917" s="27"/>
      <c r="T38917" s="27"/>
      <c r="U38917" s="27"/>
    </row>
    <row r="38918">
      <c r="S38918" s="27"/>
      <c r="T38918" s="27"/>
      <c r="U38918" s="27"/>
    </row>
    <row r="38920">
      <c r="S38920" s="27"/>
      <c r="T38920" s="27"/>
      <c r="U38920" s="27"/>
    </row>
    <row r="38921">
      <c r="S38921" s="27"/>
      <c r="T38921" s="27"/>
      <c r="U38921" s="27"/>
    </row>
    <row r="38923">
      <c r="S38923" s="27"/>
      <c r="T38923" s="27"/>
      <c r="U38923" s="27"/>
    </row>
    <row r="38924">
      <c r="S38924" s="27"/>
      <c r="T38924" s="27"/>
      <c r="U38924" s="27"/>
    </row>
    <row r="38926">
      <c r="S38926" s="27"/>
      <c r="T38926" s="27"/>
      <c r="U38926" s="27"/>
    </row>
    <row r="38927">
      <c r="S38927" s="27"/>
      <c r="T38927" s="27"/>
      <c r="U38927" s="27"/>
    </row>
    <row r="38929">
      <c r="S38929" s="27"/>
      <c r="T38929" s="27"/>
      <c r="U38929" s="27"/>
    </row>
    <row r="38930">
      <c r="S38930" s="27"/>
      <c r="T38930" s="27"/>
      <c r="U38930" s="27"/>
    </row>
    <row r="38932">
      <c r="S38932" s="27"/>
      <c r="T38932" s="27"/>
      <c r="U38932" s="27"/>
    </row>
    <row r="38933">
      <c r="S38933" s="27"/>
      <c r="T38933" s="27"/>
      <c r="U38933" s="27"/>
    </row>
    <row r="38935">
      <c r="S38935" s="27"/>
      <c r="T38935" s="27"/>
      <c r="U38935" s="27"/>
    </row>
    <row r="38936">
      <c r="S38936" s="27"/>
      <c r="T38936" s="27"/>
      <c r="U38936" s="27"/>
    </row>
    <row r="38938">
      <c r="S38938" s="27"/>
      <c r="T38938" s="27"/>
      <c r="U38938" s="27"/>
    </row>
    <row r="38939">
      <c r="S38939" s="27"/>
      <c r="T38939" s="27"/>
      <c r="U38939" s="27"/>
    </row>
    <row r="38941">
      <c r="S38941" s="27"/>
      <c r="T38941" s="27"/>
      <c r="U38941" s="27"/>
    </row>
    <row r="38942">
      <c r="S38942" s="27"/>
      <c r="T38942" s="27"/>
      <c r="U38942" s="27"/>
    </row>
    <row r="38944">
      <c r="S38944" s="27"/>
      <c r="T38944" s="27"/>
      <c r="U38944" s="27"/>
    </row>
    <row r="38945">
      <c r="S38945" s="27"/>
      <c r="T38945" s="27"/>
      <c r="U38945" s="27"/>
    </row>
    <row r="38947">
      <c r="S38947" s="27"/>
      <c r="T38947" s="27"/>
      <c r="U38947" s="27"/>
    </row>
    <row r="38948">
      <c r="S38948" s="27"/>
      <c r="T38948" s="27"/>
      <c r="U38948" s="27"/>
    </row>
    <row r="38950">
      <c r="S38950" s="27"/>
      <c r="T38950" s="27"/>
      <c r="U38950" s="27"/>
    </row>
    <row r="38951">
      <c r="S38951" s="27"/>
      <c r="T38951" s="27"/>
      <c r="U38951" s="27"/>
    </row>
    <row r="38953">
      <c r="S38953" s="27"/>
      <c r="T38953" s="27"/>
      <c r="U38953" s="27"/>
    </row>
    <row r="38954">
      <c r="S38954" s="27"/>
      <c r="T38954" s="27"/>
      <c r="U38954" s="27"/>
    </row>
    <row r="38956">
      <c r="S38956" s="27"/>
      <c r="T38956" s="27"/>
      <c r="U38956" s="27"/>
    </row>
    <row r="38957">
      <c r="S38957" s="27"/>
      <c r="T38957" s="27"/>
      <c r="U38957" s="27"/>
    </row>
    <row r="38959">
      <c r="S38959" s="27"/>
      <c r="T38959" s="27"/>
      <c r="U38959" s="27"/>
    </row>
    <row r="38960">
      <c r="S38960" s="27"/>
      <c r="T38960" s="27"/>
      <c r="U38960" s="27"/>
    </row>
    <row r="38962">
      <c r="S38962" s="27"/>
      <c r="T38962" s="27"/>
      <c r="U38962" s="27"/>
    </row>
    <row r="38963">
      <c r="S38963" s="27"/>
      <c r="T38963" s="27"/>
      <c r="U38963" s="27"/>
    </row>
    <row r="38965">
      <c r="S38965" s="27"/>
      <c r="T38965" s="27"/>
      <c r="U38965" s="27"/>
    </row>
    <row r="38966">
      <c r="S38966" s="27"/>
      <c r="T38966" s="27"/>
      <c r="U38966" s="27"/>
    </row>
    <row r="38968">
      <c r="S38968" s="27"/>
      <c r="T38968" s="27"/>
      <c r="U38968" s="27"/>
    </row>
    <row r="38969">
      <c r="S38969" s="27"/>
      <c r="T38969" s="27"/>
      <c r="U38969" s="27"/>
    </row>
    <row r="38971">
      <c r="S38971" s="27"/>
      <c r="T38971" s="27"/>
      <c r="U38971" s="27"/>
    </row>
    <row r="38972">
      <c r="S38972" s="27"/>
      <c r="T38972" s="27"/>
      <c r="U38972" s="27"/>
    </row>
    <row r="38974">
      <c r="S38974" s="27"/>
      <c r="T38974" s="27"/>
      <c r="U38974" s="27"/>
    </row>
    <row r="38975">
      <c r="S38975" s="27"/>
      <c r="T38975" s="27"/>
      <c r="U38975" s="27"/>
    </row>
    <row r="38977">
      <c r="S38977" s="27"/>
      <c r="T38977" s="27"/>
      <c r="U38977" s="27"/>
    </row>
    <row r="38978">
      <c r="S38978" s="27"/>
      <c r="T38978" s="27"/>
      <c r="U38978" s="27"/>
    </row>
    <row r="38980">
      <c r="S38980" s="27"/>
      <c r="T38980" s="27"/>
      <c r="U38980" s="27"/>
    </row>
    <row r="38981">
      <c r="S38981" s="27"/>
      <c r="T38981" s="27"/>
      <c r="U38981" s="27"/>
    </row>
    <row r="38983">
      <c r="S38983" s="27"/>
      <c r="T38983" s="27"/>
      <c r="U38983" s="27"/>
    </row>
    <row r="38984">
      <c r="S38984" s="27"/>
      <c r="T38984" s="27"/>
      <c r="U38984" s="27"/>
    </row>
    <row r="38986">
      <c r="S38986" s="27"/>
      <c r="T38986" s="27"/>
      <c r="U38986" s="27"/>
    </row>
    <row r="38987">
      <c r="S38987" s="27"/>
      <c r="T38987" s="27"/>
      <c r="U38987" s="27"/>
    </row>
    <row r="38989">
      <c r="S38989" s="27"/>
      <c r="T38989" s="27"/>
      <c r="U38989" s="27"/>
    </row>
    <row r="38990">
      <c r="S38990" s="27"/>
      <c r="T38990" s="27"/>
      <c r="U38990" s="27"/>
    </row>
    <row r="38992">
      <c r="S38992" s="27"/>
      <c r="T38992" s="27"/>
      <c r="U38992" s="27"/>
    </row>
    <row r="38994">
      <c r="S38994" s="27"/>
      <c r="T38994" s="27"/>
      <c r="U38994" s="27"/>
    </row>
    <row r="38995">
      <c r="S38995" s="27"/>
      <c r="T38995" s="27"/>
      <c r="U38995" s="27"/>
    </row>
    <row r="38997">
      <c r="S38997" s="27"/>
      <c r="T38997" s="27"/>
      <c r="U38997" s="27"/>
    </row>
    <row r="38998">
      <c r="S38998" s="27"/>
      <c r="T38998" s="27"/>
      <c r="U38998" s="27"/>
    </row>
    <row r="39000">
      <c r="S39000" s="27"/>
      <c r="T39000" s="27"/>
      <c r="U39000" s="27"/>
    </row>
    <row r="39001">
      <c r="S39001" s="27"/>
      <c r="T39001" s="27"/>
      <c r="U39001" s="27"/>
    </row>
    <row r="39003">
      <c r="S39003" s="27"/>
      <c r="T39003" s="27"/>
      <c r="U39003" s="27"/>
    </row>
    <row r="39004">
      <c r="S39004" s="27"/>
      <c r="T39004" s="27"/>
      <c r="U39004" s="27"/>
    </row>
    <row r="39006">
      <c r="S39006" s="27"/>
      <c r="T39006" s="27"/>
      <c r="U39006" s="27"/>
    </row>
    <row r="39007">
      <c r="S39007" s="27"/>
      <c r="T39007" s="27"/>
      <c r="U39007" s="27"/>
    </row>
    <row r="39009">
      <c r="S39009" s="27"/>
      <c r="T39009" s="27"/>
      <c r="U39009" s="27"/>
    </row>
    <row r="39010">
      <c r="S39010" s="27"/>
      <c r="T39010" s="27"/>
      <c r="U39010" s="27"/>
    </row>
    <row r="39012">
      <c r="S39012" s="27"/>
      <c r="T39012" s="27"/>
      <c r="U39012" s="27"/>
    </row>
    <row r="39013">
      <c r="S39013" s="27"/>
      <c r="T39013" s="27"/>
      <c r="U39013" s="27"/>
    </row>
    <row r="39015">
      <c r="S39015" s="27"/>
      <c r="T39015" s="27"/>
      <c r="U39015" s="27"/>
    </row>
    <row r="39017">
      <c r="S39017" s="27"/>
      <c r="T39017" s="27"/>
      <c r="U39017" s="27"/>
    </row>
    <row r="39019">
      <c r="T39019" s="27"/>
      <c r="U39019" s="27"/>
    </row>
    <row r="39021">
      <c r="S39021" s="27"/>
      <c r="T39021" s="27"/>
      <c r="U39021" s="27"/>
    </row>
    <row r="39023">
      <c r="U39023" s="27"/>
    </row>
    <row r="39024">
      <c r="S39024" s="27"/>
      <c r="T39024" s="27"/>
      <c r="U39024" s="27"/>
    </row>
    <row r="39026">
      <c r="S39026" s="27"/>
      <c r="T39026" s="27"/>
      <c r="U39026" s="27"/>
    </row>
    <row r="39027">
      <c r="S39027" s="27"/>
      <c r="T39027" s="27"/>
      <c r="U39027" s="27"/>
    </row>
    <row r="39029">
      <c r="S39029" s="27"/>
      <c r="T39029" s="27"/>
      <c r="U39029" s="27"/>
    </row>
    <row r="39030">
      <c r="S39030" s="27"/>
      <c r="T39030" s="27"/>
      <c r="U39030" s="27"/>
    </row>
    <row r="39032">
      <c r="S39032" s="27"/>
      <c r="T39032" s="27"/>
      <c r="U39032" s="27"/>
    </row>
    <row r="39033">
      <c r="S39033" s="27"/>
      <c r="T39033" s="27"/>
      <c r="U39033" s="27"/>
    </row>
    <row r="39036">
      <c r="S39036" s="27"/>
      <c r="T39036" s="27"/>
      <c r="U39036" s="27"/>
    </row>
    <row r="39038">
      <c r="S39038" s="27"/>
      <c r="T39038" s="27"/>
      <c r="U39038" s="27"/>
    </row>
    <row r="39039">
      <c r="S39039" s="27"/>
      <c r="T39039" s="27"/>
      <c r="U39039" s="27"/>
    </row>
    <row r="39044">
      <c r="S39044" s="27"/>
      <c r="T39044" s="27"/>
      <c r="U39044" s="27"/>
    </row>
    <row r="39047">
      <c r="S39047" s="27"/>
      <c r="T39047" s="27"/>
      <c r="U39047" s="27"/>
    </row>
    <row r="39050">
      <c r="S39050" s="27"/>
      <c r="T39050" s="27"/>
      <c r="U39050" s="27"/>
    </row>
    <row r="39051">
      <c r="S39051" s="27"/>
      <c r="T39051" s="27"/>
      <c r="U39051" s="27"/>
    </row>
    <row r="39053">
      <c r="S39053" s="27"/>
      <c r="T39053" s="27"/>
      <c r="U39053" s="27"/>
    </row>
    <row r="39054">
      <c r="S39054" s="27"/>
      <c r="T39054" s="27"/>
      <c r="U39054" s="27"/>
    </row>
    <row r="39056">
      <c r="S39056" s="27"/>
      <c r="T39056" s="27"/>
      <c r="U39056" s="27"/>
    </row>
    <row r="39057">
      <c r="S39057" s="27"/>
      <c r="T39057" s="27"/>
      <c r="U39057" s="27"/>
    </row>
    <row r="39059">
      <c r="S39059" s="27"/>
      <c r="T39059" s="27"/>
    </row>
    <row r="39062">
      <c r="S39062" s="27"/>
      <c r="T39062" s="27"/>
      <c r="U39062" s="27"/>
    </row>
    <row r="39063">
      <c r="S39063" s="27"/>
      <c r="T39063" s="27"/>
      <c r="U39063" s="27"/>
    </row>
    <row r="39065">
      <c r="S39065" s="27"/>
      <c r="T39065" s="27"/>
      <c r="U39065" s="27"/>
    </row>
    <row r="39066">
      <c r="S39066" s="27"/>
      <c r="T39066" s="27"/>
      <c r="U39066" s="27"/>
    </row>
    <row r="39068">
      <c r="S39068" s="27"/>
      <c r="U39068" s="26"/>
    </row>
    <row r="39069">
      <c r="S39069" s="27"/>
      <c r="T39069" s="27"/>
    </row>
    <row r="39071">
      <c r="U39071" s="27"/>
    </row>
    <row r="39074">
      <c r="S39074" s="26"/>
      <c r="T39074" s="26"/>
      <c r="U39074" s="26"/>
    </row>
    <row r="39077">
      <c r="S39077" s="27"/>
      <c r="T39077" s="27"/>
      <c r="U39077" s="27"/>
    </row>
    <row r="39078">
      <c r="S39078" s="27"/>
      <c r="T39078" s="27"/>
      <c r="U39078" s="27"/>
    </row>
    <row r="39080">
      <c r="S39080" s="27"/>
      <c r="T39080" s="27"/>
      <c r="U39080" s="27"/>
    </row>
    <row r="39081">
      <c r="S39081" s="27"/>
      <c r="T39081" s="27"/>
      <c r="U39081" s="27"/>
    </row>
    <row r="39083">
      <c r="S39083" s="34"/>
      <c r="T39083" s="34"/>
      <c r="U39083" s="34"/>
    </row>
    <row r="39086">
      <c r="S39086" s="27"/>
    </row>
    <row r="39089">
      <c r="S39089" s="27"/>
      <c r="T39089" s="27"/>
      <c r="U39089" s="27"/>
    </row>
    <row r="39092">
      <c r="S39092" s="27"/>
      <c r="T39092" s="27"/>
      <c r="U39092" s="27"/>
    </row>
    <row r="39093">
      <c r="S39093" s="27"/>
      <c r="T39093" s="27"/>
      <c r="U39093" s="27"/>
    </row>
    <row r="39095">
      <c r="S39095" s="27"/>
      <c r="T39095" s="27"/>
      <c r="U39095" s="27"/>
    </row>
    <row r="39096">
      <c r="S39096" s="27"/>
      <c r="T39096" s="27"/>
      <c r="U39096" s="27"/>
    </row>
    <row r="39098">
      <c r="S39098" s="27"/>
      <c r="T39098" s="27"/>
      <c r="U39098" s="27"/>
    </row>
    <row r="39099">
      <c r="S39099" s="27"/>
      <c r="T39099" s="27"/>
      <c r="U39099" s="27"/>
    </row>
    <row r="39101">
      <c r="S39101" s="27"/>
      <c r="T39101" s="27"/>
      <c r="U39101" s="27"/>
    </row>
    <row r="39102">
      <c r="S39102" s="27"/>
      <c r="T39102" s="27"/>
      <c r="U39102" s="27"/>
    </row>
    <row r="39104">
      <c r="S39104" s="27"/>
      <c r="T39104" s="27"/>
      <c r="U39104" s="27"/>
    </row>
    <row r="39105">
      <c r="S39105" s="27"/>
      <c r="T39105" s="27"/>
      <c r="U39105" s="27"/>
    </row>
    <row r="39107">
      <c r="S39107" s="27"/>
      <c r="T39107" s="27"/>
      <c r="U39107" s="27"/>
    </row>
    <row r="39108">
      <c r="S39108" s="27"/>
      <c r="T39108" s="27"/>
      <c r="U39108" s="27"/>
    </row>
    <row r="39110">
      <c r="S39110" s="27"/>
      <c r="T39110" s="27"/>
      <c r="U39110" s="27"/>
    </row>
    <row r="39111">
      <c r="S39111" s="27"/>
      <c r="T39111" s="27"/>
      <c r="U39111" s="27"/>
    </row>
    <row r="39113">
      <c r="S39113" s="27"/>
      <c r="T39113" s="27"/>
      <c r="U39113" s="27"/>
    </row>
    <row r="39114">
      <c r="S39114" s="27"/>
      <c r="T39114" s="27"/>
      <c r="U39114" s="27"/>
    </row>
    <row r="39116">
      <c r="S39116" s="27"/>
      <c r="T39116" s="27"/>
      <c r="U39116" s="27"/>
    </row>
    <row r="39117">
      <c r="S39117" s="27"/>
      <c r="T39117" s="27"/>
      <c r="U39117" s="27"/>
    </row>
    <row r="39119">
      <c r="S39119" s="27"/>
      <c r="T39119" s="27"/>
      <c r="U39119" s="27"/>
    </row>
    <row r="39120">
      <c r="S39120" s="27"/>
      <c r="T39120" s="27"/>
      <c r="U39120" s="27"/>
    </row>
    <row r="39122">
      <c r="S39122" s="27"/>
      <c r="T39122" s="27"/>
      <c r="U39122" s="27"/>
    </row>
    <row r="39123">
      <c r="S39123" s="27"/>
      <c r="T39123" s="27"/>
      <c r="U39123" s="27"/>
    </row>
    <row r="39125">
      <c r="S39125" s="27"/>
      <c r="T39125" s="27"/>
      <c r="U39125" s="27"/>
    </row>
    <row r="39126">
      <c r="S39126" s="27"/>
      <c r="T39126" s="27"/>
      <c r="U39126" s="27"/>
    </row>
    <row r="39128">
      <c r="S39128" s="27"/>
      <c r="T39128" s="27"/>
      <c r="U39128" s="27"/>
    </row>
    <row r="39129">
      <c r="S39129" s="27"/>
      <c r="T39129" s="27"/>
      <c r="U39129" s="27"/>
    </row>
    <row r="39131">
      <c r="S39131" s="27"/>
      <c r="T39131" s="27"/>
      <c r="U39131" s="27"/>
    </row>
    <row r="39132">
      <c r="S39132" s="27"/>
      <c r="T39132" s="27"/>
      <c r="U39132" s="27"/>
    </row>
    <row r="39134">
      <c r="S39134" s="27"/>
      <c r="T39134" s="27"/>
      <c r="U39134" s="27"/>
    </row>
    <row r="39135">
      <c r="S39135" s="27"/>
      <c r="T39135" s="27"/>
      <c r="U39135" s="27"/>
    </row>
    <row r="39137">
      <c r="S39137" s="27"/>
      <c r="T39137" s="27"/>
      <c r="U39137" s="27"/>
    </row>
    <row r="39138">
      <c r="S39138" s="27"/>
      <c r="T39138" s="27"/>
      <c r="U39138" s="27"/>
    </row>
    <row r="39140">
      <c r="S39140" s="27"/>
      <c r="T39140" s="27"/>
      <c r="U39140" s="27"/>
    </row>
    <row r="39141">
      <c r="S39141" s="27"/>
      <c r="T39141" s="27"/>
      <c r="U39141" s="27"/>
    </row>
    <row r="39143">
      <c r="S39143" s="27"/>
      <c r="T39143" s="27"/>
      <c r="U39143" s="27"/>
    </row>
    <row r="39144">
      <c r="S39144" s="27"/>
      <c r="T39144" s="27"/>
      <c r="U39144" s="27"/>
    </row>
    <row r="39146">
      <c r="S39146" s="27"/>
      <c r="T39146" s="27"/>
      <c r="U39146" s="27"/>
    </row>
    <row r="39147">
      <c r="S39147" s="27"/>
      <c r="T39147" s="27"/>
      <c r="U39147" s="27"/>
    </row>
    <row r="39149">
      <c r="S39149" s="27"/>
      <c r="T39149" s="27"/>
      <c r="U39149" s="27"/>
    </row>
    <row r="39150">
      <c r="S39150" s="27"/>
      <c r="T39150" s="27"/>
      <c r="U39150" s="27"/>
    </row>
    <row r="39152">
      <c r="S39152" s="27"/>
      <c r="T39152" s="27"/>
      <c r="U39152" s="27"/>
    </row>
    <row r="39153">
      <c r="S39153" s="27"/>
      <c r="T39153" s="27"/>
      <c r="U39153" s="27"/>
    </row>
    <row r="39155">
      <c r="S39155" s="27"/>
      <c r="T39155" s="27"/>
      <c r="U39155" s="27"/>
    </row>
    <row r="39156">
      <c r="S39156" s="27"/>
      <c r="T39156" s="27"/>
      <c r="U39156" s="27"/>
    </row>
    <row r="39158">
      <c r="S39158" s="27"/>
      <c r="T39158" s="27"/>
      <c r="U39158" s="27"/>
    </row>
    <row r="39159">
      <c r="S39159" s="27"/>
      <c r="T39159" s="27"/>
      <c r="U39159" s="27"/>
    </row>
    <row r="39161">
      <c r="S39161" s="27"/>
      <c r="T39161" s="27"/>
      <c r="U39161" s="27"/>
    </row>
    <row r="39162">
      <c r="S39162" s="27"/>
      <c r="T39162" s="27"/>
      <c r="U39162" s="27"/>
    </row>
    <row r="39164">
      <c r="U39164" s="27"/>
    </row>
    <row r="39165">
      <c r="U39165" s="27"/>
    </row>
    <row r="39167">
      <c r="S39167" s="27"/>
      <c r="T39167" s="27"/>
      <c r="U39167" s="27"/>
    </row>
    <row r="39168">
      <c r="S39168" s="27"/>
      <c r="T39168" s="27"/>
      <c r="U39168" s="27"/>
    </row>
    <row r="39170">
      <c r="S39170" s="27"/>
      <c r="T39170" s="27"/>
      <c r="U39170" s="27"/>
    </row>
    <row r="39173">
      <c r="U39173" s="33"/>
    </row>
    <row r="39174">
      <c r="U39174" s="27"/>
    </row>
    <row r="39176">
      <c r="S39176" s="27"/>
      <c r="T39176" s="27"/>
      <c r="U39176" s="27"/>
    </row>
    <row r="39177">
      <c r="S39177" s="27"/>
      <c r="T39177" s="27"/>
      <c r="U39177" s="27"/>
    </row>
    <row r="39179">
      <c r="S39179" s="26"/>
      <c r="T39179" s="27"/>
      <c r="U39179" s="27"/>
    </row>
    <row r="39180">
      <c r="T39180" s="27"/>
      <c r="U39180" s="27"/>
    </row>
    <row r="39182">
      <c r="S39182" s="27"/>
      <c r="T39182" s="27"/>
      <c r="U39182" s="27"/>
    </row>
    <row r="39183">
      <c r="S39183" s="27"/>
      <c r="T39183" s="27"/>
      <c r="U39183" s="27"/>
    </row>
    <row r="39185">
      <c r="S39185" s="27"/>
      <c r="T39185" s="27"/>
      <c r="U39185" s="27"/>
    </row>
    <row r="39186">
      <c r="S39186" s="27"/>
      <c r="T39186" s="27"/>
      <c r="U39186" s="27"/>
    </row>
    <row r="39188">
      <c r="S39188" s="27"/>
      <c r="T39188" s="27"/>
      <c r="U39188" s="27"/>
    </row>
    <row r="39189">
      <c r="S39189" s="27"/>
      <c r="T39189" s="27"/>
      <c r="U39189" s="27"/>
    </row>
    <row r="39191">
      <c r="S39191" s="27"/>
      <c r="T39191" s="27"/>
      <c r="U39191" s="27"/>
    </row>
    <row r="39194">
      <c r="S39194" s="26"/>
      <c r="T39194" s="26"/>
      <c r="U39194" s="26"/>
    </row>
    <row r="39197">
      <c r="S39197" s="27"/>
      <c r="T39197" s="27"/>
      <c r="U39197" s="27"/>
    </row>
    <row r="39199">
      <c r="S39199" s="27"/>
      <c r="T39199" s="27"/>
      <c r="U39199" s="27"/>
    </row>
    <row r="39201">
      <c r="S39201" s="27"/>
      <c r="T39201" s="27"/>
      <c r="U39201" s="27"/>
    </row>
    <row r="39204">
      <c r="S39204" s="27"/>
      <c r="T39204" s="27"/>
      <c r="U39204" s="27"/>
    </row>
    <row r="39207">
      <c r="S39207" s="27"/>
      <c r="T39207" s="27"/>
      <c r="U39207" s="27"/>
    </row>
    <row r="39208">
      <c r="S39208" s="27"/>
      <c r="T39208" s="27"/>
      <c r="U39208" s="27"/>
    </row>
    <row r="39210">
      <c r="S39210" s="27"/>
      <c r="T39210" s="27"/>
      <c r="U39210" s="27"/>
    </row>
    <row r="39211">
      <c r="S39211" s="27"/>
      <c r="T39211" s="27"/>
      <c r="U39211" s="27"/>
    </row>
    <row r="39213">
      <c r="S39213" s="27"/>
      <c r="T39213" s="27"/>
      <c r="U39213" s="27"/>
    </row>
    <row r="39214">
      <c r="U39214" s="27"/>
    </row>
    <row r="39216">
      <c r="S39216" s="27"/>
      <c r="T39216" s="27"/>
    </row>
    <row r="39217">
      <c r="S39217" s="26"/>
      <c r="T39217" s="27"/>
      <c r="U39217" s="27"/>
    </row>
    <row r="39219">
      <c r="S39219" s="27"/>
      <c r="T39219" s="27"/>
      <c r="U39219" s="27"/>
    </row>
    <row r="39220">
      <c r="S39220" s="27"/>
      <c r="T39220" s="27"/>
      <c r="U39220" s="27"/>
    </row>
    <row r="39225">
      <c r="S39225" s="27"/>
      <c r="T39225" s="27"/>
      <c r="U39225" s="27"/>
    </row>
    <row r="39226">
      <c r="S39226" s="27"/>
      <c r="T39226" s="27"/>
      <c r="U39226" s="27"/>
    </row>
    <row r="39228">
      <c r="S39228" s="27"/>
      <c r="T39228" s="27"/>
      <c r="U39228" s="27"/>
    </row>
    <row r="39229">
      <c r="S39229" s="27"/>
      <c r="T39229" s="27"/>
      <c r="U39229" s="27"/>
    </row>
    <row r="39231">
      <c r="S39231" s="27"/>
      <c r="T39231" s="27"/>
      <c r="U39231" s="27"/>
    </row>
    <row r="39232">
      <c r="S39232" s="27"/>
      <c r="T39232" s="27"/>
      <c r="U39232" s="27"/>
    </row>
    <row r="39234">
      <c r="S39234" s="33"/>
      <c r="T39234" s="33"/>
      <c r="U39234" s="33"/>
    </row>
    <row r="39240">
      <c r="S39240" s="27"/>
      <c r="T39240" s="27"/>
      <c r="U39240" s="27"/>
    </row>
    <row r="39243">
      <c r="S39243" s="27"/>
      <c r="T39243" s="27"/>
      <c r="U39243" s="27"/>
    </row>
    <row r="39244">
      <c r="S39244" s="33"/>
      <c r="T39244" s="33"/>
      <c r="U39244" s="33"/>
    </row>
    <row r="39247">
      <c r="S39247" s="26"/>
      <c r="T39247" s="26"/>
      <c r="U39247" s="26"/>
    </row>
    <row r="39249">
      <c r="S39249" s="27"/>
      <c r="T39249" s="27"/>
      <c r="U39249" s="27"/>
    </row>
    <row r="39250">
      <c r="S39250" s="27"/>
      <c r="T39250" s="27"/>
      <c r="U39250" s="27"/>
    </row>
    <row r="39252">
      <c r="S39252" s="27"/>
      <c r="T39252" s="27"/>
      <c r="U39252" s="27"/>
    </row>
    <row r="39253">
      <c r="S39253" s="27"/>
      <c r="T39253" s="27"/>
      <c r="U39253" s="27"/>
    </row>
    <row r="39255">
      <c r="S39255" s="27"/>
      <c r="T39255" s="27"/>
      <c r="U39255" s="27"/>
    </row>
    <row r="39256">
      <c r="S39256" s="27"/>
      <c r="T39256" s="27"/>
      <c r="U39256" s="27"/>
    </row>
    <row r="39258">
      <c r="S39258" s="27"/>
      <c r="T39258" s="27"/>
      <c r="U39258" s="27"/>
    </row>
    <row r="39259">
      <c r="S39259" s="27"/>
      <c r="T39259" s="27"/>
      <c r="U39259" s="27"/>
    </row>
    <row r="39261">
      <c r="T39261" s="26"/>
      <c r="U39261" s="26"/>
    </row>
    <row r="39264">
      <c r="S39264" s="27"/>
      <c r="T39264" s="27"/>
      <c r="U39264" s="27"/>
    </row>
    <row r="39265">
      <c r="S39265" s="27"/>
      <c r="T39265" s="27"/>
      <c r="U39265" s="27"/>
    </row>
    <row r="39267">
      <c r="S39267" s="27"/>
      <c r="T39267" s="27"/>
      <c r="U39267" s="27"/>
    </row>
    <row r="39268">
      <c r="S39268" s="27"/>
      <c r="T39268" s="27"/>
      <c r="U39268" s="27"/>
    </row>
    <row r="39270">
      <c r="S39270" s="27"/>
      <c r="T39270" s="27"/>
      <c r="U39270" s="27"/>
    </row>
    <row r="39273">
      <c r="S39273" s="26"/>
      <c r="U39273" s="27"/>
    </row>
    <row r="39274">
      <c r="U39274" s="27"/>
    </row>
    <row r="39276">
      <c r="S39276" s="27"/>
      <c r="T39276" s="27"/>
      <c r="U39276" s="27"/>
    </row>
    <row r="39277">
      <c r="S39277" s="27"/>
      <c r="T39277" s="27"/>
      <c r="U39277" s="27"/>
    </row>
    <row r="39279">
      <c r="S39279" s="27"/>
      <c r="T39279" s="27"/>
      <c r="U39279" s="27"/>
    </row>
    <row r="39280">
      <c r="S39280" s="27"/>
      <c r="T39280" s="27"/>
      <c r="U39280" s="27"/>
    </row>
    <row r="39282">
      <c r="S39282" s="27"/>
      <c r="T39282" s="27"/>
      <c r="U39282" s="27"/>
    </row>
    <row r="39285">
      <c r="S39285" s="27"/>
      <c r="T39285" s="27"/>
      <c r="U39285" s="27"/>
    </row>
    <row r="39286">
      <c r="S39286" s="27"/>
      <c r="T39286" s="27"/>
      <c r="U39286" s="27"/>
    </row>
    <row r="39291">
      <c r="S39291" s="27"/>
      <c r="T39291" s="27"/>
      <c r="U39291" s="27"/>
    </row>
    <row r="39294">
      <c r="S39294" s="27"/>
      <c r="T39294" s="27"/>
      <c r="U39294" s="27"/>
    </row>
    <row r="39295">
      <c r="S39295" s="27"/>
      <c r="T39295" s="27"/>
      <c r="U39295" s="27"/>
    </row>
    <row r="39297">
      <c r="S39297" s="27"/>
      <c r="T39297" s="27"/>
      <c r="U39297" s="27"/>
    </row>
    <row r="39298">
      <c r="S39298" s="27"/>
      <c r="T39298" s="27"/>
      <c r="U39298" s="27"/>
    </row>
    <row r="39300">
      <c r="S39300" s="27"/>
      <c r="T39300" s="27"/>
      <c r="U39300" s="27"/>
    </row>
    <row r="39301">
      <c r="S39301" s="27"/>
      <c r="T39301" s="27"/>
      <c r="U39301" s="27"/>
    </row>
    <row r="39303">
      <c r="S39303" s="26"/>
    </row>
    <row r="39304">
      <c r="T39304" s="26"/>
      <c r="U39304" s="26"/>
    </row>
    <row r="39306">
      <c r="U39306" s="27"/>
    </row>
    <row r="39307">
      <c r="S39307" s="27"/>
      <c r="T39307" s="27"/>
      <c r="U39307" s="27"/>
    </row>
    <row r="39309">
      <c r="S39309" s="27"/>
      <c r="T39309" s="27"/>
      <c r="U39309" s="27"/>
    </row>
    <row r="39310">
      <c r="S39310" s="27"/>
      <c r="T39310" s="27"/>
      <c r="U39310" s="27"/>
    </row>
    <row r="39312">
      <c r="S39312" s="27"/>
      <c r="T39312" s="27"/>
      <c r="U39312" s="27"/>
    </row>
    <row r="39315">
      <c r="S39315" s="27"/>
      <c r="T39315" s="27"/>
      <c r="U39315" s="27"/>
    </row>
    <row r="39316">
      <c r="S39316" s="27"/>
      <c r="T39316" s="27"/>
      <c r="U39316" s="27"/>
    </row>
    <row r="39318">
      <c r="S39318" s="27"/>
      <c r="T39318" s="27"/>
      <c r="U39318" s="27"/>
    </row>
    <row r="39319">
      <c r="S39319" s="27"/>
      <c r="T39319" s="27"/>
      <c r="U39319" s="27"/>
    </row>
    <row r="39321">
      <c r="S39321" s="27"/>
      <c r="T39321" s="27"/>
      <c r="U39321" s="27"/>
    </row>
    <row r="39322">
      <c r="S39322" s="27"/>
      <c r="T39322" s="27"/>
      <c r="U39322" s="27"/>
    </row>
    <row r="39324">
      <c r="S39324" s="27"/>
      <c r="T39324" s="27"/>
      <c r="U39324" s="27"/>
    </row>
    <row r="39325">
      <c r="S39325" s="27"/>
      <c r="T39325" s="27"/>
      <c r="U39325" s="27"/>
    </row>
    <row r="39327">
      <c r="S39327" s="27"/>
      <c r="T39327" s="27"/>
      <c r="U39327" s="27"/>
    </row>
    <row r="39328">
      <c r="S39328" s="27"/>
      <c r="T39328" s="27"/>
      <c r="U39328" s="27"/>
    </row>
    <row r="39330">
      <c r="S39330" s="27"/>
      <c r="T39330" s="27"/>
      <c r="U39330" s="27"/>
    </row>
    <row r="39331">
      <c r="S39331" s="27"/>
      <c r="T39331" s="27"/>
      <c r="U39331" s="27"/>
    </row>
    <row r="39333">
      <c r="S39333" s="27"/>
      <c r="T39333" s="27"/>
      <c r="U39333" s="27"/>
    </row>
    <row r="39334">
      <c r="S39334" s="27"/>
      <c r="T39334" s="27"/>
      <c r="U39334" s="27"/>
    </row>
    <row r="39336">
      <c r="S39336" s="27"/>
      <c r="T39336" s="27"/>
      <c r="U39336" s="27"/>
    </row>
    <row r="39337">
      <c r="S39337" s="27"/>
      <c r="T39337" s="27"/>
      <c r="U39337" s="27"/>
    </row>
    <row r="39339">
      <c r="S39339" s="27"/>
      <c r="T39339" s="27"/>
      <c r="U39339" s="27"/>
    </row>
    <row r="39340">
      <c r="S39340" s="27"/>
      <c r="T39340" s="27"/>
      <c r="U39340" s="27"/>
    </row>
    <row r="39342">
      <c r="S39342" s="27"/>
      <c r="T39342" s="27"/>
      <c r="U39342" s="27"/>
    </row>
    <row r="39343">
      <c r="S39343" s="27"/>
      <c r="T39343" s="27"/>
      <c r="U39343" s="27"/>
    </row>
    <row r="39345">
      <c r="S39345" s="27"/>
      <c r="T39345" s="27"/>
      <c r="U39345" s="27"/>
    </row>
    <row r="39346">
      <c r="S39346" s="27"/>
      <c r="T39346" s="27"/>
      <c r="U39346" s="27"/>
    </row>
    <row r="39348">
      <c r="S39348" s="27"/>
      <c r="T39348" s="27"/>
      <c r="U39348" s="27"/>
    </row>
    <row r="39349">
      <c r="S39349" s="27"/>
      <c r="T39349" s="27"/>
      <c r="U39349" s="27"/>
    </row>
    <row r="39351">
      <c r="S39351" s="27"/>
      <c r="T39351" s="27"/>
      <c r="U39351" s="27"/>
    </row>
    <row r="39352">
      <c r="S39352" s="27"/>
      <c r="T39352" s="27"/>
      <c r="U39352" s="27"/>
    </row>
    <row r="39354">
      <c r="S39354" s="27"/>
      <c r="T39354" s="27"/>
      <c r="U39354" s="27"/>
    </row>
    <row r="39355">
      <c r="S39355" s="27"/>
      <c r="T39355" s="27"/>
      <c r="U39355" s="27"/>
    </row>
    <row r="39357">
      <c r="S39357" s="27"/>
      <c r="T39357" s="27"/>
      <c r="U39357" s="27"/>
    </row>
    <row r="39358">
      <c r="S39358" s="27"/>
      <c r="T39358" s="27"/>
      <c r="U39358" s="27"/>
    </row>
    <row r="39360">
      <c r="S39360" s="27"/>
      <c r="T39360" s="27"/>
      <c r="U39360" s="27"/>
    </row>
    <row r="39361">
      <c r="S39361" s="27"/>
      <c r="T39361" s="27"/>
      <c r="U39361" s="27"/>
    </row>
    <row r="39363">
      <c r="S39363" s="27"/>
      <c r="T39363" s="27"/>
      <c r="U39363" s="27"/>
    </row>
    <row r="39364">
      <c r="S39364" s="27"/>
      <c r="T39364" s="27"/>
      <c r="U39364" s="27"/>
    </row>
    <row r="39366">
      <c r="S39366" s="27"/>
      <c r="T39366" s="27"/>
      <c r="U39366" s="27"/>
    </row>
    <row r="39367">
      <c r="S39367" s="27"/>
      <c r="T39367" s="27"/>
      <c r="U39367" s="27"/>
    </row>
    <row r="39369">
      <c r="S39369" s="27"/>
      <c r="T39369" s="27"/>
      <c r="U39369" s="27"/>
    </row>
    <row r="39370">
      <c r="S39370" s="27"/>
      <c r="T39370" s="27"/>
      <c r="U39370" s="27"/>
    </row>
    <row r="39372">
      <c r="S39372" s="27"/>
      <c r="T39372" s="27"/>
      <c r="U39372" s="27"/>
    </row>
    <row r="39373">
      <c r="S39373" s="27"/>
      <c r="T39373" s="27"/>
      <c r="U39373" s="27"/>
    </row>
    <row r="39375">
      <c r="S39375" s="27"/>
      <c r="T39375" s="27"/>
      <c r="U39375" s="27"/>
    </row>
    <row r="39376">
      <c r="S39376" s="27"/>
      <c r="T39376" s="27"/>
      <c r="U39376" s="27"/>
    </row>
    <row r="39378">
      <c r="S39378" s="27"/>
      <c r="T39378" s="27"/>
      <c r="U39378" s="27"/>
    </row>
    <row r="39379">
      <c r="S39379" s="27"/>
      <c r="T39379" s="27"/>
      <c r="U39379" s="27"/>
    </row>
    <row r="39381">
      <c r="S39381" s="27"/>
      <c r="T39381" s="27"/>
      <c r="U39381" s="27"/>
    </row>
    <row r="39382">
      <c r="S39382" s="27"/>
      <c r="T39382" s="27"/>
      <c r="U39382" s="27"/>
    </row>
    <row r="39384">
      <c r="S39384" s="27"/>
      <c r="T39384" s="27"/>
      <c r="U39384" s="27"/>
    </row>
    <row r="39385">
      <c r="S39385" s="27"/>
      <c r="T39385" s="27"/>
      <c r="U39385" s="27"/>
    </row>
    <row r="39387">
      <c r="S39387" s="27"/>
      <c r="T39387" s="27"/>
      <c r="U39387" s="27"/>
    </row>
    <row r="39388">
      <c r="S39388" s="27"/>
      <c r="T39388" s="27"/>
      <c r="U39388" s="27"/>
    </row>
    <row r="39390">
      <c r="S39390" s="27"/>
      <c r="T39390" s="27"/>
      <c r="U39390" s="27"/>
    </row>
    <row r="39391">
      <c r="S39391" s="27"/>
      <c r="T39391" s="27"/>
      <c r="U39391" s="27"/>
    </row>
    <row r="39393">
      <c r="S39393" s="27"/>
      <c r="T39393" s="27"/>
      <c r="U39393" s="27"/>
    </row>
    <row r="39394">
      <c r="S39394" s="27"/>
      <c r="T39394" s="27"/>
      <c r="U39394" s="27"/>
    </row>
    <row r="39396">
      <c r="S39396" s="27"/>
      <c r="T39396" s="27"/>
      <c r="U39396" s="27"/>
    </row>
    <row r="39397">
      <c r="S39397" s="27"/>
      <c r="T39397" s="27"/>
      <c r="U39397" s="27"/>
    </row>
    <row r="39399">
      <c r="S39399" s="27"/>
      <c r="T39399" s="27"/>
      <c r="U39399" s="27"/>
    </row>
    <row r="39400">
      <c r="S39400" s="27"/>
      <c r="T39400" s="27"/>
      <c r="U39400" s="27"/>
    </row>
    <row r="39402">
      <c r="S39402" s="27"/>
      <c r="T39402" s="27"/>
      <c r="U39402" s="27"/>
    </row>
    <row r="39404">
      <c r="S39404" s="27"/>
      <c r="T39404" s="27"/>
    </row>
    <row r="39405">
      <c r="S39405" s="27"/>
      <c r="T39405" s="27"/>
      <c r="U39405" s="27"/>
    </row>
    <row r="39407">
      <c r="S39407" s="27"/>
      <c r="T39407" s="27"/>
      <c r="U39407" s="27"/>
    </row>
    <row r="39408">
      <c r="S39408" s="27"/>
      <c r="T39408" s="27"/>
      <c r="U39408" s="27"/>
    </row>
    <row r="39410">
      <c r="S39410" s="27"/>
      <c r="T39410" s="27"/>
      <c r="U39410" s="27"/>
    </row>
    <row r="39411">
      <c r="S39411" s="27"/>
      <c r="T39411" s="27"/>
      <c r="U39411" s="27"/>
    </row>
    <row r="39413">
      <c r="S39413" s="27"/>
      <c r="T39413" s="27"/>
      <c r="U39413" s="27"/>
    </row>
    <row r="39414">
      <c r="S39414" s="27"/>
      <c r="T39414" s="27"/>
      <c r="U39414" s="27"/>
    </row>
    <row r="39416">
      <c r="S39416" s="27"/>
      <c r="T39416" s="27"/>
      <c r="U39416" s="27"/>
    </row>
    <row r="39417">
      <c r="S39417" s="27"/>
      <c r="T39417" s="27"/>
      <c r="U39417" s="27"/>
    </row>
    <row r="39419">
      <c r="S39419" s="27"/>
      <c r="T39419" s="27"/>
      <c r="U39419" s="27"/>
    </row>
    <row r="39420">
      <c r="S39420" s="27"/>
      <c r="T39420" s="27"/>
      <c r="U39420" s="27"/>
    </row>
    <row r="39422">
      <c r="S39422" s="27"/>
      <c r="T39422" s="27"/>
      <c r="U39422" s="27"/>
    </row>
    <row r="39423">
      <c r="S39423" s="27"/>
      <c r="T39423" s="27"/>
      <c r="U39423" s="27"/>
    </row>
    <row r="39425">
      <c r="S39425" s="27"/>
      <c r="T39425" s="27"/>
      <c r="U39425" s="27"/>
    </row>
    <row r="39427">
      <c r="S39427" s="27"/>
      <c r="T39427" s="27"/>
      <c r="U39427" s="27"/>
    </row>
    <row r="39429">
      <c r="T39429" s="27"/>
      <c r="U39429" s="27"/>
    </row>
    <row r="39431">
      <c r="S39431" s="27"/>
      <c r="T39431" s="27"/>
      <c r="U39431" s="27"/>
    </row>
    <row r="39434">
      <c r="S39434" s="27"/>
      <c r="T39434" s="27"/>
      <c r="U39434" s="27"/>
    </row>
    <row r="39436">
      <c r="S39436" s="27"/>
      <c r="T39436" s="27"/>
      <c r="U39436" s="27"/>
    </row>
    <row r="39437">
      <c r="S39437" s="27"/>
      <c r="T39437" s="27"/>
      <c r="U39437" s="27"/>
    </row>
    <row r="39439">
      <c r="S39439" s="27"/>
      <c r="T39439" s="27"/>
      <c r="U39439" s="27"/>
    </row>
    <row r="39442">
      <c r="S39442" s="27"/>
      <c r="T39442" s="27"/>
      <c r="U39442" s="27"/>
    </row>
    <row r="39443">
      <c r="S39443" s="27"/>
      <c r="T39443" s="27"/>
      <c r="U39443" s="27"/>
    </row>
    <row r="39445">
      <c r="S39445" s="27"/>
      <c r="T39445" s="27"/>
      <c r="U39445" s="27"/>
    </row>
    <row r="39446">
      <c r="S39446" s="27"/>
      <c r="T39446" s="27"/>
      <c r="U39446" s="27"/>
    </row>
    <row r="39448">
      <c r="S39448" s="27"/>
      <c r="T39448" s="27"/>
      <c r="U39448" s="27"/>
    </row>
    <row r="39449">
      <c r="S39449" s="27"/>
      <c r="T39449" s="27"/>
      <c r="U39449" s="27"/>
    </row>
    <row r="39454">
      <c r="S39454" s="27"/>
      <c r="T39454" s="27"/>
      <c r="U39454" s="27"/>
    </row>
    <row r="39457">
      <c r="S39457" s="27"/>
      <c r="T39457" s="27"/>
      <c r="U39457" s="27"/>
    </row>
    <row r="39460">
      <c r="S39460" s="27"/>
      <c r="T39460" s="27"/>
      <c r="U39460" s="27"/>
    </row>
    <row r="39461">
      <c r="S39461" s="27"/>
      <c r="T39461" s="27"/>
      <c r="U39461" s="27"/>
    </row>
    <row r="39463">
      <c r="S39463" s="27"/>
      <c r="T39463" s="27"/>
      <c r="U39463" s="27"/>
    </row>
    <row r="39464">
      <c r="S39464" s="27"/>
      <c r="T39464" s="27"/>
      <c r="U39464" s="27"/>
    </row>
    <row r="39466">
      <c r="S39466" s="27"/>
      <c r="T39466" s="27"/>
      <c r="U39466" s="27"/>
    </row>
    <row r="39467">
      <c r="S39467" s="27"/>
      <c r="T39467" s="27"/>
      <c r="U39467" s="27"/>
    </row>
    <row r="39469">
      <c r="U39469" s="26"/>
    </row>
    <row r="39472">
      <c r="S39472" s="27"/>
      <c r="T39472" s="27"/>
      <c r="U39472" s="27"/>
    </row>
    <row r="39473">
      <c r="S39473" s="27"/>
      <c r="T39473" s="27"/>
      <c r="U39473" s="27"/>
    </row>
    <row r="39475">
      <c r="S39475" s="27"/>
      <c r="T39475" s="27"/>
      <c r="U39475" s="27"/>
    </row>
    <row r="39476">
      <c r="S39476" s="27"/>
      <c r="T39476" s="27"/>
      <c r="U39476" s="27"/>
    </row>
    <row r="39478">
      <c r="S39478" s="27"/>
      <c r="T39478" s="27"/>
      <c r="U39478" s="27"/>
    </row>
    <row r="39479">
      <c r="S39479" s="27"/>
      <c r="T39479" s="27"/>
      <c r="U39479" s="27"/>
    </row>
    <row r="39484">
      <c r="U39484" s="26"/>
    </row>
    <row r="39487">
      <c r="S39487" s="27"/>
      <c r="T39487" s="27"/>
      <c r="U39487" s="27"/>
    </row>
    <row r="39488">
      <c r="S39488" s="27"/>
      <c r="T39488" s="27"/>
      <c r="U39488" s="27"/>
    </row>
    <row r="39490">
      <c r="S39490" s="27"/>
      <c r="T39490" s="27"/>
      <c r="U39490" s="27"/>
    </row>
    <row r="39491">
      <c r="S39491" s="27"/>
      <c r="T39491" s="27"/>
      <c r="U39491" s="27"/>
    </row>
    <row r="39496">
      <c r="S39496" s="26"/>
      <c r="T39496" s="27"/>
      <c r="U39496" s="27"/>
    </row>
    <row r="39499">
      <c r="S39499" s="27"/>
      <c r="T39499" s="27"/>
      <c r="U39499" s="27"/>
    </row>
    <row r="39502">
      <c r="S39502" s="27"/>
      <c r="T39502" s="27"/>
      <c r="U39502" s="27"/>
    </row>
    <row r="39503">
      <c r="S39503" s="27"/>
      <c r="T39503" s="27"/>
      <c r="U39503" s="27"/>
    </row>
    <row r="39505">
      <c r="S39505" s="27"/>
      <c r="T39505" s="27"/>
      <c r="U39505" s="27"/>
    </row>
    <row r="39506">
      <c r="S39506" s="27"/>
      <c r="T39506" s="27"/>
      <c r="U39506" s="27"/>
    </row>
    <row r="39508">
      <c r="S39508" s="27"/>
      <c r="T39508" s="27"/>
      <c r="U39508" s="27"/>
    </row>
    <row r="39509">
      <c r="S39509" s="27"/>
      <c r="T39509" s="27"/>
      <c r="U39509" s="27"/>
    </row>
    <row r="39511">
      <c r="S39511" s="27"/>
      <c r="T39511" s="27"/>
      <c r="U39511" s="27"/>
    </row>
    <row r="39512">
      <c r="S39512" s="27"/>
      <c r="T39512" s="27"/>
      <c r="U39512" s="27"/>
    </row>
    <row r="39514">
      <c r="S39514" s="27"/>
      <c r="T39514" s="27"/>
      <c r="U39514" s="27"/>
    </row>
    <row r="39515">
      <c r="S39515" s="27"/>
      <c r="T39515" s="27"/>
      <c r="U39515" s="27"/>
    </row>
    <row r="39517">
      <c r="S39517" s="27"/>
      <c r="T39517" s="27"/>
      <c r="U39517" s="27"/>
    </row>
    <row r="39518">
      <c r="S39518" s="27"/>
      <c r="T39518" s="27"/>
      <c r="U39518" s="27"/>
    </row>
    <row r="39520">
      <c r="S39520" s="27"/>
      <c r="T39520" s="27"/>
      <c r="U39520" s="27"/>
    </row>
    <row r="39521">
      <c r="S39521" s="27"/>
      <c r="T39521" s="27"/>
      <c r="U39521" s="27"/>
    </row>
    <row r="39523">
      <c r="S39523" s="27"/>
      <c r="T39523" s="27"/>
      <c r="U39523" s="27"/>
    </row>
    <row r="39524">
      <c r="S39524" s="27"/>
      <c r="T39524" s="27"/>
      <c r="U39524" s="27"/>
    </row>
    <row r="39526">
      <c r="S39526" s="27"/>
      <c r="T39526" s="27"/>
      <c r="U39526" s="27"/>
    </row>
    <row r="39527">
      <c r="S39527" s="27"/>
      <c r="T39527" s="27"/>
      <c r="U39527" s="27"/>
    </row>
    <row r="39529">
      <c r="S39529" s="27"/>
      <c r="T39529" s="27"/>
      <c r="U39529" s="27"/>
    </row>
    <row r="39530">
      <c r="S39530" s="27"/>
      <c r="T39530" s="27"/>
      <c r="U39530" s="27"/>
    </row>
    <row r="39532">
      <c r="S39532" s="27"/>
      <c r="T39532" s="27"/>
      <c r="U39532" s="27"/>
    </row>
    <row r="39533">
      <c r="S39533" s="27"/>
      <c r="T39533" s="27"/>
      <c r="U39533" s="27"/>
    </row>
    <row r="39535">
      <c r="S39535" s="27"/>
      <c r="T39535" s="27"/>
      <c r="U39535" s="27"/>
    </row>
    <row r="39536">
      <c r="S39536" s="27"/>
      <c r="T39536" s="27"/>
      <c r="U39536" s="27"/>
    </row>
    <row r="39538">
      <c r="S39538" s="27"/>
      <c r="T39538" s="27"/>
      <c r="U39538" s="27"/>
    </row>
    <row r="39539">
      <c r="S39539" s="27"/>
      <c r="T39539" s="27"/>
      <c r="U39539" s="27"/>
    </row>
    <row r="39541">
      <c r="S39541" s="27"/>
      <c r="T39541" s="27"/>
      <c r="U39541" s="27"/>
    </row>
    <row r="39542">
      <c r="S39542" s="27"/>
      <c r="T39542" s="27"/>
      <c r="U39542" s="27"/>
    </row>
    <row r="39544">
      <c r="S39544" s="27"/>
      <c r="T39544" s="27"/>
      <c r="U39544" s="27"/>
    </row>
    <row r="39545">
      <c r="S39545" s="27"/>
      <c r="T39545" s="27"/>
      <c r="U39545" s="27"/>
    </row>
    <row r="39547">
      <c r="S39547" s="27"/>
      <c r="T39547" s="27"/>
      <c r="U39547" s="27"/>
    </row>
    <row r="39548">
      <c r="S39548" s="27"/>
      <c r="T39548" s="27"/>
      <c r="U39548" s="27"/>
    </row>
    <row r="39550">
      <c r="S39550" s="27"/>
      <c r="T39550" s="27"/>
      <c r="U39550" s="27"/>
    </row>
    <row r="39551">
      <c r="S39551" s="27"/>
      <c r="T39551" s="27"/>
      <c r="U39551" s="27"/>
    </row>
    <row r="39553">
      <c r="S39553" s="27"/>
      <c r="T39553" s="27"/>
      <c r="U39553" s="27"/>
    </row>
    <row r="39554">
      <c r="S39554" s="27"/>
      <c r="T39554" s="27"/>
      <c r="U39554" s="27"/>
    </row>
    <row r="39556">
      <c r="S39556" s="27"/>
      <c r="T39556" s="27"/>
      <c r="U39556" s="27"/>
    </row>
    <row r="39557">
      <c r="S39557" s="27"/>
      <c r="T39557" s="27"/>
      <c r="U39557" s="27"/>
    </row>
    <row r="39559">
      <c r="S39559" s="27"/>
      <c r="T39559" s="27"/>
      <c r="U39559" s="27"/>
    </row>
    <row r="39560">
      <c r="S39560" s="27"/>
      <c r="T39560" s="27"/>
      <c r="U39560" s="27"/>
    </row>
    <row r="39562">
      <c r="S39562" s="27"/>
      <c r="T39562" s="27"/>
      <c r="U39562" s="27"/>
    </row>
    <row r="39563">
      <c r="S39563" s="27"/>
      <c r="T39563" s="27"/>
      <c r="U39563" s="27"/>
    </row>
    <row r="39565">
      <c r="S39565" s="27"/>
      <c r="T39565" s="27"/>
      <c r="U39565" s="27"/>
    </row>
    <row r="39566">
      <c r="S39566" s="27"/>
      <c r="T39566" s="27"/>
      <c r="U39566" s="27"/>
    </row>
    <row r="39568">
      <c r="S39568" s="27"/>
      <c r="T39568" s="27"/>
      <c r="U39568" s="27"/>
    </row>
    <row r="39569">
      <c r="S39569" s="27"/>
      <c r="T39569" s="27"/>
      <c r="U39569" s="27"/>
    </row>
    <row r="39574">
      <c r="S39574" s="27"/>
      <c r="T39574" s="27"/>
      <c r="U39574" s="27"/>
    </row>
    <row r="39575">
      <c r="S39575" s="27"/>
      <c r="T39575" s="27"/>
      <c r="U39575" s="27"/>
    </row>
    <row r="39577">
      <c r="S39577" s="27"/>
      <c r="T39577" s="27"/>
      <c r="U39577" s="27"/>
    </row>
    <row r="39580">
      <c r="S39580" s="33"/>
      <c r="T39580" s="33"/>
      <c r="U39580" s="33"/>
    </row>
    <row r="39581">
      <c r="S39581" s="27"/>
      <c r="T39581" s="27"/>
      <c r="U39581" s="27"/>
    </row>
    <row r="39583">
      <c r="S39583" s="27"/>
      <c r="T39583" s="27"/>
      <c r="U39583" s="27"/>
    </row>
    <row r="39584">
      <c r="S39584" s="27"/>
      <c r="T39584" s="27"/>
      <c r="U39584" s="27"/>
    </row>
    <row r="39586">
      <c r="S39586" s="27"/>
      <c r="T39586" s="27"/>
      <c r="U39586" s="27"/>
    </row>
    <row r="39589">
      <c r="S39589" s="27"/>
      <c r="T39589" s="27"/>
      <c r="U39589" s="27"/>
    </row>
    <row r="39590">
      <c r="S39590" s="27"/>
      <c r="T39590" s="27"/>
      <c r="U39590" s="27"/>
    </row>
    <row r="39592">
      <c r="S39592" s="27"/>
      <c r="T39592" s="27"/>
      <c r="U39592" s="27"/>
    </row>
    <row r="39593">
      <c r="S39593" s="27"/>
      <c r="T39593" s="27"/>
      <c r="U39593" s="27"/>
    </row>
    <row r="39595">
      <c r="S39595" s="27"/>
      <c r="T39595" s="27"/>
      <c r="U39595" s="27"/>
    </row>
    <row r="39596">
      <c r="S39596" s="27"/>
      <c r="T39596" s="27"/>
      <c r="U39596" s="27"/>
    </row>
    <row r="39606">
      <c r="T39606" s="27"/>
      <c r="U39606" s="27"/>
    </row>
    <row r="39608">
      <c r="S39608" s="26"/>
      <c r="T39608" s="26"/>
      <c r="U39608" s="26"/>
    </row>
    <row r="39611">
      <c r="S39611" s="27"/>
      <c r="T39611" s="27"/>
      <c r="U39611" s="27"/>
    </row>
    <row r="39614">
      <c r="S39614" s="27"/>
      <c r="T39614" s="27"/>
      <c r="U39614" s="27"/>
    </row>
    <row r="39615">
      <c r="S39615" s="27"/>
      <c r="T39615" s="27"/>
      <c r="U39615" s="27"/>
    </row>
    <row r="39617">
      <c r="S39617" s="27"/>
      <c r="T39617" s="27"/>
      <c r="U39617" s="27"/>
    </row>
    <row r="39618">
      <c r="S39618" s="27"/>
      <c r="T39618" s="27"/>
      <c r="U39618" s="27"/>
    </row>
    <row r="39620">
      <c r="S39620" s="27"/>
      <c r="T39620" s="27"/>
      <c r="U39620" s="27"/>
    </row>
    <row r="39621">
      <c r="U39621" s="27"/>
    </row>
    <row r="39623">
      <c r="S39623" s="27"/>
      <c r="T39623" s="27"/>
      <c r="U39623" s="27"/>
    </row>
    <row r="39624">
      <c r="S39624" s="26"/>
      <c r="T39624" s="26"/>
      <c r="U39624" s="26"/>
    </row>
    <row r="39626">
      <c r="S39626" s="27"/>
      <c r="T39626" s="27"/>
      <c r="U39626" s="27"/>
    </row>
    <row r="39627">
      <c r="S39627" s="27"/>
      <c r="T39627" s="27"/>
      <c r="U39627" s="27"/>
    </row>
    <row r="39632">
      <c r="S39632" s="27"/>
      <c r="T39632" s="27"/>
      <c r="U39632" s="27"/>
    </row>
    <row r="39633">
      <c r="S39633" s="27"/>
      <c r="T39633" s="27"/>
      <c r="U39633" s="27"/>
    </row>
    <row r="39635">
      <c r="S39635" s="27"/>
      <c r="T39635" s="27"/>
      <c r="U39635" s="27"/>
    </row>
    <row r="39636">
      <c r="S39636" s="26"/>
      <c r="T39636" s="27"/>
      <c r="U39636" s="27"/>
    </row>
    <row r="39638">
      <c r="S39638" s="27"/>
      <c r="T39638" s="27"/>
      <c r="U39638" s="27"/>
    </row>
    <row r="39639">
      <c r="S39639" s="27"/>
      <c r="T39639" s="27"/>
      <c r="U39639" s="27"/>
    </row>
    <row r="39641">
      <c r="S39641" s="27"/>
      <c r="T39641" s="27"/>
      <c r="U39641" s="27"/>
    </row>
    <row r="39642">
      <c r="S39642" s="27"/>
      <c r="T39642" s="27"/>
      <c r="U39642" s="27"/>
    </row>
    <row r="39644">
      <c r="S39644" s="27"/>
      <c r="T39644" s="27"/>
      <c r="U39644" s="27"/>
    </row>
    <row r="39647">
      <c r="S39647" s="27"/>
      <c r="T39647" s="27"/>
      <c r="U39647" s="27"/>
    </row>
    <row r="39648">
      <c r="S39648" s="27"/>
      <c r="T39648" s="27"/>
      <c r="U39648" s="27"/>
    </row>
    <row r="39653">
      <c r="S39653" s="27"/>
      <c r="T39653" s="27"/>
      <c r="U39653" s="27"/>
    </row>
    <row r="39654">
      <c r="S39654" s="27"/>
      <c r="T39654" s="27"/>
      <c r="U39654" s="27"/>
    </row>
    <row r="39656">
      <c r="S39656" s="27"/>
      <c r="T39656" s="27"/>
      <c r="U39656" s="27"/>
    </row>
    <row r="39657">
      <c r="S39657" s="27"/>
      <c r="T39657" s="27"/>
      <c r="U39657" s="27"/>
    </row>
    <row r="39659">
      <c r="S39659" s="27"/>
      <c r="T39659" s="27"/>
      <c r="U39659" s="27"/>
    </row>
    <row r="39660">
      <c r="S39660" s="27"/>
      <c r="T39660" s="27"/>
      <c r="U39660" s="27"/>
    </row>
    <row r="39665">
      <c r="T39665" s="26"/>
    </row>
    <row r="39668">
      <c r="S39668" s="27"/>
      <c r="T39668" s="27"/>
      <c r="U39668" s="27"/>
    </row>
    <row r="39669">
      <c r="S39669" s="27"/>
      <c r="T39669" s="27"/>
      <c r="U39669" s="27"/>
    </row>
    <row r="39671">
      <c r="S39671" s="27"/>
      <c r="T39671" s="27"/>
      <c r="U39671" s="27"/>
    </row>
    <row r="39672">
      <c r="S39672" s="27"/>
      <c r="T39672" s="27"/>
      <c r="U39672" s="27"/>
    </row>
    <row r="39674">
      <c r="S39674" s="27"/>
      <c r="T39674" s="27"/>
    </row>
    <row r="39677">
      <c r="S39677" s="26"/>
      <c r="T39677" s="26"/>
      <c r="U39677" s="26"/>
    </row>
    <row r="39680">
      <c r="S39680" s="27"/>
      <c r="T39680" s="27"/>
      <c r="U39680" s="27"/>
    </row>
    <row r="39681">
      <c r="S39681" s="27"/>
      <c r="T39681" s="27"/>
      <c r="U39681" s="27"/>
    </row>
    <row r="39683">
      <c r="S39683" s="27"/>
      <c r="T39683" s="27"/>
      <c r="U39683" s="27"/>
    </row>
    <row r="39684">
      <c r="S39684" s="27"/>
      <c r="T39684" s="27"/>
      <c r="U39684" s="27"/>
    </row>
    <row r="39686">
      <c r="S39686" s="27"/>
      <c r="T39686" s="27"/>
      <c r="U39686" s="27"/>
    </row>
    <row r="39687">
      <c r="S39687" s="26"/>
      <c r="T39687" s="26"/>
      <c r="U39687" s="26"/>
    </row>
    <row r="39690">
      <c r="S39690" s="26"/>
      <c r="T39690" s="26"/>
      <c r="U39690" s="26"/>
    </row>
    <row r="39692">
      <c r="S39692" s="26"/>
      <c r="T39692" s="26"/>
      <c r="U39692" s="26"/>
    </row>
    <row r="39695">
      <c r="S39695" s="27"/>
      <c r="T39695" s="27"/>
      <c r="U39695" s="27"/>
    </row>
    <row r="39698">
      <c r="S39698" s="27"/>
      <c r="T39698" s="27"/>
      <c r="U39698" s="27"/>
    </row>
    <row r="39699">
      <c r="S39699" s="27"/>
      <c r="T39699" s="27"/>
      <c r="U39699" s="27"/>
    </row>
    <row r="39701">
      <c r="S39701" s="33"/>
      <c r="T39701" s="27"/>
      <c r="U39701" s="27"/>
    </row>
    <row r="39702">
      <c r="S39702" s="26"/>
      <c r="T39702" s="27"/>
      <c r="U39702" s="27"/>
    </row>
    <row r="39704">
      <c r="S39704" s="27"/>
      <c r="T39704" s="27"/>
      <c r="U39704" s="27"/>
    </row>
    <row r="39705">
      <c r="S39705" s="27"/>
      <c r="T39705" s="27"/>
      <c r="U39705" s="27"/>
    </row>
    <row r="39707">
      <c r="T39707" s="26"/>
    </row>
    <row r="39708">
      <c r="T39708" s="26"/>
      <c r="U39708" s="26"/>
    </row>
    <row r="39710">
      <c r="S39710" s="27"/>
      <c r="T39710" s="27"/>
      <c r="U39710" s="27"/>
    </row>
    <row r="39711">
      <c r="S39711" s="27"/>
      <c r="T39711" s="27"/>
      <c r="U39711" s="27"/>
    </row>
    <row r="39713">
      <c r="S39713" s="27"/>
      <c r="T39713" s="27"/>
      <c r="U39713" s="27"/>
    </row>
    <row r="39714">
      <c r="S39714" s="27"/>
      <c r="T39714" s="27"/>
      <c r="U39714" s="27"/>
    </row>
    <row r="39716">
      <c r="S39716" s="27"/>
      <c r="T39716" s="27"/>
      <c r="U39716" s="27"/>
    </row>
    <row r="39717">
      <c r="S39717" s="27"/>
      <c r="T39717" s="27"/>
      <c r="U39717" s="27"/>
    </row>
    <row r="39719">
      <c r="S39719" s="27"/>
      <c r="T39719" s="27"/>
      <c r="U39719" s="27"/>
    </row>
    <row r="39720">
      <c r="S39720" s="27"/>
      <c r="T39720" s="27"/>
      <c r="U39720" s="27"/>
    </row>
    <row r="39722">
      <c r="S39722" s="27"/>
      <c r="T39722" s="27"/>
      <c r="U39722" s="27"/>
    </row>
    <row r="39723">
      <c r="S39723" s="27"/>
      <c r="T39723" s="27"/>
      <c r="U39723" s="27"/>
    </row>
    <row r="39725">
      <c r="S39725" s="27"/>
      <c r="T39725" s="27"/>
      <c r="U39725" s="27"/>
    </row>
    <row r="39726">
      <c r="S39726" s="27"/>
      <c r="T39726" s="27"/>
      <c r="U39726" s="27"/>
    </row>
    <row r="39728">
      <c r="S39728" s="27"/>
      <c r="T39728" s="27"/>
      <c r="U39728" s="27"/>
    </row>
    <row r="39729">
      <c r="S39729" s="27"/>
      <c r="T39729" s="27"/>
      <c r="U39729" s="27"/>
    </row>
    <row r="39731">
      <c r="S39731" s="27"/>
      <c r="T39731" s="27"/>
      <c r="U39731" s="27"/>
    </row>
    <row r="39732">
      <c r="S39732" s="27"/>
      <c r="T39732" s="27"/>
      <c r="U39732" s="27"/>
    </row>
    <row r="39734">
      <c r="S39734" s="27"/>
      <c r="T39734" s="27"/>
      <c r="U39734" s="27"/>
    </row>
    <row r="39735">
      <c r="S39735" s="27"/>
      <c r="T39735" s="27"/>
      <c r="U39735" s="27"/>
    </row>
    <row r="39737">
      <c r="S39737" s="27"/>
      <c r="T39737" s="27"/>
      <c r="U39737" s="27"/>
    </row>
    <row r="39738">
      <c r="S39738" s="27"/>
      <c r="T39738" s="27"/>
      <c r="U39738" s="27"/>
    </row>
    <row r="39740">
      <c r="S39740" s="27"/>
      <c r="T39740" s="27"/>
      <c r="U39740" s="27"/>
    </row>
    <row r="39741">
      <c r="S39741" s="27"/>
      <c r="T39741" s="27"/>
      <c r="U39741" s="27"/>
    </row>
    <row r="39743">
      <c r="S39743" s="27"/>
      <c r="T39743" s="27"/>
      <c r="U39743" s="27"/>
    </row>
    <row r="39744">
      <c r="S39744" s="27"/>
      <c r="T39744" s="27"/>
      <c r="U39744" s="27"/>
    </row>
    <row r="39746">
      <c r="S39746" s="27"/>
      <c r="T39746" s="27"/>
      <c r="U39746" s="27"/>
    </row>
    <row r="39747">
      <c r="S39747" s="27"/>
      <c r="T39747" s="27"/>
      <c r="U39747" s="27"/>
    </row>
    <row r="39749">
      <c r="S39749" s="27"/>
      <c r="T39749" s="27"/>
      <c r="U39749" s="27"/>
    </row>
    <row r="39750">
      <c r="S39750" s="27"/>
      <c r="T39750" s="27"/>
      <c r="U39750" s="27"/>
    </row>
    <row r="39752">
      <c r="S39752" s="27"/>
      <c r="T39752" s="27"/>
      <c r="U39752" s="27"/>
    </row>
    <row r="39753">
      <c r="S39753" s="27"/>
      <c r="T39753" s="27"/>
      <c r="U39753" s="27"/>
    </row>
    <row r="39755">
      <c r="S39755" s="27"/>
      <c r="T39755" s="27"/>
      <c r="U39755" s="27"/>
    </row>
    <row r="39756">
      <c r="S39756" s="27"/>
      <c r="T39756" s="27"/>
      <c r="U39756" s="27"/>
    </row>
    <row r="39758">
      <c r="S39758" s="27"/>
      <c r="T39758" s="27"/>
      <c r="U39758" s="27"/>
    </row>
    <row r="39759">
      <c r="S39759" s="27"/>
      <c r="T39759" s="27"/>
      <c r="U39759" s="27"/>
    </row>
    <row r="39761">
      <c r="S39761" s="27"/>
      <c r="T39761" s="27"/>
      <c r="U39761" s="27"/>
    </row>
    <row r="39762">
      <c r="S39762" s="27"/>
      <c r="T39762" s="27"/>
      <c r="U39762" s="27"/>
    </row>
    <row r="39764">
      <c r="S39764" s="27"/>
      <c r="T39764" s="27"/>
      <c r="U39764" s="27"/>
    </row>
    <row r="39765">
      <c r="S39765" s="27"/>
      <c r="T39765" s="27"/>
      <c r="U39765" s="27"/>
    </row>
    <row r="39767">
      <c r="S39767" s="27"/>
      <c r="T39767" s="27"/>
      <c r="U39767" s="27"/>
    </row>
    <row r="39768">
      <c r="S39768" s="27"/>
      <c r="T39768" s="27"/>
      <c r="U39768" s="27"/>
    </row>
    <row r="39770">
      <c r="S39770" s="27"/>
      <c r="T39770" s="27"/>
      <c r="U39770" s="27"/>
    </row>
    <row r="39771">
      <c r="S39771" s="27"/>
      <c r="T39771" s="27"/>
      <c r="U39771" s="27"/>
    </row>
    <row r="39773">
      <c r="S39773" s="27"/>
      <c r="T39773" s="27"/>
      <c r="U39773" s="27"/>
    </row>
    <row r="39774">
      <c r="S39774" s="27"/>
      <c r="T39774" s="27"/>
      <c r="U39774" s="27"/>
    </row>
    <row r="39776">
      <c r="S39776" s="27"/>
      <c r="T39776" s="27"/>
      <c r="U39776" s="27"/>
    </row>
    <row r="39777">
      <c r="S39777" s="27"/>
      <c r="T39777" s="27"/>
      <c r="U39777" s="27"/>
    </row>
    <row r="39779">
      <c r="S39779" s="27"/>
      <c r="T39779" s="27"/>
      <c r="U39779" s="27"/>
    </row>
    <row r="39780">
      <c r="S39780" s="27"/>
      <c r="T39780" s="27"/>
      <c r="U39780" s="27"/>
    </row>
    <row r="39782">
      <c r="S39782" s="27"/>
      <c r="T39782" s="27"/>
      <c r="U39782" s="27"/>
    </row>
    <row r="39783">
      <c r="S39783" s="27"/>
      <c r="T39783" s="27"/>
      <c r="U39783" s="27"/>
    </row>
    <row r="39785">
      <c r="S39785" s="27"/>
      <c r="T39785" s="27"/>
      <c r="U39785" s="27"/>
    </row>
    <row r="39786">
      <c r="S39786" s="27"/>
      <c r="T39786" s="27"/>
      <c r="U39786" s="27"/>
    </row>
    <row r="39788">
      <c r="S39788" s="27"/>
      <c r="T39788" s="27"/>
      <c r="U39788" s="27"/>
    </row>
    <row r="39789">
      <c r="S39789" s="27"/>
      <c r="T39789" s="27"/>
      <c r="U39789" s="27"/>
    </row>
    <row r="39791">
      <c r="S39791" s="27"/>
      <c r="T39791" s="27"/>
      <c r="U39791" s="27"/>
    </row>
    <row r="39792">
      <c r="S39792" s="27"/>
      <c r="T39792" s="27"/>
      <c r="U39792" s="27"/>
    </row>
    <row r="39794">
      <c r="S39794" s="27"/>
      <c r="T39794" s="27"/>
      <c r="U39794" s="27"/>
    </row>
    <row r="39795">
      <c r="S39795" s="27"/>
      <c r="T39795" s="27"/>
      <c r="U39795" s="27"/>
    </row>
    <row r="39797">
      <c r="S39797" s="27"/>
      <c r="T39797" s="27"/>
      <c r="U39797" s="27"/>
    </row>
    <row r="39798">
      <c r="S39798" s="27"/>
      <c r="T39798" s="27"/>
      <c r="U39798" s="27"/>
    </row>
    <row r="39800">
      <c r="S39800" s="27"/>
      <c r="T39800" s="27"/>
      <c r="U39800" s="27"/>
    </row>
    <row r="39801">
      <c r="S39801" s="27"/>
      <c r="T39801" s="27"/>
      <c r="U39801" s="27"/>
    </row>
    <row r="39803">
      <c r="S39803" s="27"/>
      <c r="T39803" s="27"/>
      <c r="U39803" s="27"/>
    </row>
    <row r="39804">
      <c r="S39804" s="27"/>
      <c r="T39804" s="27"/>
      <c r="U39804" s="27"/>
    </row>
    <row r="39806">
      <c r="S39806" s="27"/>
      <c r="T39806" s="27"/>
      <c r="U39806" s="27"/>
    </row>
    <row r="39808">
      <c r="S39808" s="27"/>
      <c r="T39808" s="27"/>
      <c r="U39808" s="27"/>
    </row>
    <row r="39809">
      <c r="S39809" s="27"/>
      <c r="T39809" s="27"/>
      <c r="U39809" s="27"/>
    </row>
    <row r="39811">
      <c r="S39811" s="27"/>
      <c r="T39811" s="27"/>
      <c r="U39811" s="27"/>
    </row>
    <row r="39812">
      <c r="S39812" s="27"/>
      <c r="T39812" s="27"/>
      <c r="U39812" s="27"/>
    </row>
    <row r="39814">
      <c r="S39814" s="27"/>
      <c r="T39814" s="27"/>
      <c r="U39814" s="27"/>
    </row>
    <row r="39815">
      <c r="S39815" s="27"/>
      <c r="T39815" s="27"/>
      <c r="U39815" s="27"/>
    </row>
    <row r="39817">
      <c r="S39817" s="27"/>
      <c r="T39817" s="27"/>
      <c r="U39817" s="27"/>
    </row>
    <row r="39818">
      <c r="S39818" s="27"/>
      <c r="T39818" s="27"/>
      <c r="U39818" s="27"/>
    </row>
    <row r="39820">
      <c r="S39820" s="27"/>
      <c r="T39820" s="27"/>
      <c r="U39820" s="27"/>
    </row>
    <row r="39821">
      <c r="S39821" s="27"/>
      <c r="T39821" s="27"/>
      <c r="U39821" s="27"/>
    </row>
    <row r="39823">
      <c r="S39823" s="27"/>
      <c r="T39823" s="27"/>
      <c r="U39823" s="27"/>
    </row>
    <row r="39824">
      <c r="S39824" s="33"/>
      <c r="T39824" s="27"/>
      <c r="U39824" s="27"/>
    </row>
    <row r="39827">
      <c r="S39827" s="27"/>
      <c r="T39827" s="27"/>
      <c r="U39827" s="27"/>
    </row>
    <row r="39829">
      <c r="S39829" s="27"/>
      <c r="T39829" s="27"/>
      <c r="U39829" s="27"/>
    </row>
    <row r="39831">
      <c r="S39831" s="27"/>
      <c r="T39831" s="27"/>
      <c r="U39831" s="27"/>
    </row>
    <row r="39833">
      <c r="S39833" s="27"/>
      <c r="T39833" s="27"/>
      <c r="U39833" s="27"/>
    </row>
    <row r="39835">
      <c r="S39835" s="27"/>
      <c r="T39835" s="27"/>
      <c r="U39835" s="27"/>
    </row>
    <row r="39837">
      <c r="S39837" s="27"/>
      <c r="T39837" s="27"/>
      <c r="U39837" s="27"/>
    </row>
    <row r="39838">
      <c r="S39838" s="27"/>
      <c r="T39838" s="27"/>
      <c r="U39838" s="27"/>
    </row>
    <row r="39840">
      <c r="S39840" s="27"/>
      <c r="T39840" s="27"/>
      <c r="U39840" s="27"/>
    </row>
    <row r="39841">
      <c r="S39841" s="27"/>
      <c r="T39841" s="27"/>
      <c r="U39841" s="27"/>
    </row>
    <row r="39843">
      <c r="S39843" s="27"/>
      <c r="T39843" s="27"/>
      <c r="U39843" s="27"/>
    </row>
    <row r="39844">
      <c r="S39844" s="27"/>
      <c r="T39844" s="27"/>
      <c r="U39844" s="27"/>
    </row>
    <row r="39846">
      <c r="S39846" s="27"/>
      <c r="T39846" s="27"/>
      <c r="U39846" s="27"/>
    </row>
    <row r="39847">
      <c r="S39847" s="27"/>
      <c r="T39847" s="27"/>
      <c r="U39847" s="27"/>
    </row>
    <row r="39849">
      <c r="S39849" s="27"/>
      <c r="T39849" s="27"/>
      <c r="U39849" s="27"/>
    </row>
    <row r="39850">
      <c r="S39850" s="27"/>
      <c r="T39850" s="27"/>
      <c r="U39850" s="27"/>
    </row>
    <row r="39853">
      <c r="S39853" s="27"/>
      <c r="T39853" s="27"/>
      <c r="U39853" s="27"/>
    </row>
    <row r="39854">
      <c r="S39854" s="27"/>
      <c r="T39854" s="27"/>
      <c r="U39854" s="27"/>
    </row>
    <row r="39856">
      <c r="T39856" s="27"/>
    </row>
    <row r="39859">
      <c r="S39859" s="27"/>
      <c r="T39859" s="27"/>
      <c r="U39859" s="27"/>
    </row>
    <row r="39862">
      <c r="S39862" s="27"/>
      <c r="T39862" s="27"/>
      <c r="U39862" s="27"/>
    </row>
    <row r="39863">
      <c r="S39863" s="27"/>
      <c r="T39863" s="27"/>
      <c r="U39863" s="27"/>
    </row>
    <row r="39865">
      <c r="S39865" s="27"/>
      <c r="T39865" s="27"/>
      <c r="U39865" s="27"/>
    </row>
    <row r="39866">
      <c r="S39866" s="27"/>
      <c r="T39866" s="27"/>
      <c r="U39866" s="27"/>
    </row>
    <row r="39868">
      <c r="S39868" s="27"/>
      <c r="T39868" s="27"/>
      <c r="U39868" s="27"/>
    </row>
    <row r="39869">
      <c r="S39869" s="27"/>
      <c r="T39869" s="27"/>
      <c r="U39869" s="27"/>
    </row>
    <row r="39871">
      <c r="S39871" s="27"/>
      <c r="T39871" s="27"/>
    </row>
    <row r="39874">
      <c r="S39874" s="27"/>
      <c r="T39874" s="27"/>
      <c r="U39874" s="27"/>
    </row>
    <row r="39875">
      <c r="S39875" s="27"/>
      <c r="T39875" s="27"/>
      <c r="U39875" s="27"/>
    </row>
    <row r="39877">
      <c r="S39877" s="27"/>
      <c r="T39877" s="27"/>
      <c r="U39877" s="27"/>
    </row>
    <row r="39878">
      <c r="S39878" s="27"/>
      <c r="T39878" s="27"/>
      <c r="U39878" s="27"/>
    </row>
    <row r="39880">
      <c r="S39880" s="26"/>
      <c r="T39880" s="26"/>
      <c r="U39880" s="26"/>
    </row>
    <row r="39883">
      <c r="S39883" s="27"/>
      <c r="T39883" s="27"/>
      <c r="U39883" s="27"/>
    </row>
    <row r="39886">
      <c r="T39886" s="26"/>
      <c r="U39886" s="26"/>
    </row>
    <row r="39889">
      <c r="S39889" s="27"/>
      <c r="T39889" s="27"/>
      <c r="U39889" s="27"/>
    </row>
    <row r="39890">
      <c r="S39890" s="27"/>
      <c r="T39890" s="27"/>
      <c r="U39890" s="27"/>
    </row>
    <row r="39892">
      <c r="S39892" s="27"/>
      <c r="T39892" s="27"/>
      <c r="U39892" s="27"/>
    </row>
    <row r="39893">
      <c r="S39893" s="27"/>
      <c r="T39893" s="27"/>
      <c r="U39893" s="27"/>
    </row>
    <row r="39898">
      <c r="U39898" s="34"/>
    </row>
    <row r="39901">
      <c r="S39901" s="27"/>
      <c r="T39901" s="27"/>
      <c r="U39901" s="27"/>
    </row>
    <row r="39904">
      <c r="S39904" s="27"/>
      <c r="T39904" s="27"/>
      <c r="U39904" s="27"/>
    </row>
    <row r="39905">
      <c r="S39905" s="27"/>
      <c r="T39905" s="27"/>
      <c r="U39905" s="27"/>
    </row>
    <row r="39907">
      <c r="S39907" s="27"/>
      <c r="T39907" s="27"/>
      <c r="U39907" s="27"/>
    </row>
    <row r="39908">
      <c r="S39908" s="27"/>
      <c r="T39908" s="27"/>
      <c r="U39908" s="27"/>
    </row>
    <row r="39910">
      <c r="S39910" s="27"/>
      <c r="T39910" s="27"/>
      <c r="U39910" s="27"/>
    </row>
    <row r="39911">
      <c r="S39911" s="27"/>
      <c r="T39911" s="27"/>
      <c r="U39911" s="27"/>
    </row>
    <row r="39913">
      <c r="S39913" s="27"/>
      <c r="T39913" s="27"/>
      <c r="U39913" s="27"/>
    </row>
    <row r="39914">
      <c r="S39914" s="27"/>
      <c r="T39914" s="27"/>
      <c r="U39914" s="27"/>
    </row>
    <row r="39916">
      <c r="S39916" s="27"/>
      <c r="T39916" s="27"/>
      <c r="U39916" s="27"/>
    </row>
    <row r="39917">
      <c r="S39917" s="27"/>
      <c r="T39917" s="27"/>
      <c r="U39917" s="27"/>
    </row>
    <row r="39919">
      <c r="S39919" s="27"/>
      <c r="T39919" s="27"/>
      <c r="U39919" s="27"/>
    </row>
    <row r="39920">
      <c r="S39920" s="27"/>
      <c r="T39920" s="27"/>
      <c r="U39920" s="27"/>
    </row>
    <row r="39922">
      <c r="S39922" s="27"/>
      <c r="T39922" s="27"/>
      <c r="U39922" s="27"/>
    </row>
    <row r="39923">
      <c r="S39923" s="27"/>
      <c r="T39923" s="27"/>
      <c r="U39923" s="27"/>
    </row>
    <row r="39925">
      <c r="S39925" s="27"/>
      <c r="T39925" s="27"/>
      <c r="U39925" s="27"/>
    </row>
    <row r="39926">
      <c r="S39926" s="27"/>
      <c r="T39926" s="27"/>
      <c r="U39926" s="27"/>
    </row>
    <row r="39928">
      <c r="S39928" s="27"/>
      <c r="T39928" s="27"/>
      <c r="U39928" s="27"/>
    </row>
    <row r="39929">
      <c r="S39929" s="27"/>
      <c r="T39929" s="27"/>
      <c r="U39929" s="27"/>
    </row>
    <row r="39931">
      <c r="S39931" s="27"/>
      <c r="T39931" s="27"/>
      <c r="U39931" s="27"/>
    </row>
    <row r="39932">
      <c r="S39932" s="27"/>
      <c r="T39932" s="27"/>
      <c r="U39932" s="27"/>
    </row>
    <row r="39934">
      <c r="S39934" s="27"/>
      <c r="T39934" s="27"/>
      <c r="U39934" s="27"/>
    </row>
    <row r="39935">
      <c r="S39935" s="27"/>
      <c r="T39935" s="27"/>
      <c r="U39935" s="27"/>
    </row>
    <row r="39937">
      <c r="S39937" s="27"/>
      <c r="T39937" s="27"/>
      <c r="U39937" s="27"/>
    </row>
    <row r="39938">
      <c r="S39938" s="27"/>
      <c r="T39938" s="27"/>
      <c r="U39938" s="27"/>
    </row>
    <row r="39940">
      <c r="S39940" s="27"/>
      <c r="T39940" s="27"/>
      <c r="U39940" s="27"/>
    </row>
    <row r="39941">
      <c r="S39941" s="27"/>
      <c r="T39941" s="27"/>
      <c r="U39941" s="27"/>
    </row>
    <row r="39943">
      <c r="S39943" s="27"/>
      <c r="T39943" s="27"/>
      <c r="U39943" s="27"/>
    </row>
    <row r="39944">
      <c r="S39944" s="27"/>
      <c r="T39944" s="27"/>
      <c r="U39944" s="27"/>
    </row>
    <row r="39946">
      <c r="S39946" s="27"/>
      <c r="T39946" s="27"/>
      <c r="U39946" s="27"/>
    </row>
    <row r="39947">
      <c r="S39947" s="27"/>
      <c r="T39947" s="27"/>
      <c r="U39947" s="27"/>
    </row>
    <row r="39949">
      <c r="S39949" s="27"/>
      <c r="T39949" s="27"/>
      <c r="U39949" s="27"/>
    </row>
    <row r="39950">
      <c r="S39950" s="27"/>
      <c r="T39950" s="27"/>
      <c r="U39950" s="27"/>
    </row>
    <row r="39952">
      <c r="S39952" s="27"/>
      <c r="T39952" s="27"/>
      <c r="U39952" s="27"/>
    </row>
    <row r="39953">
      <c r="S39953" s="27"/>
      <c r="T39953" s="27"/>
      <c r="U39953" s="27"/>
    </row>
    <row r="39955">
      <c r="S39955" s="27"/>
      <c r="T39955" s="27"/>
      <c r="U39955" s="27"/>
    </row>
    <row r="39956">
      <c r="S39956" s="27"/>
      <c r="T39956" s="27"/>
      <c r="U39956" s="27"/>
    </row>
    <row r="39958">
      <c r="S39958" s="27"/>
      <c r="T39958" s="27"/>
      <c r="U39958" s="27"/>
    </row>
    <row r="39959">
      <c r="S39959" s="27"/>
      <c r="T39959" s="27"/>
      <c r="U39959" s="27"/>
    </row>
    <row r="39961">
      <c r="S39961" s="27"/>
      <c r="T39961" s="27"/>
      <c r="U39961" s="27"/>
    </row>
    <row r="39962">
      <c r="S39962" s="27"/>
      <c r="T39962" s="27"/>
      <c r="U39962" s="27"/>
    </row>
    <row r="39964">
      <c r="S39964" s="27"/>
      <c r="T39964" s="27"/>
      <c r="U39964" s="27"/>
    </row>
    <row r="39965">
      <c r="S39965" s="27"/>
      <c r="T39965" s="27"/>
      <c r="U39965" s="27"/>
    </row>
    <row r="39967">
      <c r="S39967" s="27"/>
      <c r="T39967" s="27"/>
      <c r="U39967" s="27"/>
    </row>
    <row r="39968">
      <c r="S39968" s="27"/>
      <c r="T39968" s="27"/>
      <c r="U39968" s="27"/>
    </row>
    <row r="39970">
      <c r="S39970" s="27"/>
      <c r="T39970" s="27"/>
      <c r="U39970" s="27"/>
    </row>
    <row r="39971">
      <c r="S39971" s="27"/>
      <c r="T39971" s="27"/>
      <c r="U39971" s="27"/>
    </row>
    <row r="39973">
      <c r="S39973" s="27"/>
      <c r="T39973" s="27"/>
      <c r="U39973" s="27"/>
    </row>
    <row r="39974">
      <c r="S39974" s="27"/>
      <c r="T39974" s="27"/>
      <c r="U39974" s="27"/>
    </row>
    <row r="39976">
      <c r="S39976" s="27"/>
      <c r="T39976" s="27"/>
      <c r="U39976" s="27"/>
    </row>
    <row r="39977">
      <c r="S39977" s="27"/>
      <c r="T39977" s="27"/>
      <c r="U39977" s="27"/>
    </row>
    <row r="39979">
      <c r="S39979" s="27"/>
      <c r="T39979" s="27"/>
      <c r="U39979" s="27"/>
    </row>
    <row r="39980">
      <c r="S39980" s="27"/>
      <c r="T39980" s="27"/>
      <c r="U39980" s="27"/>
    </row>
    <row r="39982">
      <c r="S39982" s="27"/>
      <c r="T39982" s="27"/>
      <c r="U39982" s="27"/>
    </row>
    <row r="39985">
      <c r="S39985" s="33"/>
      <c r="U39985" s="33"/>
    </row>
    <row r="39986">
      <c r="S39986" s="27"/>
      <c r="U39986" s="27"/>
    </row>
    <row r="39988">
      <c r="S39988" s="27"/>
      <c r="T39988" s="27"/>
      <c r="U39988" s="27"/>
    </row>
    <row r="39989">
      <c r="S39989" s="27"/>
      <c r="T39989" s="27"/>
      <c r="U39989" s="27"/>
    </row>
    <row r="39991">
      <c r="S39991" s="27"/>
      <c r="T39991" s="27"/>
      <c r="U39991" s="27"/>
    </row>
    <row r="39992">
      <c r="S39992" s="26"/>
      <c r="T39992" s="26"/>
      <c r="U39992" s="26"/>
    </row>
    <row r="39994">
      <c r="S39994" s="27"/>
      <c r="T39994" s="27"/>
      <c r="U39994" s="27"/>
    </row>
    <row r="39995">
      <c r="S39995" s="27"/>
      <c r="T39995" s="27"/>
      <c r="U39995" s="27"/>
    </row>
    <row r="39997">
      <c r="S39997" s="27"/>
      <c r="T39997" s="27"/>
      <c r="U39997" s="27"/>
    </row>
    <row r="39998">
      <c r="S39998" s="27"/>
      <c r="T39998" s="27"/>
      <c r="U39998" s="27"/>
    </row>
    <row r="40000">
      <c r="S40000" s="27"/>
      <c r="T40000" s="27"/>
      <c r="U40000" s="27"/>
    </row>
    <row r="40001">
      <c r="S40001" s="27"/>
      <c r="T40001" s="27"/>
      <c r="U40001" s="27"/>
    </row>
    <row r="40003">
      <c r="S40003" s="27"/>
      <c r="T40003" s="26"/>
      <c r="U40003" s="27"/>
    </row>
    <row r="40006">
      <c r="S40006" s="27"/>
      <c r="T40006" s="26"/>
      <c r="U40006" s="26"/>
    </row>
    <row r="40009">
      <c r="S40009" s="27"/>
      <c r="T40009" s="27"/>
      <c r="U40009" s="27"/>
    </row>
    <row r="40011">
      <c r="S40011" s="27"/>
      <c r="T40011" s="27"/>
      <c r="U40011" s="27"/>
    </row>
    <row r="40013">
      <c r="S40013" s="26"/>
      <c r="T40013" s="26"/>
      <c r="U40013" s="27"/>
    </row>
    <row r="40016">
      <c r="U40016" s="27"/>
    </row>
    <row r="40019">
      <c r="S40019" s="27"/>
      <c r="T40019" s="27"/>
      <c r="U40019" s="27"/>
    </row>
    <row r="40020">
      <c r="S40020" s="27"/>
      <c r="T40020" s="27"/>
      <c r="U40020" s="27"/>
    </row>
    <row r="40022">
      <c r="S40022" s="27"/>
      <c r="T40022" s="27"/>
      <c r="U40022" s="27"/>
    </row>
    <row r="40023">
      <c r="S40023" s="27"/>
      <c r="T40023" s="27"/>
      <c r="U40023" s="27"/>
    </row>
    <row r="40025">
      <c r="S40025" s="27"/>
      <c r="T40025" s="27"/>
      <c r="U40025" s="27"/>
    </row>
    <row r="40026">
      <c r="S40026" s="27"/>
      <c r="U40026" s="27"/>
    </row>
    <row r="40028">
      <c r="S40028" s="27"/>
      <c r="T40028" s="27"/>
      <c r="U40028" s="27"/>
    </row>
    <row r="40029">
      <c r="S40029" s="27"/>
      <c r="T40029" s="26"/>
      <c r="U40029" s="27"/>
    </row>
    <row r="40031">
      <c r="S40031" s="27"/>
      <c r="T40031" s="27"/>
    </row>
    <row r="40032">
      <c r="S40032" s="27"/>
      <c r="T40032" s="27"/>
      <c r="U40032" s="27"/>
    </row>
    <row r="40037">
      <c r="S40037" s="27"/>
      <c r="T40037" s="27"/>
      <c r="U40037" s="27"/>
    </row>
    <row r="40038">
      <c r="S40038" s="27"/>
      <c r="T40038" s="27"/>
      <c r="U40038" s="27"/>
    </row>
    <row r="40040">
      <c r="S40040" s="27"/>
      <c r="T40040" s="27"/>
    </row>
    <row r="40041">
      <c r="S40041" s="27"/>
      <c r="T40041" s="27"/>
    </row>
    <row r="40043">
      <c r="S40043" s="27"/>
      <c r="T40043" s="27"/>
      <c r="U40043" s="27"/>
    </row>
    <row r="40044">
      <c r="S40044" s="27"/>
      <c r="T40044" s="27"/>
      <c r="U40044" s="27"/>
    </row>
    <row r="40046">
      <c r="S40046" s="33"/>
      <c r="T40046" s="33"/>
      <c r="U40046" s="27"/>
    </row>
    <row r="40049">
      <c r="S40049" s="27"/>
      <c r="T40049" s="27"/>
      <c r="U40049" s="27"/>
    </row>
    <row r="40050">
      <c r="S40050" s="27"/>
      <c r="T40050" s="27"/>
      <c r="U40050" s="27"/>
    </row>
    <row r="40052">
      <c r="S40052" s="27"/>
      <c r="T40052" s="27"/>
      <c r="U40052" s="27"/>
    </row>
    <row r="40055">
      <c r="S40055" s="27"/>
      <c r="T40055" s="27"/>
      <c r="U40055" s="33"/>
    </row>
    <row r="40056">
      <c r="S40056" s="33"/>
      <c r="T40056" s="33"/>
      <c r="U40056" s="33"/>
    </row>
    <row r="40061">
      <c r="S40061" s="27"/>
      <c r="T40061" s="27"/>
      <c r="U40061" s="27"/>
    </row>
    <row r="40062">
      <c r="S40062" s="27"/>
      <c r="T40062" s="27"/>
      <c r="U40062" s="27"/>
    </row>
    <row r="40064">
      <c r="S40064" s="27"/>
      <c r="T40064" s="27"/>
      <c r="U40064" s="27"/>
    </row>
    <row r="40065">
      <c r="S40065" s="27"/>
      <c r="T40065" s="27"/>
      <c r="U40065" s="27"/>
    </row>
    <row r="40067">
      <c r="S40067" s="27"/>
      <c r="T40067" s="27"/>
      <c r="U40067" s="27"/>
    </row>
    <row r="40068">
      <c r="S40068" s="27"/>
      <c r="T40068" s="27"/>
      <c r="U40068" s="27"/>
    </row>
    <row r="40070">
      <c r="S40070" s="27"/>
      <c r="T40070" s="27"/>
      <c r="U40070" s="27"/>
    </row>
    <row r="40071">
      <c r="S40071" s="27"/>
      <c r="T40071" s="27"/>
      <c r="U40071" s="27"/>
    </row>
    <row r="40073">
      <c r="U40073" s="27"/>
    </row>
    <row r="40076">
      <c r="S40076" s="27"/>
      <c r="T40076" s="27"/>
      <c r="U40076" s="27"/>
    </row>
    <row r="40077">
      <c r="S40077" s="27"/>
      <c r="T40077" s="27"/>
      <c r="U40077" s="27"/>
    </row>
    <row r="40079">
      <c r="S40079" s="27"/>
      <c r="T40079" s="27"/>
      <c r="U40079" s="27"/>
    </row>
    <row r="40080">
      <c r="S40080" s="27"/>
      <c r="T40080" s="27"/>
      <c r="U40080" s="27"/>
    </row>
    <row r="40082">
      <c r="S40082" s="27"/>
      <c r="T40082" s="27"/>
      <c r="U40082" s="27"/>
    </row>
    <row r="40085">
      <c r="S40085" s="27"/>
      <c r="T40085" s="26"/>
      <c r="U40085" s="27"/>
    </row>
    <row r="40086">
      <c r="S40086" s="27"/>
      <c r="U40086" s="27"/>
    </row>
    <row r="40088">
      <c r="S40088" s="27"/>
      <c r="T40088" s="27"/>
      <c r="U40088" s="27"/>
    </row>
    <row r="40089">
      <c r="S40089" s="27"/>
      <c r="T40089" s="27"/>
      <c r="U40089" s="27"/>
    </row>
    <row r="40091">
      <c r="S40091" s="27"/>
      <c r="T40091" s="27"/>
      <c r="U40091" s="27"/>
    </row>
    <row r="40092">
      <c r="S40092" s="27"/>
      <c r="T40092" s="27"/>
      <c r="U40092" s="27"/>
    </row>
    <row r="40094">
      <c r="S40094" s="27"/>
      <c r="T40094" s="27"/>
      <c r="U40094" s="27"/>
    </row>
    <row r="40097">
      <c r="S40097" s="27"/>
      <c r="T40097" s="27"/>
      <c r="U40097" s="27"/>
    </row>
    <row r="40098">
      <c r="S40098" s="26"/>
      <c r="T40098" s="26"/>
      <c r="U40098" s="26"/>
    </row>
    <row r="40100">
      <c r="S40100" s="26"/>
      <c r="T40100" s="26"/>
      <c r="U40100" s="26"/>
    </row>
    <row r="40103">
      <c r="S40103" s="27"/>
      <c r="T40103" s="27"/>
      <c r="U40103" s="27"/>
    </row>
    <row r="40106">
      <c r="S40106" s="27"/>
      <c r="T40106" s="27"/>
      <c r="U40106" s="27"/>
    </row>
    <row r="40107">
      <c r="S40107" s="27"/>
      <c r="T40107" s="27"/>
      <c r="U40107" s="27"/>
    </row>
    <row r="40109">
      <c r="S40109" s="27"/>
      <c r="T40109" s="27"/>
      <c r="U40109" s="27"/>
    </row>
    <row r="40110">
      <c r="S40110" s="27"/>
      <c r="T40110" s="27"/>
      <c r="U40110" s="27"/>
    </row>
    <row r="40112">
      <c r="S40112" s="26"/>
    </row>
    <row r="40113">
      <c r="T40113" s="26"/>
      <c r="U40113" s="26"/>
    </row>
    <row r="40116">
      <c r="S40116" s="27"/>
      <c r="T40116" s="27"/>
      <c r="U40116" s="27"/>
    </row>
    <row r="40117">
      <c r="S40117" s="27"/>
      <c r="T40117" s="27"/>
      <c r="U40117" s="27"/>
    </row>
    <row r="40119">
      <c r="S40119" s="27"/>
      <c r="T40119" s="27"/>
      <c r="U40119" s="27"/>
    </row>
    <row r="40120">
      <c r="S40120" s="27"/>
      <c r="T40120" s="27"/>
      <c r="U40120" s="27"/>
    </row>
    <row r="40122">
      <c r="S40122" s="27"/>
      <c r="T40122" s="27"/>
      <c r="U40122" s="27"/>
    </row>
    <row r="40123">
      <c r="S40123" s="27"/>
      <c r="T40123" s="27"/>
      <c r="U40123" s="27"/>
    </row>
    <row r="40125">
      <c r="S40125" s="27"/>
      <c r="T40125" s="27"/>
      <c r="U40125" s="27"/>
    </row>
    <row r="40126">
      <c r="S40126" s="27"/>
      <c r="T40126" s="27"/>
      <c r="U40126" s="27"/>
    </row>
    <row r="40128">
      <c r="S40128" s="27"/>
      <c r="T40128" s="27"/>
      <c r="U40128" s="27"/>
    </row>
    <row r="40129">
      <c r="S40129" s="27"/>
      <c r="T40129" s="27"/>
      <c r="U40129" s="27"/>
    </row>
    <row r="40131">
      <c r="S40131" s="27"/>
      <c r="T40131" s="27"/>
      <c r="U40131" s="27"/>
    </row>
    <row r="40132">
      <c r="S40132" s="27"/>
      <c r="T40132" s="27"/>
      <c r="U40132" s="27"/>
    </row>
    <row r="40134">
      <c r="S40134" s="27"/>
      <c r="T40134" s="27"/>
      <c r="U40134" s="27"/>
    </row>
    <row r="40135">
      <c r="S40135" s="27"/>
      <c r="T40135" s="27"/>
      <c r="U40135" s="27"/>
    </row>
    <row r="40137">
      <c r="S40137" s="27"/>
      <c r="T40137" s="27"/>
      <c r="U40137" s="27"/>
    </row>
    <row r="40138">
      <c r="S40138" s="27"/>
      <c r="T40138" s="27"/>
      <c r="U40138" s="27"/>
    </row>
    <row r="40140">
      <c r="S40140" s="27"/>
      <c r="T40140" s="27"/>
      <c r="U40140" s="27"/>
    </row>
    <row r="40141">
      <c r="S40141" s="27"/>
      <c r="T40141" s="27"/>
      <c r="U40141" s="27"/>
    </row>
    <row r="40143">
      <c r="S40143" s="27"/>
      <c r="T40143" s="27"/>
      <c r="U40143" s="27"/>
    </row>
    <row r="40144">
      <c r="S40144" s="27"/>
      <c r="T40144" s="27"/>
      <c r="U40144" s="27"/>
    </row>
    <row r="40146">
      <c r="S40146" s="27"/>
      <c r="T40146" s="27"/>
      <c r="U40146" s="27"/>
    </row>
    <row r="40147">
      <c r="S40147" s="27"/>
      <c r="T40147" s="27"/>
      <c r="U40147" s="27"/>
    </row>
    <row r="40149">
      <c r="S40149" s="27"/>
      <c r="T40149" s="27"/>
      <c r="U40149" s="27"/>
    </row>
    <row r="40150">
      <c r="S40150" s="27"/>
      <c r="T40150" s="27"/>
      <c r="U40150" s="27"/>
    </row>
    <row r="40152">
      <c r="S40152" s="27"/>
      <c r="T40152" s="27"/>
      <c r="U40152" s="27"/>
    </row>
    <row r="40153">
      <c r="S40153" s="27"/>
      <c r="T40153" s="27"/>
      <c r="U40153" s="27"/>
    </row>
    <row r="40155">
      <c r="S40155" s="27"/>
      <c r="T40155" s="27"/>
      <c r="U40155" s="27"/>
    </row>
    <row r="40156">
      <c r="S40156" s="27"/>
      <c r="T40156" s="27"/>
      <c r="U40156" s="27"/>
    </row>
    <row r="40158">
      <c r="S40158" s="27"/>
      <c r="T40158" s="27"/>
      <c r="U40158" s="27"/>
    </row>
    <row r="40159">
      <c r="S40159" s="27"/>
      <c r="T40159" s="27"/>
      <c r="U40159" s="27"/>
    </row>
    <row r="40161">
      <c r="S40161" s="27"/>
      <c r="T40161" s="27"/>
      <c r="U40161" s="27"/>
    </row>
    <row r="40162">
      <c r="S40162" s="27"/>
      <c r="T40162" s="27"/>
      <c r="U40162" s="27"/>
    </row>
    <row r="40164">
      <c r="S40164" s="27"/>
      <c r="T40164" s="27"/>
      <c r="U40164" s="27"/>
    </row>
    <row r="40165">
      <c r="S40165" s="27"/>
      <c r="T40165" s="27"/>
      <c r="U40165" s="27"/>
    </row>
    <row r="40167">
      <c r="S40167" s="27"/>
      <c r="T40167" s="27"/>
      <c r="U40167" s="27"/>
    </row>
    <row r="40168">
      <c r="S40168" s="27"/>
      <c r="T40168" s="27"/>
      <c r="U40168" s="27"/>
    </row>
    <row r="40170">
      <c r="S40170" s="27"/>
      <c r="T40170" s="27"/>
      <c r="U40170" s="27"/>
    </row>
    <row r="40171">
      <c r="S40171" s="27"/>
      <c r="T40171" s="27"/>
      <c r="U40171" s="27"/>
    </row>
    <row r="40173">
      <c r="S40173" s="27"/>
      <c r="T40173" s="27"/>
      <c r="U40173" s="27"/>
    </row>
    <row r="40174">
      <c r="S40174" s="27"/>
      <c r="T40174" s="27"/>
      <c r="U40174" s="27"/>
    </row>
    <row r="40176">
      <c r="S40176" s="27"/>
      <c r="T40176" s="27"/>
      <c r="U40176" s="27"/>
    </row>
    <row r="40177">
      <c r="S40177" s="27"/>
      <c r="T40177" s="27"/>
      <c r="U40177" s="27"/>
    </row>
    <row r="40179">
      <c r="S40179" s="27"/>
      <c r="T40179" s="27"/>
      <c r="U40179" s="27"/>
    </row>
    <row r="40180">
      <c r="S40180" s="27"/>
      <c r="T40180" s="27"/>
      <c r="U40180" s="27"/>
    </row>
    <row r="40182">
      <c r="S40182" s="27"/>
      <c r="T40182" s="27"/>
      <c r="U40182" s="27"/>
    </row>
    <row r="40183">
      <c r="S40183" s="27"/>
      <c r="T40183" s="27"/>
      <c r="U40183" s="27"/>
    </row>
    <row r="40185">
      <c r="S40185" s="27"/>
      <c r="T40185" s="27"/>
      <c r="U40185" s="27"/>
    </row>
    <row r="40186">
      <c r="S40186" s="27"/>
      <c r="T40186" s="27"/>
      <c r="U40186" s="27"/>
    </row>
    <row r="40188">
      <c r="S40188" s="27"/>
      <c r="T40188" s="27"/>
      <c r="U40188" s="27"/>
    </row>
    <row r="40189">
      <c r="S40189" s="27"/>
      <c r="T40189" s="27"/>
      <c r="U40189" s="27"/>
    </row>
    <row r="40191">
      <c r="S40191" s="27"/>
      <c r="T40191" s="27"/>
      <c r="U40191" s="27"/>
    </row>
    <row r="40192">
      <c r="S40192" s="27"/>
      <c r="T40192" s="27"/>
      <c r="U40192" s="27"/>
    </row>
    <row r="40194">
      <c r="S40194" s="27"/>
      <c r="T40194" s="27"/>
      <c r="U40194" s="27"/>
    </row>
    <row r="40195">
      <c r="S40195" s="27"/>
      <c r="T40195" s="27"/>
      <c r="U40195" s="27"/>
    </row>
    <row r="40197">
      <c r="S40197" s="27"/>
      <c r="T40197" s="27"/>
      <c r="U40197" s="27"/>
    </row>
    <row r="40198">
      <c r="S40198" s="27"/>
      <c r="T40198" s="27"/>
      <c r="U40198" s="27"/>
    </row>
    <row r="40200">
      <c r="S40200" s="27"/>
      <c r="T40200" s="27"/>
      <c r="U40200" s="27"/>
    </row>
    <row r="40201">
      <c r="S40201" s="27"/>
      <c r="T40201" s="27"/>
      <c r="U40201" s="27"/>
    </row>
    <row r="40203">
      <c r="S40203" s="27"/>
      <c r="T40203" s="27"/>
      <c r="U40203" s="27"/>
    </row>
    <row r="40204">
      <c r="S40204" s="27"/>
      <c r="T40204" s="27"/>
      <c r="U40204" s="27"/>
    </row>
    <row r="40206">
      <c r="S40206" s="27"/>
      <c r="T40206" s="27"/>
      <c r="U40206" s="27"/>
    </row>
    <row r="40207">
      <c r="S40207" s="27"/>
      <c r="T40207" s="27"/>
      <c r="U40207" s="27"/>
    </row>
    <row r="40209">
      <c r="S40209" s="27"/>
      <c r="T40209" s="27"/>
      <c r="U40209" s="27"/>
    </row>
    <row r="40211">
      <c r="S40211" s="27"/>
      <c r="T40211" s="27"/>
      <c r="U40211" s="27"/>
    </row>
    <row r="40212">
      <c r="S40212" s="27"/>
      <c r="T40212" s="27"/>
      <c r="U40212" s="27"/>
    </row>
    <row r="40214">
      <c r="S40214" s="27"/>
      <c r="T40214" s="27"/>
      <c r="U40214" s="27"/>
    </row>
    <row r="40215">
      <c r="S40215" s="27"/>
      <c r="T40215" s="27"/>
      <c r="U40215" s="27"/>
    </row>
    <row r="40217">
      <c r="S40217" s="27"/>
      <c r="T40217" s="27"/>
      <c r="U40217" s="27"/>
    </row>
    <row r="40218">
      <c r="S40218" s="27"/>
      <c r="T40218" s="27"/>
      <c r="U40218" s="27"/>
    </row>
    <row r="40220">
      <c r="S40220" s="27"/>
      <c r="T40220" s="27"/>
      <c r="U40220" s="27"/>
    </row>
    <row r="40221">
      <c r="S40221" s="27"/>
      <c r="T40221" s="27"/>
      <c r="U40221" s="27"/>
    </row>
    <row r="40223">
      <c r="S40223" s="27"/>
      <c r="T40223" s="27"/>
      <c r="U40223" s="27"/>
    </row>
    <row r="40224">
      <c r="S40224" s="27"/>
      <c r="T40224" s="27"/>
      <c r="U40224" s="27"/>
    </row>
    <row r="40226">
      <c r="S40226" s="27"/>
      <c r="T40226" s="27"/>
      <c r="U40226" s="27"/>
    </row>
    <row r="40227">
      <c r="S40227" s="27"/>
      <c r="T40227" s="27"/>
      <c r="U40227" s="27"/>
    </row>
    <row r="40229">
      <c r="S40229" s="27"/>
      <c r="T40229" s="27"/>
      <c r="U40229" s="27"/>
    </row>
    <row r="40230">
      <c r="S40230" s="27"/>
      <c r="T40230" s="27"/>
      <c r="U40230" s="27"/>
    </row>
    <row r="40232">
      <c r="S40232" s="27"/>
      <c r="T40232" s="27"/>
      <c r="U40232" s="27"/>
    </row>
    <row r="40234">
      <c r="S40234" s="27"/>
      <c r="T40234" s="27"/>
      <c r="U40234" s="27"/>
    </row>
    <row r="40236">
      <c r="T40236" s="27"/>
      <c r="U40236" s="27"/>
    </row>
    <row r="40238">
      <c r="S40238" s="27"/>
      <c r="T40238" s="27"/>
      <c r="U40238" s="27"/>
    </row>
    <row r="40241">
      <c r="S40241" s="27"/>
      <c r="T40241" s="27"/>
      <c r="U40241" s="27"/>
    </row>
    <row r="40243">
      <c r="S40243" s="27"/>
      <c r="T40243" s="27"/>
      <c r="U40243" s="27"/>
    </row>
    <row r="40244">
      <c r="S40244" s="27"/>
      <c r="T40244" s="27"/>
      <c r="U40244" s="27"/>
    </row>
    <row r="40246">
      <c r="S40246" s="27"/>
      <c r="T40246" s="27"/>
      <c r="U40246" s="27"/>
    </row>
    <row r="40247">
      <c r="S40247" s="33"/>
      <c r="T40247" s="33"/>
      <c r="U40247" s="33"/>
    </row>
    <row r="40249">
      <c r="S40249" s="27"/>
      <c r="T40249" s="27"/>
      <c r="U40249" s="27"/>
    </row>
    <row r="40250">
      <c r="S40250" s="27"/>
      <c r="T40250" s="27"/>
      <c r="U40250" s="27"/>
    </row>
    <row r="40253">
      <c r="S40253" s="27"/>
      <c r="T40253" s="27"/>
      <c r="U40253" s="27"/>
    </row>
    <row r="40255">
      <c r="S40255" s="27"/>
      <c r="T40255" s="27"/>
      <c r="U40255" s="27"/>
    </row>
    <row r="40256">
      <c r="S40256" s="27"/>
      <c r="T40256" s="27"/>
      <c r="U40256" s="27"/>
    </row>
    <row r="40258">
      <c r="S40258" s="27"/>
      <c r="T40258" s="27"/>
      <c r="U40258" s="27"/>
    </row>
    <row r="40259">
      <c r="S40259" s="27"/>
      <c r="T40259" s="27"/>
      <c r="U40259" s="27"/>
    </row>
    <row r="40261">
      <c r="S40261" s="27"/>
    </row>
    <row r="40264">
      <c r="S40264" s="27"/>
      <c r="T40264" s="27"/>
      <c r="U40264" s="27"/>
    </row>
    <row r="40267">
      <c r="S40267" s="27"/>
      <c r="T40267" s="27"/>
      <c r="U40267" s="27"/>
    </row>
    <row r="40268">
      <c r="S40268" s="27"/>
      <c r="T40268" s="27"/>
      <c r="U40268" s="27"/>
    </row>
    <row r="40270">
      <c r="S40270" s="27"/>
      <c r="T40270" s="27"/>
      <c r="U40270" s="27"/>
    </row>
    <row r="40271">
      <c r="S40271" s="27"/>
      <c r="T40271" s="27"/>
      <c r="U40271" s="27"/>
    </row>
    <row r="40273">
      <c r="S40273" s="27"/>
      <c r="T40273" s="27"/>
      <c r="U40273" s="27"/>
    </row>
    <row r="40274">
      <c r="S40274" s="27"/>
      <c r="T40274" s="27"/>
      <c r="U40274" s="27"/>
    </row>
    <row r="40276">
      <c r="S40276" s="26"/>
      <c r="T40276" s="26"/>
    </row>
    <row r="40279">
      <c r="S40279" s="27"/>
      <c r="T40279" s="27"/>
      <c r="U40279" s="27"/>
    </row>
    <row r="40280">
      <c r="S40280" s="27"/>
      <c r="T40280" s="27"/>
      <c r="U40280" s="27"/>
    </row>
    <row r="40282">
      <c r="S40282" s="27"/>
      <c r="T40282" s="27"/>
      <c r="U40282" s="27"/>
    </row>
    <row r="40283">
      <c r="S40283" s="27"/>
      <c r="T40283" s="27"/>
      <c r="U40283" s="27"/>
    </row>
    <row r="40285">
      <c r="S40285" s="27"/>
      <c r="T40285" s="26"/>
      <c r="U40285" s="27"/>
    </row>
    <row r="40286">
      <c r="S40286" s="27"/>
      <c r="U40286" s="27"/>
    </row>
    <row r="40288">
      <c r="S40288" s="27"/>
      <c r="T40288" s="27"/>
      <c r="U40288" s="27"/>
    </row>
    <row r="40294">
      <c r="S40294" s="27"/>
      <c r="T40294" s="27"/>
      <c r="U40294" s="27"/>
    </row>
    <row r="40295">
      <c r="S40295" s="27"/>
      <c r="T40295" s="27"/>
      <c r="U40295" s="27"/>
    </row>
    <row r="40297">
      <c r="S40297" s="27"/>
      <c r="T40297" s="27"/>
      <c r="U40297" s="27"/>
    </row>
    <row r="40298">
      <c r="S40298" s="27"/>
      <c r="T40298" s="27"/>
      <c r="U40298" s="27"/>
    </row>
    <row r="40306">
      <c r="S40306" s="27"/>
      <c r="T40306" s="27"/>
      <c r="U40306" s="27"/>
    </row>
    <row r="40309">
      <c r="S40309" s="27"/>
      <c r="T40309" s="27"/>
      <c r="U40309" s="27"/>
    </row>
    <row r="40310">
      <c r="S40310" s="27"/>
      <c r="T40310" s="27"/>
      <c r="U40310" s="27"/>
    </row>
    <row r="40312">
      <c r="S40312" s="27"/>
      <c r="T40312" s="27"/>
      <c r="U40312" s="27"/>
    </row>
    <row r="40313">
      <c r="S40313" s="27"/>
      <c r="T40313" s="27"/>
      <c r="U40313" s="27"/>
    </row>
    <row r="40315">
      <c r="S40315" s="27"/>
      <c r="T40315" s="27"/>
      <c r="U40315" s="27"/>
    </row>
    <row r="40316">
      <c r="S40316" s="27"/>
      <c r="T40316" s="27"/>
      <c r="U40316" s="27"/>
    </row>
    <row r="40318">
      <c r="S40318" s="27"/>
      <c r="T40318" s="27"/>
      <c r="U40318" s="27"/>
    </row>
    <row r="40319">
      <c r="S40319" s="27"/>
      <c r="T40319" s="27"/>
      <c r="U40319" s="27"/>
    </row>
    <row r="40321">
      <c r="S40321" s="27"/>
      <c r="T40321" s="27"/>
      <c r="U40321" s="27"/>
    </row>
    <row r="40322">
      <c r="S40322" s="27"/>
      <c r="T40322" s="27"/>
      <c r="U40322" s="27"/>
    </row>
    <row r="40324">
      <c r="S40324" s="27"/>
      <c r="T40324" s="27"/>
      <c r="U40324" s="27"/>
    </row>
    <row r="40325">
      <c r="S40325" s="27"/>
      <c r="T40325" s="27"/>
      <c r="U40325" s="27"/>
    </row>
    <row r="40327">
      <c r="S40327" s="27"/>
      <c r="T40327" s="27"/>
      <c r="U40327" s="27"/>
    </row>
    <row r="40328">
      <c r="S40328" s="27"/>
      <c r="T40328" s="27"/>
      <c r="U40328" s="27"/>
    </row>
    <row r="40330">
      <c r="S40330" s="27"/>
      <c r="T40330" s="27"/>
      <c r="U40330" s="27"/>
    </row>
    <row r="40331">
      <c r="S40331" s="27"/>
      <c r="T40331" s="27"/>
      <c r="U40331" s="27"/>
    </row>
    <row r="40333">
      <c r="S40333" s="27"/>
      <c r="T40333" s="27"/>
      <c r="U40333" s="27"/>
    </row>
    <row r="40334">
      <c r="S40334" s="27"/>
      <c r="T40334" s="27"/>
      <c r="U40334" s="27"/>
    </row>
    <row r="40336">
      <c r="S40336" s="27"/>
      <c r="T40336" s="27"/>
      <c r="U40336" s="27"/>
    </row>
    <row r="40337">
      <c r="S40337" s="27"/>
      <c r="T40337" s="27"/>
      <c r="U40337" s="27"/>
    </row>
    <row r="40339">
      <c r="S40339" s="27"/>
      <c r="T40339" s="27"/>
      <c r="U40339" s="27"/>
    </row>
    <row r="40340">
      <c r="S40340" s="27"/>
      <c r="T40340" s="27"/>
      <c r="U40340" s="27"/>
    </row>
    <row r="40342">
      <c r="S40342" s="27"/>
      <c r="T40342" s="27"/>
      <c r="U40342" s="27"/>
    </row>
    <row r="40343">
      <c r="S40343" s="27"/>
      <c r="T40343" s="27"/>
      <c r="U40343" s="27"/>
    </row>
    <row r="40345">
      <c r="S40345" s="27"/>
      <c r="T40345" s="27"/>
      <c r="U40345" s="27"/>
    </row>
    <row r="40346">
      <c r="S40346" s="27"/>
      <c r="T40346" s="27"/>
      <c r="U40346" s="27"/>
    </row>
    <row r="40348">
      <c r="S40348" s="27"/>
      <c r="T40348" s="27"/>
      <c r="U40348" s="27"/>
    </row>
    <row r="40349">
      <c r="S40349" s="27"/>
      <c r="T40349" s="27"/>
      <c r="U40349" s="27"/>
    </row>
    <row r="40351">
      <c r="S40351" s="26"/>
      <c r="T40351" s="26"/>
      <c r="U40351" s="27"/>
    </row>
    <row r="40352">
      <c r="S40352" s="26"/>
      <c r="T40352" s="26"/>
      <c r="U40352" s="27"/>
    </row>
    <row r="40354">
      <c r="S40354" s="27"/>
      <c r="T40354" s="27"/>
      <c r="U40354" s="27"/>
    </row>
    <row r="40355">
      <c r="S40355" s="27"/>
      <c r="T40355" s="27"/>
      <c r="U40355" s="27"/>
    </row>
    <row r="40357">
      <c r="S40357" s="27"/>
      <c r="T40357" s="27"/>
      <c r="U40357" s="27"/>
    </row>
    <row r="40358">
      <c r="S40358" s="27"/>
      <c r="T40358" s="27"/>
      <c r="U40358" s="27"/>
    </row>
    <row r="40360">
      <c r="S40360" s="27"/>
      <c r="T40360" s="27"/>
      <c r="U40360" s="27"/>
    </row>
    <row r="40361">
      <c r="S40361" s="27"/>
      <c r="T40361" s="27"/>
      <c r="U40361" s="27"/>
    </row>
    <row r="40363">
      <c r="S40363" s="27"/>
      <c r="T40363" s="27"/>
      <c r="U40363" s="27"/>
    </row>
    <row r="40364">
      <c r="S40364" s="27"/>
      <c r="T40364" s="27"/>
      <c r="U40364" s="27"/>
    </row>
    <row r="40366">
      <c r="S40366" s="27"/>
      <c r="T40366" s="27"/>
      <c r="U40366" s="27"/>
    </row>
    <row r="40367">
      <c r="S40367" s="27"/>
      <c r="T40367" s="27"/>
      <c r="U40367" s="27"/>
    </row>
    <row r="40369">
      <c r="S40369" s="27"/>
      <c r="T40369" s="27"/>
      <c r="U40369" s="27"/>
    </row>
    <row r="40370">
      <c r="S40370" s="27"/>
      <c r="T40370" s="27"/>
      <c r="U40370" s="27"/>
    </row>
    <row r="40372">
      <c r="S40372" s="27"/>
      <c r="T40372" s="27"/>
      <c r="U40372" s="27"/>
    </row>
    <row r="40373">
      <c r="S40373" s="27"/>
      <c r="T40373" s="27"/>
      <c r="U40373" s="27"/>
    </row>
    <row r="40375">
      <c r="S40375" s="27"/>
      <c r="T40375" s="27"/>
      <c r="U40375" s="27"/>
    </row>
    <row r="40376">
      <c r="S40376" s="27"/>
      <c r="T40376" s="27"/>
      <c r="U40376" s="27"/>
    </row>
    <row r="40378">
      <c r="S40378" s="27"/>
      <c r="T40378" s="27"/>
      <c r="U40378" s="27"/>
    </row>
    <row r="40379">
      <c r="S40379" s="27"/>
      <c r="T40379" s="27"/>
      <c r="U40379" s="27"/>
    </row>
    <row r="40384">
      <c r="S40384" s="27"/>
      <c r="T40384" s="27"/>
      <c r="U40384" s="27"/>
    </row>
    <row r="40385">
      <c r="U40385" s="27"/>
    </row>
    <row r="40387">
      <c r="S40387" s="27"/>
      <c r="T40387" s="27"/>
      <c r="U40387" s="27"/>
    </row>
    <row r="40390">
      <c r="S40390" s="33"/>
      <c r="T40390" s="33"/>
      <c r="U40390" s="33"/>
    </row>
    <row r="40391">
      <c r="S40391" s="27"/>
      <c r="T40391" s="27"/>
      <c r="U40391" s="27"/>
    </row>
    <row r="40393">
      <c r="S40393" s="27"/>
      <c r="T40393" s="27"/>
    </row>
    <row r="40394">
      <c r="S40394" s="27"/>
      <c r="T40394" s="27"/>
    </row>
    <row r="40397">
      <c r="S40397" s="27"/>
      <c r="T40397" s="27"/>
      <c r="U40397" s="27"/>
    </row>
    <row r="40398">
      <c r="S40398" s="27"/>
      <c r="T40398" s="27"/>
      <c r="U40398" s="27"/>
    </row>
    <row r="40400">
      <c r="S40400" s="27"/>
      <c r="T40400" s="27"/>
      <c r="U40400" s="27"/>
    </row>
    <row r="40401">
      <c r="S40401" s="27"/>
      <c r="T40401" s="27"/>
      <c r="U40401" s="27"/>
    </row>
    <row r="40403">
      <c r="S40403" s="27"/>
      <c r="T40403" s="27"/>
      <c r="U40403" s="27"/>
    </row>
    <row r="40404">
      <c r="S40404" s="27"/>
      <c r="T40404" s="27"/>
      <c r="U40404" s="27"/>
    </row>
    <row r="40409">
      <c r="S40409" s="26"/>
      <c r="T40409" s="26"/>
      <c r="U40409" s="26"/>
    </row>
    <row r="40414">
      <c r="S40414" s="27"/>
      <c r="T40414" s="27"/>
      <c r="U40414" s="27"/>
    </row>
    <row r="40416">
      <c r="S40416" s="27"/>
      <c r="T40416" s="27"/>
      <c r="U40416" s="27"/>
    </row>
    <row r="40419">
      <c r="S40419" s="27"/>
      <c r="T40419" s="27"/>
      <c r="U40419" s="27"/>
    </row>
    <row r="40422">
      <c r="S40422" s="27"/>
      <c r="T40422" s="27"/>
      <c r="U40422" s="27"/>
    </row>
    <row r="40423">
      <c r="S40423" s="27"/>
      <c r="T40423" s="27"/>
      <c r="U40423" s="27"/>
    </row>
    <row r="40425">
      <c r="S40425" s="27"/>
      <c r="T40425" s="27"/>
      <c r="U40425" s="27"/>
    </row>
    <row r="40426">
      <c r="S40426" s="27"/>
      <c r="T40426" s="27"/>
      <c r="U40426" s="27"/>
    </row>
    <row r="40428">
      <c r="S40428" s="27"/>
      <c r="T40428" s="27"/>
      <c r="U40428" s="27"/>
    </row>
    <row r="40429">
      <c r="T40429" s="27"/>
      <c r="U40429" s="27"/>
    </row>
    <row r="40431">
      <c r="S40431" s="27"/>
      <c r="T40431" s="27"/>
      <c r="U40431" s="27"/>
    </row>
    <row r="40432">
      <c r="S40432" s="26"/>
      <c r="T40432" s="27"/>
      <c r="U40432" s="27"/>
    </row>
    <row r="40434">
      <c r="S40434" s="27"/>
      <c r="T40434" s="27"/>
      <c r="U40434" s="27"/>
    </row>
    <row r="40435">
      <c r="S40435" s="27"/>
      <c r="T40435" s="27"/>
      <c r="U40435" s="27"/>
    </row>
    <row r="40440">
      <c r="S40440" s="27"/>
      <c r="T40440" s="27"/>
      <c r="U40440" s="27"/>
    </row>
    <row r="40441">
      <c r="S40441" s="27"/>
      <c r="T40441" s="27"/>
      <c r="U40441" s="27"/>
    </row>
    <row r="40443">
      <c r="S40443" s="27"/>
      <c r="T40443" s="27"/>
      <c r="U40443" s="27"/>
    </row>
    <row r="40444">
      <c r="S40444" s="27"/>
      <c r="T40444" s="27"/>
      <c r="U40444" s="27"/>
    </row>
    <row r="40446">
      <c r="S40446" s="27"/>
      <c r="T40446" s="27"/>
      <c r="U40446" s="27"/>
    </row>
    <row r="40447">
      <c r="S40447" s="27"/>
      <c r="T40447" s="27"/>
      <c r="U40447" s="27"/>
    </row>
    <row r="40449">
      <c r="S40449" s="33"/>
      <c r="T40449" s="33"/>
      <c r="U40449" s="33"/>
    </row>
    <row r="40452">
      <c r="S40452" s="27"/>
      <c r="T40452" s="27"/>
      <c r="U40452" s="27"/>
    </row>
    <row r="40453">
      <c r="S40453" s="27"/>
      <c r="T40453" s="27"/>
      <c r="U40453" s="27"/>
    </row>
    <row r="40455">
      <c r="S40455" s="27"/>
      <c r="T40455" s="27"/>
      <c r="U40455" s="27"/>
    </row>
    <row r="40458">
      <c r="S40458" s="27"/>
      <c r="T40458" s="27"/>
      <c r="U40458" s="27"/>
    </row>
    <row r="40459">
      <c r="S40459" s="27"/>
      <c r="T40459" s="27"/>
      <c r="U40459" s="27"/>
    </row>
    <row r="40464">
      <c r="S40464" s="27"/>
      <c r="T40464" s="27"/>
      <c r="U40464" s="27"/>
    </row>
    <row r="40465">
      <c r="S40465" s="27"/>
      <c r="T40465" s="27"/>
      <c r="U40465" s="27"/>
    </row>
    <row r="40467">
      <c r="S40467" s="27"/>
      <c r="T40467" s="27"/>
      <c r="U40467" s="27"/>
    </row>
    <row r="40468">
      <c r="S40468" s="27"/>
      <c r="T40468" s="27"/>
      <c r="U40468" s="27"/>
    </row>
    <row r="40470">
      <c r="S40470" s="27"/>
      <c r="T40470" s="27"/>
      <c r="U40470" s="27"/>
    </row>
    <row r="40471">
      <c r="S40471" s="27"/>
      <c r="T40471" s="27"/>
      <c r="U40471" s="27"/>
    </row>
    <row r="40473">
      <c r="S40473" s="27"/>
      <c r="T40473" s="27"/>
      <c r="U40473" s="27"/>
    </row>
    <row r="40474">
      <c r="S40474" s="27"/>
      <c r="T40474" s="27"/>
      <c r="U40474" s="27"/>
    </row>
    <row r="40476">
      <c r="T40476" s="27"/>
      <c r="U40476" s="26"/>
    </row>
    <row r="40479">
      <c r="S40479" s="33"/>
      <c r="T40479" s="27"/>
      <c r="U40479" s="33"/>
    </row>
    <row r="40480">
      <c r="S40480" s="27"/>
      <c r="T40480" s="27"/>
      <c r="U40480" s="27"/>
    </row>
    <row r="40482">
      <c r="S40482" s="27"/>
      <c r="T40482" s="27"/>
      <c r="U40482" s="27"/>
    </row>
    <row r="40483">
      <c r="S40483" s="27"/>
      <c r="T40483" s="27"/>
      <c r="U40483" s="27"/>
    </row>
    <row r="40485">
      <c r="S40485" s="27"/>
      <c r="T40485" s="27"/>
      <c r="U40485" s="27"/>
    </row>
    <row r="40488">
      <c r="T40488" s="27"/>
      <c r="U40488" s="27"/>
    </row>
    <row r="40489">
      <c r="S40489" s="27"/>
      <c r="T40489" s="27"/>
      <c r="U40489" s="27"/>
    </row>
    <row r="40491">
      <c r="S40491" s="27"/>
      <c r="T40491" s="27"/>
      <c r="U40491" s="27"/>
    </row>
    <row r="40492">
      <c r="S40492" s="27"/>
      <c r="T40492" s="27"/>
      <c r="U40492" s="27"/>
    </row>
    <row r="40495">
      <c r="S40495" s="26"/>
      <c r="T40495" s="26"/>
      <c r="U40495" s="26"/>
    </row>
    <row r="40498">
      <c r="S40498" s="27"/>
      <c r="T40498" s="27"/>
      <c r="U40498" s="27"/>
    </row>
    <row r="40499">
      <c r="S40499" s="26"/>
      <c r="T40499" s="26"/>
      <c r="U40499" s="26"/>
    </row>
    <row r="40501">
      <c r="S40501" s="26"/>
      <c r="T40501" s="26"/>
      <c r="U40501" s="26"/>
    </row>
    <row r="40504">
      <c r="S40504" s="27"/>
      <c r="T40504" s="27"/>
      <c r="U40504" s="27"/>
    </row>
    <row r="40507">
      <c r="S40507" s="27"/>
      <c r="T40507" s="27"/>
      <c r="U40507" s="27"/>
    </row>
    <row r="40508">
      <c r="S40508" s="27"/>
      <c r="T40508" s="27"/>
      <c r="U40508" s="27"/>
    </row>
    <row r="40510">
      <c r="S40510" s="27"/>
      <c r="T40510" s="27"/>
      <c r="U40510" s="27"/>
    </row>
    <row r="40511">
      <c r="S40511" s="27"/>
      <c r="T40511" s="27"/>
      <c r="U40511" s="27"/>
    </row>
    <row r="40513">
      <c r="S40513" s="27"/>
      <c r="T40513" s="27"/>
      <c r="U40513" s="27"/>
    </row>
    <row r="40514">
      <c r="S40514" s="27"/>
      <c r="T40514" s="27"/>
      <c r="U40514" s="27"/>
    </row>
    <row r="40519">
      <c r="S40519" s="27"/>
      <c r="T40519" s="27"/>
      <c r="U40519" s="27"/>
    </row>
    <row r="40520">
      <c r="S40520" s="27"/>
      <c r="T40520" s="27"/>
      <c r="U40520" s="27"/>
    </row>
    <row r="40522">
      <c r="S40522" s="27"/>
      <c r="T40522" s="27"/>
      <c r="U40522" s="27"/>
    </row>
    <row r="40523">
      <c r="S40523" s="27"/>
      <c r="T40523" s="27"/>
      <c r="U40523" s="27"/>
    </row>
    <row r="40525">
      <c r="S40525" s="27"/>
      <c r="T40525" s="27"/>
      <c r="U40525" s="27"/>
    </row>
    <row r="40526">
      <c r="S40526" s="27"/>
      <c r="T40526" s="27"/>
      <c r="U40526" s="27"/>
    </row>
    <row r="40528">
      <c r="S40528" s="27"/>
      <c r="T40528" s="27"/>
      <c r="U40528" s="27"/>
    </row>
    <row r="40529">
      <c r="S40529" s="27"/>
      <c r="T40529" s="27"/>
      <c r="U40529" s="27"/>
    </row>
    <row r="40531">
      <c r="S40531" s="27"/>
      <c r="T40531" s="27"/>
      <c r="U40531" s="27"/>
    </row>
    <row r="40532">
      <c r="S40532" s="27"/>
      <c r="T40532" s="27"/>
      <c r="U40532" s="27"/>
    </row>
    <row r="40534">
      <c r="S40534" s="27"/>
      <c r="T40534" s="27"/>
      <c r="U40534" s="27"/>
    </row>
    <row r="40535">
      <c r="S40535" s="27"/>
      <c r="T40535" s="27"/>
      <c r="U40535" s="27"/>
    </row>
    <row r="40537">
      <c r="S40537" s="27"/>
      <c r="T40537" s="27"/>
      <c r="U40537" s="27"/>
    </row>
    <row r="40538">
      <c r="S40538" s="27"/>
      <c r="T40538" s="27"/>
      <c r="U40538" s="27"/>
    </row>
    <row r="40540">
      <c r="S40540" s="27"/>
      <c r="T40540" s="27"/>
      <c r="U40540" s="27"/>
    </row>
    <row r="40541">
      <c r="S40541" s="27"/>
      <c r="T40541" s="27"/>
      <c r="U40541" s="27"/>
    </row>
    <row r="40543">
      <c r="S40543" s="27"/>
      <c r="T40543" s="27"/>
      <c r="U40543" s="27"/>
    </row>
    <row r="40544">
      <c r="S40544" s="27"/>
      <c r="T40544" s="27"/>
      <c r="U40544" s="27"/>
    </row>
    <row r="40546">
      <c r="S40546" s="27"/>
      <c r="T40546" s="27"/>
      <c r="U40546" s="27"/>
    </row>
    <row r="40547">
      <c r="S40547" s="27"/>
      <c r="T40547" s="27"/>
      <c r="U40547" s="27"/>
    </row>
    <row r="40549">
      <c r="S40549" s="27"/>
      <c r="T40549" s="27"/>
      <c r="U40549" s="27"/>
    </row>
    <row r="40550">
      <c r="S40550" s="27"/>
      <c r="T40550" s="27"/>
      <c r="U40550" s="27"/>
    </row>
    <row r="40552">
      <c r="S40552" s="27"/>
      <c r="T40552" s="27"/>
      <c r="U40552" s="27"/>
    </row>
    <row r="40553">
      <c r="S40553" s="27"/>
      <c r="T40553" s="27"/>
      <c r="U40553" s="27"/>
    </row>
    <row r="40555">
      <c r="S40555" s="27"/>
      <c r="T40555" s="27"/>
      <c r="U40555" s="27"/>
    </row>
    <row r="40556">
      <c r="S40556" s="27"/>
      <c r="T40556" s="27"/>
      <c r="U40556" s="27"/>
    </row>
    <row r="40558">
      <c r="S40558" s="27"/>
      <c r="T40558" s="27"/>
      <c r="U40558" s="27"/>
    </row>
    <row r="40559">
      <c r="S40559" s="27"/>
      <c r="T40559" s="27"/>
      <c r="U40559" s="27"/>
    </row>
    <row r="40561">
      <c r="S40561" s="27"/>
      <c r="T40561" s="27"/>
      <c r="U40561" s="27"/>
    </row>
    <row r="40562">
      <c r="S40562" s="27"/>
      <c r="T40562" s="27"/>
      <c r="U40562" s="27"/>
    </row>
    <row r="40564">
      <c r="S40564" s="27"/>
      <c r="T40564" s="27"/>
      <c r="U40564" s="27"/>
    </row>
    <row r="40565">
      <c r="S40565" s="27"/>
      <c r="T40565" s="27"/>
      <c r="U40565" s="27"/>
    </row>
    <row r="40567">
      <c r="S40567" s="27"/>
      <c r="T40567" s="27"/>
      <c r="U40567" s="27"/>
    </row>
    <row r="40568">
      <c r="S40568" s="27"/>
      <c r="T40568" s="27"/>
      <c r="U40568" s="27"/>
    </row>
    <row r="40570">
      <c r="S40570" s="27"/>
      <c r="T40570" s="27"/>
      <c r="U40570" s="27"/>
    </row>
    <row r="40571">
      <c r="S40571" s="27"/>
      <c r="T40571" s="27"/>
      <c r="U40571" s="27"/>
    </row>
    <row r="40573">
      <c r="S40573" s="27"/>
      <c r="T40573" s="27"/>
      <c r="U40573" s="27"/>
    </row>
    <row r="40574">
      <c r="S40574" s="27"/>
      <c r="T40574" s="27"/>
      <c r="U40574" s="27"/>
    </row>
    <row r="40576">
      <c r="S40576" s="27"/>
      <c r="T40576" s="27"/>
      <c r="U40576" s="27"/>
    </row>
    <row r="40577">
      <c r="S40577" s="27"/>
      <c r="T40577" s="27"/>
      <c r="U40577" s="27"/>
    </row>
    <row r="40579">
      <c r="S40579" s="27"/>
      <c r="T40579" s="27"/>
      <c r="U40579" s="27"/>
    </row>
    <row r="40580">
      <c r="S40580" s="27"/>
      <c r="T40580" s="27"/>
      <c r="U40580" s="27"/>
    </row>
    <row r="40582">
      <c r="S40582" s="27"/>
      <c r="T40582" s="27"/>
      <c r="U40582" s="27"/>
    </row>
    <row r="40583">
      <c r="S40583" s="27"/>
      <c r="T40583" s="27"/>
      <c r="U40583" s="27"/>
    </row>
    <row r="40585">
      <c r="S40585" s="27"/>
      <c r="T40585" s="27"/>
      <c r="U40585" s="27"/>
    </row>
    <row r="40586">
      <c r="S40586" s="27"/>
      <c r="T40586" s="27"/>
      <c r="U40586" s="27"/>
    </row>
    <row r="40588">
      <c r="S40588" s="27"/>
      <c r="T40588" s="27"/>
      <c r="U40588" s="27"/>
    </row>
    <row r="40589">
      <c r="S40589" s="27"/>
      <c r="T40589" s="27"/>
      <c r="U40589" s="27"/>
    </row>
    <row r="40591">
      <c r="S40591" s="27"/>
      <c r="T40591" s="27"/>
      <c r="U40591" s="27"/>
    </row>
    <row r="40592">
      <c r="S40592" s="27"/>
      <c r="T40592" s="27"/>
      <c r="U40592" s="27"/>
    </row>
    <row r="40594">
      <c r="S40594" s="27"/>
      <c r="T40594" s="27"/>
      <c r="U40594" s="27"/>
    </row>
    <row r="40595">
      <c r="S40595" s="27"/>
      <c r="T40595" s="27"/>
      <c r="U40595" s="27"/>
    </row>
    <row r="40597">
      <c r="S40597" s="27"/>
      <c r="T40597" s="27"/>
      <c r="U40597" s="27"/>
    </row>
    <row r="40598">
      <c r="S40598" s="27"/>
      <c r="T40598" s="27"/>
      <c r="U40598" s="27"/>
    </row>
    <row r="40600">
      <c r="S40600" s="27"/>
      <c r="T40600" s="27"/>
      <c r="U40600" s="27"/>
    </row>
    <row r="40601">
      <c r="S40601" s="27"/>
      <c r="T40601" s="27"/>
      <c r="U40601" s="27"/>
    </row>
    <row r="40603">
      <c r="S40603" s="27"/>
      <c r="T40603" s="27"/>
      <c r="U40603" s="27"/>
    </row>
    <row r="40604">
      <c r="S40604" s="27"/>
      <c r="T40604" s="27"/>
      <c r="U40604" s="27"/>
    </row>
    <row r="40606">
      <c r="S40606" s="27"/>
      <c r="T40606" s="27"/>
      <c r="U40606" s="27"/>
    </row>
    <row r="40607">
      <c r="S40607" s="27"/>
      <c r="T40607" s="27"/>
      <c r="U40607" s="27"/>
    </row>
    <row r="40609">
      <c r="S40609" s="27"/>
      <c r="T40609" s="27"/>
      <c r="U40609" s="27"/>
    </row>
    <row r="40610">
      <c r="S40610" s="27"/>
      <c r="T40610" s="27"/>
      <c r="U40610" s="27"/>
    </row>
    <row r="40612">
      <c r="S40612" s="27"/>
      <c r="T40612" s="27"/>
      <c r="U40612" s="27"/>
    </row>
    <row r="40613">
      <c r="S40613" s="27"/>
      <c r="T40613" s="27"/>
      <c r="U40613" s="27"/>
    </row>
    <row r="40615">
      <c r="S40615" s="27"/>
      <c r="T40615" s="27"/>
      <c r="U40615" s="27"/>
    </row>
    <row r="40617">
      <c r="S40617" s="27"/>
      <c r="T40617" s="27"/>
      <c r="U40617" s="27"/>
    </row>
    <row r="40618">
      <c r="S40618" s="27"/>
      <c r="T40618" s="27"/>
      <c r="U40618" s="27"/>
    </row>
    <row r="40620">
      <c r="S40620" s="27"/>
      <c r="T40620" s="27"/>
      <c r="U40620" s="27"/>
    </row>
    <row r="40621">
      <c r="S40621" s="27"/>
      <c r="T40621" s="27"/>
      <c r="U40621" s="27"/>
    </row>
    <row r="40623">
      <c r="S40623" s="27"/>
      <c r="T40623" s="27"/>
      <c r="U40623" s="27"/>
    </row>
    <row r="40624">
      <c r="S40624" s="27"/>
      <c r="T40624" s="27"/>
      <c r="U40624" s="27"/>
    </row>
    <row r="40626">
      <c r="S40626" s="27"/>
      <c r="T40626" s="27"/>
      <c r="U40626" s="27"/>
    </row>
    <row r="40627">
      <c r="S40627" s="27"/>
      <c r="T40627" s="27"/>
      <c r="U40627" s="27"/>
    </row>
    <row r="40629">
      <c r="S40629" s="27"/>
      <c r="T40629" s="27"/>
      <c r="U40629" s="27"/>
    </row>
    <row r="40630">
      <c r="S40630" s="27"/>
      <c r="T40630" s="27"/>
      <c r="U40630" s="27"/>
    </row>
    <row r="40632">
      <c r="S40632" s="27"/>
      <c r="T40632" s="27"/>
      <c r="U40632" s="27"/>
    </row>
    <row r="40633">
      <c r="S40633" s="27"/>
      <c r="T40633" s="27"/>
      <c r="U40633" s="27"/>
    </row>
    <row r="40635">
      <c r="S40635" s="27"/>
      <c r="T40635" s="27"/>
      <c r="U40635" s="27"/>
    </row>
    <row r="40636">
      <c r="S40636" s="27"/>
      <c r="T40636" s="27"/>
      <c r="U40636" s="27"/>
    </row>
    <row r="40638">
      <c r="S40638" s="27"/>
      <c r="T40638" s="27"/>
      <c r="U40638" s="27"/>
    </row>
    <row r="40640">
      <c r="S40640" s="27"/>
      <c r="T40640" s="27"/>
      <c r="U40640" s="27"/>
    </row>
    <row r="40642">
      <c r="S40642" s="27"/>
      <c r="T40642" s="27"/>
      <c r="U40642" s="27"/>
    </row>
    <row r="40644">
      <c r="S40644" s="27"/>
      <c r="T40644" s="27"/>
      <c r="U40644" s="27"/>
    </row>
    <row r="40646">
      <c r="S40646" s="27"/>
      <c r="T40646" s="27"/>
      <c r="U40646" s="27"/>
    </row>
    <row r="40647">
      <c r="S40647" s="27"/>
      <c r="T40647" s="27"/>
      <c r="U40647" s="27"/>
    </row>
    <row r="40649">
      <c r="S40649" s="27"/>
      <c r="T40649" s="27"/>
      <c r="U40649" s="27"/>
    </row>
    <row r="40650">
      <c r="S40650" s="27"/>
      <c r="T40650" s="27"/>
      <c r="U40650" s="27"/>
    </row>
    <row r="40652">
      <c r="S40652" s="27"/>
      <c r="T40652" s="27"/>
      <c r="U40652" s="27"/>
    </row>
    <row r="40655">
      <c r="S40655" s="27"/>
      <c r="T40655" s="27"/>
      <c r="U40655" s="27"/>
    </row>
    <row r="40656">
      <c r="S40656" s="27"/>
      <c r="T40656" s="27"/>
      <c r="U40656" s="27"/>
    </row>
    <row r="40658">
      <c r="S40658" s="27"/>
      <c r="T40658" s="27"/>
      <c r="U40658" s="27"/>
    </row>
    <row r="40659">
      <c r="S40659" s="27"/>
      <c r="T40659" s="27"/>
      <c r="U40659" s="27"/>
    </row>
    <row r="40661">
      <c r="S40661" s="27"/>
      <c r="T40661" s="27"/>
      <c r="U40661" s="27"/>
    </row>
    <row r="40662">
      <c r="S40662" s="27"/>
      <c r="T40662" s="27"/>
      <c r="U40662" s="27"/>
    </row>
    <row r="40664">
      <c r="S40664" s="27"/>
      <c r="T40664" s="27"/>
      <c r="U40664" s="27"/>
    </row>
    <row r="40665">
      <c r="S40665" s="27"/>
      <c r="T40665" s="27"/>
      <c r="U40665" s="27"/>
    </row>
    <row r="40670">
      <c r="S40670" s="33"/>
      <c r="T40670" s="27"/>
      <c r="U40670" s="27"/>
    </row>
    <row r="40673">
      <c r="S40673" s="27"/>
      <c r="T40673" s="27"/>
      <c r="U40673" s="27"/>
    </row>
    <row r="40674">
      <c r="S40674" s="27"/>
      <c r="T40674" s="27"/>
      <c r="U40674" s="27"/>
    </row>
    <row r="40676">
      <c r="S40676" s="27"/>
      <c r="T40676" s="27"/>
      <c r="U40676" s="27"/>
    </row>
    <row r="40677">
      <c r="S40677" s="27"/>
      <c r="T40677" s="27"/>
      <c r="U40677" s="27"/>
    </row>
    <row r="40679">
      <c r="S40679" s="27"/>
      <c r="T40679" s="27"/>
      <c r="U40679" s="27"/>
    </row>
    <row r="40680">
      <c r="S40680" s="27"/>
      <c r="T40680" s="27"/>
      <c r="U40680" s="27"/>
    </row>
    <row r="40682">
      <c r="U40682" s="26"/>
    </row>
    <row r="40685">
      <c r="S40685" s="27"/>
      <c r="T40685" s="27"/>
      <c r="U40685" s="27"/>
    </row>
    <row r="40686">
      <c r="S40686" s="27"/>
      <c r="T40686" s="27"/>
      <c r="U40686" s="27"/>
    </row>
    <row r="40688">
      <c r="S40688" s="27"/>
      <c r="T40688" s="27"/>
      <c r="U40688" s="27"/>
    </row>
    <row r="40689">
      <c r="S40689" s="27"/>
      <c r="T40689" s="27"/>
      <c r="U40689" s="27"/>
    </row>
    <row r="40691">
      <c r="S40691" s="27"/>
      <c r="T40691" s="27"/>
      <c r="U40691" s="27"/>
    </row>
    <row r="40692">
      <c r="T40692" s="27"/>
      <c r="U40692" s="27"/>
    </row>
    <row r="40694">
      <c r="S40694" s="27"/>
      <c r="T40694" s="27"/>
      <c r="U40694" s="27"/>
    </row>
    <row r="40697">
      <c r="S40697" s="26"/>
      <c r="T40697" s="26"/>
      <c r="U40697" s="26"/>
    </row>
    <row r="40700">
      <c r="S40700" s="27"/>
      <c r="T40700" s="27"/>
      <c r="U40700" s="27"/>
    </row>
    <row r="40701">
      <c r="S40701" s="27"/>
      <c r="T40701" s="27"/>
      <c r="U40701" s="27"/>
    </row>
    <row r="40703">
      <c r="S40703" s="27"/>
      <c r="T40703" s="27"/>
      <c r="U40703" s="27"/>
    </row>
    <row r="40704">
      <c r="S40704" s="27"/>
      <c r="T40704" s="27"/>
      <c r="U40704" s="27"/>
    </row>
    <row r="40706">
      <c r="S40706" s="26"/>
      <c r="T40706" s="26"/>
      <c r="U40706" s="26"/>
    </row>
    <row r="40712">
      <c r="S40712" s="27"/>
      <c r="T40712" s="27"/>
      <c r="U40712" s="27"/>
    </row>
    <row r="40715">
      <c r="S40715" s="27"/>
      <c r="T40715" s="27"/>
      <c r="U40715" s="27"/>
    </row>
    <row r="40716">
      <c r="S40716" s="27"/>
      <c r="T40716" s="27"/>
      <c r="U40716" s="27"/>
    </row>
    <row r="40718">
      <c r="S40718" s="27"/>
      <c r="T40718" s="27"/>
      <c r="U40718" s="27"/>
    </row>
    <row r="40719">
      <c r="S40719" s="27"/>
      <c r="T40719" s="27"/>
      <c r="U40719" s="27"/>
    </row>
    <row r="40721">
      <c r="S40721" s="27"/>
      <c r="T40721" s="27"/>
      <c r="U40721" s="27"/>
    </row>
    <row r="40722">
      <c r="S40722" s="27"/>
      <c r="T40722" s="27"/>
      <c r="U40722" s="27"/>
    </row>
    <row r="40724">
      <c r="S40724" s="27"/>
      <c r="T40724" s="27"/>
      <c r="U40724" s="27"/>
    </row>
    <row r="40725">
      <c r="S40725" s="27"/>
      <c r="T40725" s="27"/>
      <c r="U40725" s="27"/>
    </row>
    <row r="40727">
      <c r="S40727" s="27"/>
      <c r="T40727" s="27"/>
      <c r="U40727" s="27"/>
    </row>
    <row r="40728">
      <c r="S40728" s="27"/>
      <c r="T40728" s="27"/>
      <c r="U40728" s="27"/>
    </row>
    <row r="40730">
      <c r="S40730" s="27"/>
      <c r="T40730" s="27"/>
      <c r="U40730" s="27"/>
    </row>
    <row r="40731">
      <c r="S40731" s="27"/>
      <c r="T40731" s="27"/>
      <c r="U40731" s="27"/>
    </row>
    <row r="40733">
      <c r="S40733" s="27"/>
      <c r="T40733" s="27"/>
      <c r="U40733" s="27"/>
    </row>
    <row r="40734">
      <c r="S40734" s="27"/>
      <c r="T40734" s="27"/>
      <c r="U40734" s="27"/>
    </row>
    <row r="40736">
      <c r="S40736" s="27"/>
      <c r="T40736" s="27"/>
      <c r="U40736" s="27"/>
    </row>
    <row r="40737">
      <c r="S40737" s="27"/>
      <c r="T40737" s="27"/>
      <c r="U40737" s="27"/>
    </row>
    <row r="40739">
      <c r="S40739" s="27"/>
      <c r="T40739" s="27"/>
      <c r="U40739" s="27"/>
    </row>
    <row r="40740">
      <c r="S40740" s="27"/>
      <c r="T40740" s="27"/>
      <c r="U40740" s="27"/>
    </row>
    <row r="40742">
      <c r="S40742" s="27"/>
      <c r="T40742" s="27"/>
      <c r="U40742" s="27"/>
    </row>
    <row r="40743">
      <c r="S40743" s="27"/>
      <c r="T40743" s="27"/>
      <c r="U40743" s="27"/>
    </row>
    <row r="40745">
      <c r="S40745" s="27"/>
      <c r="T40745" s="27"/>
      <c r="U40745" s="27"/>
    </row>
    <row r="40746">
      <c r="S40746" s="27"/>
      <c r="T40746" s="27"/>
      <c r="U40746" s="27"/>
    </row>
    <row r="40748">
      <c r="S40748" s="27"/>
      <c r="T40748" s="27"/>
      <c r="U40748" s="27"/>
    </row>
    <row r="40749">
      <c r="S40749" s="27"/>
      <c r="T40749" s="27"/>
      <c r="U40749" s="27"/>
    </row>
    <row r="40751">
      <c r="S40751" s="27"/>
      <c r="T40751" s="27"/>
      <c r="U40751" s="27"/>
    </row>
    <row r="40752">
      <c r="S40752" s="27"/>
      <c r="T40752" s="27"/>
      <c r="U40752" s="27"/>
    </row>
    <row r="40754">
      <c r="S40754" s="27"/>
      <c r="T40754" s="27"/>
      <c r="U40754" s="27"/>
    </row>
    <row r="40755">
      <c r="S40755" s="27"/>
      <c r="T40755" s="27"/>
      <c r="U40755" s="27"/>
    </row>
    <row r="40757">
      <c r="S40757" s="27"/>
      <c r="T40757" s="27"/>
      <c r="U40757" s="27"/>
    </row>
    <row r="40758">
      <c r="S40758" s="27"/>
      <c r="T40758" s="27"/>
      <c r="U40758" s="27"/>
    </row>
    <row r="40760">
      <c r="S40760" s="27"/>
      <c r="T40760" s="27"/>
      <c r="U40760" s="27"/>
    </row>
    <row r="40761">
      <c r="S40761" s="27"/>
      <c r="T40761" s="27"/>
      <c r="U40761" s="27"/>
    </row>
    <row r="40763">
      <c r="S40763" s="27"/>
      <c r="T40763" s="27"/>
      <c r="U40763" s="27"/>
    </row>
    <row r="40764">
      <c r="S40764" s="27"/>
      <c r="T40764" s="27"/>
      <c r="U40764" s="27"/>
    </row>
    <row r="40766">
      <c r="S40766" s="27"/>
      <c r="T40766" s="27"/>
      <c r="U40766" s="27"/>
    </row>
    <row r="40767">
      <c r="S40767" s="27"/>
      <c r="T40767" s="27"/>
      <c r="U40767" s="27"/>
    </row>
    <row r="40769">
      <c r="S40769" s="27"/>
      <c r="T40769" s="27"/>
      <c r="U40769" s="27"/>
    </row>
    <row r="40770">
      <c r="S40770" s="27"/>
      <c r="T40770" s="27"/>
      <c r="U40770" s="27"/>
    </row>
    <row r="40772">
      <c r="S40772" s="27"/>
      <c r="T40772" s="27"/>
      <c r="U40772" s="27"/>
    </row>
    <row r="40773">
      <c r="S40773" s="27"/>
      <c r="T40773" s="27"/>
      <c r="U40773" s="27"/>
    </row>
    <row r="40775">
      <c r="S40775" s="27"/>
      <c r="T40775" s="27"/>
      <c r="U40775" s="27"/>
    </row>
    <row r="40776">
      <c r="S40776" s="27"/>
      <c r="T40776" s="27"/>
      <c r="U40776" s="27"/>
    </row>
    <row r="40778">
      <c r="S40778" s="27"/>
      <c r="T40778" s="27"/>
      <c r="U40778" s="27"/>
    </row>
    <row r="40779">
      <c r="S40779" s="27"/>
      <c r="T40779" s="27"/>
      <c r="U40779" s="27"/>
    </row>
    <row r="40781">
      <c r="S40781" s="27"/>
      <c r="T40781" s="27"/>
      <c r="U40781" s="27"/>
    </row>
    <row r="40782">
      <c r="S40782" s="27"/>
      <c r="T40782" s="27"/>
      <c r="U40782" s="27"/>
    </row>
    <row r="40784">
      <c r="S40784" s="27"/>
      <c r="T40784" s="27"/>
      <c r="U40784" s="27"/>
    </row>
    <row r="40785">
      <c r="S40785" s="27"/>
      <c r="T40785" s="27"/>
      <c r="U40785" s="27"/>
    </row>
    <row r="40787">
      <c r="T40787" s="27"/>
      <c r="U40787" s="27"/>
    </row>
    <row r="40788">
      <c r="S40788" s="27"/>
      <c r="T40788" s="27"/>
      <c r="U40788" s="27"/>
    </row>
    <row r="40790">
      <c r="S40790" s="27"/>
      <c r="T40790" s="27"/>
      <c r="U40790" s="27"/>
    </row>
    <row r="40791">
      <c r="S40791" s="27"/>
      <c r="T40791" s="27"/>
      <c r="U40791" s="27"/>
    </row>
    <row r="40793">
      <c r="S40793" s="27"/>
      <c r="T40793" s="27"/>
      <c r="U40793" s="27"/>
    </row>
    <row r="40799">
      <c r="S40799" s="27"/>
      <c r="T40799" s="27"/>
      <c r="U40799" s="27"/>
    </row>
    <row r="40800">
      <c r="S40800" s="27"/>
      <c r="T40800" s="27"/>
      <c r="U40800" s="27"/>
    </row>
    <row r="40802">
      <c r="S40802" s="27"/>
      <c r="T40802" s="27"/>
      <c r="U40802" s="27"/>
    </row>
    <row r="40803">
      <c r="S40803" s="26"/>
      <c r="T40803" s="26"/>
      <c r="U40803" s="26"/>
    </row>
    <row r="40805">
      <c r="S40805" s="27"/>
      <c r="T40805" s="27"/>
      <c r="U40805" s="27"/>
    </row>
    <row r="40806">
      <c r="S40806" s="27"/>
      <c r="T40806" s="27"/>
      <c r="U40806" s="27"/>
    </row>
    <row r="40808">
      <c r="S40808" s="27"/>
      <c r="T40808" s="27"/>
      <c r="U40808" s="27"/>
    </row>
    <row r="40809">
      <c r="S40809" s="27"/>
      <c r="T40809" s="27"/>
      <c r="U40809" s="27"/>
    </row>
    <row r="40811">
      <c r="S40811" s="27"/>
      <c r="T40811" s="27"/>
      <c r="U40811" s="27"/>
    </row>
    <row r="40812">
      <c r="S40812" s="27"/>
      <c r="T40812" s="27"/>
      <c r="U40812" s="27"/>
    </row>
    <row r="40817">
      <c r="T40817" s="26"/>
      <c r="U40817" s="26"/>
    </row>
    <row r="40822">
      <c r="S40822" s="27"/>
      <c r="T40822" s="27"/>
      <c r="U40822" s="27"/>
    </row>
    <row r="40824">
      <c r="S40824" s="26"/>
      <c r="T40824" s="26"/>
      <c r="U40824" s="26"/>
    </row>
    <row r="40827">
      <c r="S40827" s="27"/>
      <c r="T40827" s="27"/>
      <c r="U40827" s="27"/>
    </row>
    <row r="40830">
      <c r="S40830" s="27"/>
      <c r="T40830" s="27"/>
      <c r="U40830" s="27"/>
    </row>
    <row r="40831">
      <c r="S40831" s="27"/>
      <c r="T40831" s="27"/>
      <c r="U40831" s="27"/>
    </row>
    <row r="40834">
      <c r="S40834" s="27"/>
      <c r="T40834" s="27"/>
      <c r="U40834" s="27"/>
    </row>
    <row r="40836">
      <c r="S40836" s="27"/>
      <c r="T40836" s="27"/>
      <c r="U40836" s="27"/>
    </row>
    <row r="40837">
      <c r="S40837" s="27"/>
      <c r="T40837" s="27"/>
      <c r="U40837" s="27"/>
    </row>
    <row r="40839">
      <c r="S40839" s="27"/>
      <c r="T40839" s="27"/>
      <c r="U40839" s="27"/>
    </row>
    <row r="40840">
      <c r="S40840" s="27"/>
      <c r="T40840" s="27"/>
      <c r="U40840" s="27"/>
    </row>
    <row r="40843">
      <c r="S40843" s="27"/>
      <c r="T40843" s="27"/>
      <c r="U40843" s="27"/>
    </row>
    <row r="40848">
      <c r="S40848" s="27"/>
      <c r="T40848" s="27"/>
      <c r="U40848" s="27"/>
    </row>
    <row r="40849">
      <c r="S40849" s="27"/>
      <c r="T40849" s="27"/>
      <c r="U40849" s="27"/>
    </row>
    <row r="40851">
      <c r="S40851" s="27"/>
      <c r="T40851" s="27"/>
      <c r="U40851" s="27"/>
    </row>
    <row r="40852">
      <c r="S40852" s="27"/>
      <c r="T40852" s="27"/>
      <c r="U40852" s="27"/>
    </row>
    <row r="40854">
      <c r="S40854" s="27"/>
      <c r="T40854" s="27"/>
      <c r="U40854" s="27"/>
    </row>
    <row r="40855">
      <c r="S40855" s="27"/>
      <c r="T40855" s="27"/>
      <c r="U40855" s="27"/>
    </row>
    <row r="40857">
      <c r="S40857" s="33"/>
      <c r="T40857" s="33"/>
      <c r="U40857" s="33"/>
    </row>
    <row r="40863">
      <c r="S40863" s="27"/>
      <c r="T40863" s="27"/>
      <c r="U40863" s="27"/>
    </row>
    <row r="40866">
      <c r="S40866" s="27"/>
      <c r="T40866" s="27"/>
      <c r="U40866" s="33"/>
    </row>
    <row r="40867">
      <c r="S40867" s="33"/>
      <c r="T40867" s="33"/>
      <c r="U40867" s="27"/>
    </row>
    <row r="40869">
      <c r="S40869" s="27"/>
    </row>
    <row r="40870">
      <c r="S40870" s="26"/>
      <c r="T40870" s="26"/>
      <c r="U40870" s="26"/>
    </row>
    <row r="40872">
      <c r="S40872" s="27"/>
      <c r="T40872" s="27"/>
      <c r="U40872" s="27"/>
    </row>
    <row r="40873">
      <c r="S40873" s="27"/>
      <c r="T40873" s="27"/>
      <c r="U40873" s="27"/>
    </row>
    <row r="40875">
      <c r="S40875" s="27"/>
      <c r="T40875" s="27"/>
      <c r="U40875" s="27"/>
    </row>
    <row r="40876">
      <c r="S40876" s="27"/>
      <c r="T40876" s="27"/>
      <c r="U40876" s="27"/>
    </row>
    <row r="40879">
      <c r="S40879" s="27"/>
      <c r="T40879" s="27"/>
      <c r="U40879" s="27"/>
    </row>
    <row r="40882">
      <c r="S40882" s="27"/>
      <c r="T40882" s="27"/>
      <c r="U40882" s="27"/>
    </row>
    <row r="40884">
      <c r="T40884" s="26"/>
      <c r="U40884" s="26"/>
    </row>
    <row r="40887">
      <c r="S40887" s="27"/>
      <c r="T40887" s="27"/>
      <c r="U40887" s="27"/>
    </row>
    <row r="40888">
      <c r="S40888" s="27"/>
      <c r="T40888" s="27"/>
      <c r="U40888" s="27"/>
    </row>
    <row r="40891">
      <c r="S40891" s="27"/>
      <c r="T40891" s="27"/>
    </row>
    <row r="40893">
      <c r="S40893" s="27"/>
      <c r="T40893" s="27"/>
      <c r="U40893" s="27"/>
    </row>
    <row r="40896">
      <c r="S40896" s="27"/>
      <c r="T40896" s="27"/>
      <c r="U40896" s="27"/>
    </row>
    <row r="40897">
      <c r="S40897" s="27"/>
      <c r="T40897" s="27"/>
      <c r="U40897" s="27"/>
    </row>
    <row r="40902">
      <c r="S40902" s="27"/>
      <c r="T40902" s="27"/>
      <c r="U40902" s="27"/>
    </row>
    <row r="40903">
      <c r="S40903" s="27"/>
      <c r="T40903" s="27"/>
      <c r="U40903" s="27"/>
    </row>
    <row r="40908">
      <c r="S40908" s="27"/>
      <c r="T40908" s="27"/>
      <c r="U40908" s="27"/>
    </row>
    <row r="40909">
      <c r="S40909" s="27"/>
      <c r="T40909" s="27"/>
      <c r="U40909" s="27"/>
    </row>
    <row r="40911">
      <c r="S40911" s="26"/>
      <c r="T40911" s="26"/>
      <c r="U40911" s="26"/>
    </row>
    <row r="40914">
      <c r="S40914" s="27"/>
      <c r="T40914" s="27"/>
      <c r="U40914" s="27"/>
    </row>
    <row r="40917">
      <c r="S40917" s="27"/>
      <c r="T40917" s="27"/>
      <c r="U40917" s="27"/>
    </row>
    <row r="40918">
      <c r="S40918" s="27"/>
      <c r="T40918" s="27"/>
      <c r="U40918" s="27"/>
    </row>
    <row r="40920">
      <c r="S40920" s="27"/>
      <c r="T40920" s="27"/>
      <c r="U40920" s="27"/>
    </row>
    <row r="40921">
      <c r="S40921" s="27"/>
      <c r="T40921" s="27"/>
      <c r="U40921" s="27"/>
    </row>
    <row r="40923">
      <c r="S40923" s="27"/>
    </row>
    <row r="40924">
      <c r="T40924" s="26"/>
      <c r="U40924" s="26"/>
    </row>
    <row r="40926">
      <c r="S40926" s="27"/>
      <c r="T40926" s="27"/>
      <c r="U40926" s="27"/>
    </row>
    <row r="40927">
      <c r="S40927" s="27"/>
      <c r="T40927" s="27"/>
      <c r="U40927" s="27"/>
    </row>
    <row r="40929">
      <c r="S40929" s="27"/>
      <c r="T40929" s="27"/>
      <c r="U40929" s="27"/>
    </row>
    <row r="40930">
      <c r="S40930" s="27"/>
      <c r="T40930" s="27"/>
      <c r="U40930" s="27"/>
    </row>
    <row r="40932">
      <c r="S40932" s="27"/>
      <c r="T40932" s="27"/>
      <c r="U40932" s="27"/>
    </row>
    <row r="40933">
      <c r="S40933" s="27"/>
      <c r="T40933" s="27"/>
      <c r="U40933" s="27"/>
    </row>
    <row r="40935">
      <c r="S40935" s="27"/>
      <c r="T40935" s="27"/>
      <c r="U40935" s="27"/>
    </row>
    <row r="40936">
      <c r="S40936" s="27"/>
      <c r="T40936" s="27"/>
      <c r="U40936" s="27"/>
    </row>
    <row r="40938">
      <c r="S40938" s="27"/>
      <c r="T40938" s="27"/>
      <c r="U40938" s="27"/>
    </row>
    <row r="40939">
      <c r="S40939" s="27"/>
      <c r="T40939" s="27"/>
      <c r="U40939" s="27"/>
    </row>
    <row r="40941">
      <c r="S40941" s="27"/>
      <c r="T40941" s="27"/>
      <c r="U40941" s="27"/>
    </row>
    <row r="40942">
      <c r="S40942" s="27"/>
      <c r="T40942" s="27"/>
      <c r="U40942" s="27"/>
    </row>
    <row r="40944">
      <c r="S40944" s="27"/>
      <c r="T40944" s="27"/>
      <c r="U40944" s="27"/>
    </row>
    <row r="40945">
      <c r="S40945" s="27"/>
      <c r="T40945" s="27"/>
      <c r="U40945" s="27"/>
    </row>
    <row r="40947">
      <c r="S40947" s="27"/>
      <c r="T40947" s="27"/>
      <c r="U40947" s="27"/>
    </row>
    <row r="40948">
      <c r="S40948" s="27"/>
      <c r="T40948" s="27"/>
      <c r="U40948" s="27"/>
    </row>
    <row r="40950">
      <c r="S40950" s="27"/>
      <c r="T40950" s="27"/>
      <c r="U40950" s="27"/>
    </row>
    <row r="40951">
      <c r="S40951" s="27"/>
      <c r="T40951" s="27"/>
      <c r="U40951" s="27"/>
    </row>
    <row r="40953">
      <c r="S40953" s="27"/>
      <c r="T40953" s="27"/>
      <c r="U40953" s="27"/>
    </row>
    <row r="40954">
      <c r="S40954" s="27"/>
      <c r="T40954" s="27"/>
      <c r="U40954" s="27"/>
    </row>
    <row r="40956">
      <c r="S40956" s="27"/>
      <c r="T40956" s="27"/>
      <c r="U40956" s="27"/>
    </row>
    <row r="40957">
      <c r="S40957" s="27"/>
      <c r="T40957" s="27"/>
      <c r="U40957" s="27"/>
    </row>
    <row r="40959">
      <c r="S40959" s="27"/>
      <c r="T40959" s="27"/>
      <c r="U40959" s="27"/>
    </row>
    <row r="40960">
      <c r="S40960" s="27"/>
      <c r="T40960" s="27"/>
      <c r="U40960" s="27"/>
    </row>
    <row r="40962">
      <c r="S40962" s="27"/>
      <c r="T40962" s="27"/>
      <c r="U40962" s="27"/>
    </row>
    <row r="40963">
      <c r="S40963" s="27"/>
      <c r="T40963" s="27"/>
      <c r="U40963" s="27"/>
    </row>
    <row r="40965">
      <c r="S40965" s="27"/>
      <c r="T40965" s="27"/>
      <c r="U40965" s="27"/>
    </row>
    <row r="40966">
      <c r="S40966" s="27"/>
      <c r="T40966" s="27"/>
      <c r="U40966" s="27"/>
    </row>
    <row r="40968">
      <c r="S40968" s="27"/>
      <c r="T40968" s="27"/>
      <c r="U40968" s="27"/>
    </row>
    <row r="40969">
      <c r="S40969" s="27"/>
      <c r="T40969" s="27"/>
      <c r="U40969" s="27"/>
    </row>
    <row r="40971">
      <c r="S40971" s="27"/>
      <c r="T40971" s="27"/>
      <c r="U40971" s="27"/>
    </row>
    <row r="40972">
      <c r="S40972" s="27"/>
      <c r="T40972" s="27"/>
      <c r="U40972" s="27"/>
    </row>
    <row r="40974">
      <c r="S40974" s="27"/>
      <c r="T40974" s="27"/>
      <c r="U40974" s="27"/>
    </row>
    <row r="40975">
      <c r="S40975" s="27"/>
      <c r="T40975" s="27"/>
      <c r="U40975" s="27"/>
    </row>
    <row r="40977">
      <c r="S40977" s="27"/>
      <c r="T40977" s="27"/>
      <c r="U40977" s="27"/>
    </row>
    <row r="40978">
      <c r="S40978" s="27"/>
      <c r="T40978" s="27"/>
      <c r="U40978" s="27"/>
    </row>
    <row r="40980">
      <c r="S40980" s="27"/>
      <c r="T40980" s="27"/>
      <c r="U40980" s="27"/>
    </row>
    <row r="40981">
      <c r="S40981" s="27"/>
      <c r="T40981" s="27"/>
      <c r="U40981" s="27"/>
    </row>
    <row r="40983">
      <c r="S40983" s="27"/>
      <c r="T40983" s="27"/>
      <c r="U40983" s="27"/>
    </row>
    <row r="40984">
      <c r="S40984" s="27"/>
      <c r="T40984" s="27"/>
      <c r="U40984" s="27"/>
    </row>
    <row r="40986">
      <c r="S40986" s="27"/>
      <c r="T40986" s="27"/>
      <c r="U40986" s="27"/>
    </row>
    <row r="40987">
      <c r="S40987" s="27"/>
      <c r="T40987" s="27"/>
      <c r="U40987" s="27"/>
    </row>
    <row r="40989">
      <c r="S40989" s="27"/>
      <c r="T40989" s="27"/>
      <c r="U40989" s="27"/>
    </row>
    <row r="40990">
      <c r="S40990" s="27"/>
      <c r="T40990" s="27"/>
      <c r="U40990" s="27"/>
    </row>
    <row r="40992">
      <c r="S40992" s="27"/>
      <c r="T40992" s="27"/>
      <c r="U40992" s="27"/>
    </row>
    <row r="40993">
      <c r="S40993" s="27"/>
      <c r="T40993" s="27"/>
      <c r="U40993" s="27"/>
    </row>
    <row r="40995">
      <c r="S40995" s="27"/>
      <c r="T40995" s="27"/>
      <c r="U40995" s="27"/>
    </row>
    <row r="40996">
      <c r="S40996" s="27"/>
      <c r="T40996" s="27"/>
      <c r="U40996" s="27"/>
    </row>
    <row r="40998">
      <c r="S40998" s="27"/>
      <c r="T40998" s="27"/>
      <c r="U40998" s="27"/>
    </row>
    <row r="40999">
      <c r="S40999" s="27"/>
      <c r="T40999" s="27"/>
      <c r="U40999" s="27"/>
    </row>
    <row r="41001">
      <c r="S41001" s="27"/>
      <c r="T41001" s="27"/>
      <c r="U41001" s="27"/>
    </row>
    <row r="41002">
      <c r="S41002" s="27"/>
      <c r="T41002" s="27"/>
      <c r="U41002" s="27"/>
    </row>
    <row r="41004">
      <c r="S41004" s="27"/>
      <c r="T41004" s="27"/>
      <c r="U41004" s="27"/>
    </row>
    <row r="41005">
      <c r="S41005" s="27"/>
      <c r="T41005" s="27"/>
      <c r="U41005" s="27"/>
    </row>
    <row r="41007">
      <c r="S41007" s="27"/>
      <c r="T41007" s="27"/>
      <c r="U41007" s="27"/>
    </row>
    <row r="41008">
      <c r="S41008" s="27"/>
      <c r="T41008" s="27"/>
      <c r="U41008" s="27"/>
    </row>
    <row r="41010">
      <c r="S41010" s="27"/>
      <c r="T41010" s="27"/>
      <c r="U41010" s="27"/>
    </row>
    <row r="41011">
      <c r="S41011" s="27"/>
      <c r="T41011" s="27"/>
      <c r="U41011" s="27"/>
    </row>
    <row r="41013">
      <c r="S41013" s="27"/>
      <c r="T41013" s="27"/>
      <c r="U41013" s="27"/>
    </row>
    <row r="41014">
      <c r="S41014" s="27"/>
      <c r="T41014" s="27"/>
      <c r="U41014" s="27"/>
    </row>
    <row r="41016">
      <c r="S41016" s="27"/>
      <c r="T41016" s="27"/>
      <c r="U41016" s="27"/>
    </row>
    <row r="41017">
      <c r="S41017" s="27"/>
      <c r="T41017" s="27"/>
      <c r="U41017" s="27"/>
    </row>
    <row r="41019">
      <c r="S41019" s="27"/>
      <c r="T41019" s="27"/>
      <c r="U41019" s="27"/>
    </row>
    <row r="41020">
      <c r="S41020" s="27"/>
      <c r="T41020" s="27"/>
      <c r="U41020" s="27"/>
    </row>
    <row r="41022">
      <c r="S41022" s="27"/>
      <c r="T41022" s="27"/>
      <c r="U41022" s="27"/>
    </row>
    <row r="41024">
      <c r="S41024" s="27"/>
      <c r="T41024" s="27"/>
      <c r="U41024" s="27"/>
    </row>
    <row r="41025">
      <c r="S41025" s="27"/>
      <c r="T41025" s="27"/>
      <c r="U41025" s="27"/>
    </row>
    <row r="41027">
      <c r="S41027" s="27"/>
      <c r="T41027" s="27"/>
      <c r="U41027" s="27"/>
    </row>
    <row r="41028">
      <c r="S41028" s="27"/>
      <c r="T41028" s="27"/>
      <c r="U41028" s="27"/>
    </row>
    <row r="41030">
      <c r="S41030" s="27"/>
      <c r="T41030" s="27"/>
      <c r="U41030" s="27"/>
    </row>
    <row r="41031">
      <c r="S41031" s="27"/>
      <c r="T41031" s="27"/>
      <c r="U41031" s="27"/>
    </row>
    <row r="41033">
      <c r="S41033" s="27"/>
      <c r="T41033" s="27"/>
      <c r="U41033" s="27"/>
    </row>
    <row r="41034">
      <c r="S41034" s="27"/>
      <c r="T41034" s="27"/>
      <c r="U41034" s="27"/>
    </row>
    <row r="41036">
      <c r="S41036" s="27"/>
      <c r="T41036" s="27"/>
      <c r="U41036" s="27"/>
    </row>
    <row r="41037">
      <c r="S41037" s="27"/>
      <c r="T41037" s="27"/>
      <c r="U41037" s="27"/>
    </row>
    <row r="41040">
      <c r="S41040" s="27"/>
      <c r="T41040" s="27"/>
      <c r="U41040" s="27"/>
    </row>
    <row r="41042">
      <c r="S41042" s="27"/>
      <c r="T41042" s="27"/>
      <c r="U41042" s="27"/>
    </row>
    <row r="41043">
      <c r="S41043" s="27"/>
      <c r="T41043" s="27"/>
      <c r="U41043" s="27"/>
    </row>
    <row r="41045">
      <c r="S41045" s="27"/>
      <c r="T41045" s="27"/>
      <c r="U41045" s="27"/>
    </row>
    <row r="41047">
      <c r="S41047" s="27"/>
      <c r="T41047" s="27"/>
      <c r="U41047" s="27"/>
    </row>
    <row r="41049">
      <c r="T41049" s="27"/>
      <c r="U41049" s="27"/>
    </row>
    <row r="41051">
      <c r="S41051" s="27"/>
      <c r="T41051" s="27"/>
      <c r="U41051" s="27"/>
    </row>
    <row r="41054">
      <c r="S41054" s="27"/>
      <c r="T41054" s="27"/>
      <c r="U41054" s="27"/>
    </row>
    <row r="41056">
      <c r="S41056" s="27"/>
      <c r="T41056" s="27"/>
      <c r="U41056" s="27"/>
    </row>
    <row r="41057">
      <c r="S41057" s="27"/>
      <c r="T41057" s="27"/>
      <c r="U41057" s="27"/>
    </row>
    <row r="41059">
      <c r="S41059" s="27"/>
      <c r="T41059" s="27"/>
      <c r="U41059" s="27"/>
    </row>
    <row r="41060">
      <c r="S41060" s="27"/>
      <c r="T41060" s="27"/>
    </row>
    <row r="41062">
      <c r="S41062" s="27"/>
      <c r="T41062" s="27"/>
      <c r="U41062" s="27"/>
    </row>
    <row r="41063">
      <c r="S41063" s="27"/>
      <c r="T41063" s="27"/>
      <c r="U41063" s="27"/>
    </row>
    <row r="41065">
      <c r="S41065" s="27"/>
      <c r="T41065" s="27"/>
      <c r="U41065" s="27"/>
    </row>
    <row r="41066">
      <c r="S41066" s="27"/>
      <c r="T41066" s="27"/>
      <c r="U41066" s="27"/>
    </row>
    <row r="41074">
      <c r="T41074" s="27"/>
      <c r="U41074" s="27"/>
    </row>
    <row r="41077">
      <c r="S41077" s="27"/>
      <c r="T41077" s="27"/>
      <c r="U41077" s="27"/>
    </row>
    <row r="41080">
      <c r="S41080" s="27"/>
      <c r="T41080" s="27"/>
      <c r="U41080" s="27"/>
    </row>
    <row r="41081">
      <c r="S41081" s="27"/>
      <c r="T41081" s="27"/>
      <c r="U41081" s="27"/>
    </row>
    <row r="41083">
      <c r="S41083" s="27"/>
      <c r="T41083" s="27"/>
      <c r="U41083" s="27"/>
    </row>
    <row r="41084">
      <c r="S41084" s="27"/>
      <c r="T41084" s="27"/>
      <c r="U41084" s="27"/>
    </row>
    <row r="41086">
      <c r="S41086" s="27"/>
      <c r="T41086" s="27"/>
      <c r="U41086" s="27"/>
    </row>
    <row r="41087">
      <c r="S41087" s="27"/>
      <c r="T41087" s="27"/>
      <c r="U41087" s="27"/>
    </row>
    <row r="41089">
      <c r="U41089" s="27"/>
    </row>
    <row r="41093">
      <c r="S41093" s="27"/>
      <c r="T41093" s="27"/>
      <c r="U41093" s="27"/>
    </row>
    <row r="41094">
      <c r="S41094" s="27"/>
      <c r="T41094" s="27"/>
      <c r="U41094" s="27"/>
    </row>
    <row r="41096">
      <c r="S41096" s="27"/>
      <c r="T41096" s="27"/>
      <c r="U41096" s="27"/>
    </row>
    <row r="41097">
      <c r="S41097" s="27"/>
      <c r="T41097" s="27"/>
    </row>
    <row r="41105">
      <c r="S41105" s="27"/>
      <c r="T41105" s="27"/>
      <c r="U41105" s="27"/>
    </row>
    <row r="41106">
      <c r="S41106" s="27"/>
      <c r="T41106" s="27"/>
      <c r="U41106" s="27"/>
    </row>
    <row r="41108">
      <c r="S41108" s="27"/>
      <c r="T41108" s="27"/>
      <c r="U41108" s="27"/>
    </row>
    <row r="41109">
      <c r="S41109" s="27"/>
      <c r="T41109" s="27"/>
      <c r="U41109" s="27"/>
    </row>
    <row r="41114">
      <c r="S41114" s="26"/>
      <c r="T41114" s="26"/>
      <c r="U41114" s="26"/>
    </row>
    <row r="41117">
      <c r="S41117" s="27"/>
      <c r="T41117" s="27"/>
      <c r="U41117" s="27"/>
    </row>
    <row r="41120">
      <c r="S41120" s="27"/>
      <c r="T41120" s="27"/>
      <c r="U41120" s="27"/>
    </row>
    <row r="41121">
      <c r="S41121" s="27"/>
      <c r="T41121" s="27"/>
      <c r="U41121" s="27"/>
    </row>
    <row r="41123">
      <c r="S41123" s="27"/>
      <c r="T41123" s="27"/>
      <c r="U41123" s="27"/>
    </row>
    <row r="41124">
      <c r="S41124" s="27"/>
      <c r="T41124" s="27"/>
      <c r="U41124" s="27"/>
    </row>
    <row r="41126">
      <c r="S41126" s="27"/>
      <c r="T41126" s="27"/>
      <c r="U41126" s="27"/>
    </row>
    <row r="41127">
      <c r="S41127" s="27"/>
      <c r="T41127" s="27"/>
      <c r="U41127" s="27"/>
    </row>
    <row r="41129">
      <c r="S41129" s="27"/>
      <c r="T41129" s="27"/>
      <c r="U41129" s="27"/>
    </row>
    <row r="41130">
      <c r="S41130" s="27"/>
      <c r="T41130" s="27"/>
      <c r="U41130" s="27"/>
    </row>
    <row r="41132">
      <c r="S41132" s="27"/>
      <c r="T41132" s="27"/>
      <c r="U41132" s="27"/>
    </row>
    <row r="41133">
      <c r="S41133" s="27"/>
      <c r="T41133" s="27"/>
      <c r="U41133" s="27"/>
    </row>
    <row r="41135">
      <c r="S41135" s="27"/>
      <c r="T41135" s="27"/>
      <c r="U41135" s="27"/>
    </row>
    <row r="41136">
      <c r="S41136" s="27"/>
      <c r="T41136" s="27"/>
      <c r="U41136" s="27"/>
    </row>
    <row r="41138">
      <c r="S41138" s="27"/>
      <c r="T41138" s="27"/>
      <c r="U41138" s="27"/>
    </row>
    <row r="41139">
      <c r="S41139" s="27"/>
      <c r="T41139" s="27"/>
      <c r="U41139" s="27"/>
    </row>
    <row r="41141">
      <c r="S41141" s="27"/>
      <c r="T41141" s="27"/>
      <c r="U41141" s="27"/>
    </row>
    <row r="41142">
      <c r="S41142" s="27"/>
      <c r="T41142" s="27"/>
      <c r="U41142" s="27"/>
    </row>
    <row r="41144">
      <c r="S41144" s="27"/>
      <c r="T41144" s="27"/>
      <c r="U41144" s="27"/>
    </row>
    <row r="41145">
      <c r="S41145" s="27"/>
      <c r="T41145" s="27"/>
      <c r="U41145" s="27"/>
    </row>
    <row r="41147">
      <c r="S41147" s="27"/>
      <c r="T41147" s="27"/>
      <c r="U41147" s="27"/>
    </row>
    <row r="41148">
      <c r="S41148" s="27"/>
      <c r="T41148" s="27"/>
      <c r="U41148" s="27"/>
    </row>
    <row r="41150">
      <c r="S41150" s="27"/>
      <c r="T41150" s="27"/>
      <c r="U41150" s="27"/>
    </row>
    <row r="41151">
      <c r="S41151" s="27"/>
      <c r="T41151" s="27"/>
      <c r="U41151" s="27"/>
    </row>
    <row r="41153">
      <c r="S41153" s="27"/>
      <c r="T41153" s="27"/>
      <c r="U41153" s="27"/>
    </row>
    <row r="41154">
      <c r="S41154" s="27"/>
      <c r="T41154" s="27"/>
      <c r="U41154" s="27"/>
    </row>
    <row r="41156">
      <c r="S41156" s="27"/>
      <c r="T41156" s="27"/>
      <c r="U41156" s="27"/>
    </row>
    <row r="41157">
      <c r="S41157" s="27"/>
      <c r="T41157" s="27"/>
      <c r="U41157" s="27"/>
    </row>
    <row r="41159">
      <c r="S41159" s="27"/>
      <c r="T41159" s="27"/>
      <c r="U41159" s="27"/>
    </row>
    <row r="41160">
      <c r="S41160" s="27"/>
      <c r="T41160" s="27"/>
      <c r="U41160" s="27"/>
    </row>
    <row r="41162">
      <c r="S41162" s="27"/>
      <c r="T41162" s="27"/>
      <c r="U41162" s="27"/>
    </row>
    <row r="41163">
      <c r="S41163" s="27"/>
      <c r="T41163" s="27"/>
      <c r="U41163" s="27"/>
    </row>
    <row r="41165">
      <c r="S41165" s="27"/>
      <c r="T41165" s="27"/>
      <c r="U41165" s="27"/>
    </row>
    <row r="41166">
      <c r="S41166" s="27"/>
      <c r="T41166" s="27"/>
      <c r="U41166" s="27"/>
    </row>
    <row r="41168">
      <c r="S41168" s="27"/>
      <c r="T41168" s="27"/>
      <c r="U41168" s="27"/>
    </row>
    <row r="41169">
      <c r="S41169" s="27"/>
      <c r="T41169" s="27"/>
      <c r="U41169" s="27"/>
    </row>
    <row r="41171">
      <c r="S41171" s="27"/>
      <c r="T41171" s="27"/>
      <c r="U41171" s="27"/>
    </row>
    <row r="41172">
      <c r="S41172" s="27"/>
      <c r="T41172" s="27"/>
      <c r="U41172" s="27"/>
    </row>
    <row r="41174">
      <c r="S41174" s="27"/>
      <c r="T41174" s="27"/>
      <c r="U41174" s="27"/>
    </row>
    <row r="41175">
      <c r="S41175" s="27"/>
      <c r="T41175" s="27"/>
      <c r="U41175" s="27"/>
    </row>
    <row r="41177">
      <c r="S41177" s="27"/>
      <c r="T41177" s="27"/>
      <c r="U41177" s="27"/>
    </row>
    <row r="41178">
      <c r="S41178" s="27"/>
      <c r="T41178" s="27"/>
      <c r="U41178" s="27"/>
    </row>
    <row r="41180">
      <c r="S41180" s="27"/>
      <c r="T41180" s="27"/>
      <c r="U41180" s="27"/>
    </row>
    <row r="41181">
      <c r="S41181" s="27"/>
      <c r="T41181" s="27"/>
      <c r="U41181" s="27"/>
    </row>
    <row r="41183">
      <c r="S41183" s="27"/>
      <c r="T41183" s="27"/>
      <c r="U41183" s="27"/>
    </row>
    <row r="41184">
      <c r="S41184" s="27"/>
      <c r="T41184" s="27"/>
      <c r="U41184" s="27"/>
    </row>
    <row r="41186">
      <c r="S41186" s="27"/>
      <c r="T41186" s="27"/>
      <c r="U41186" s="27"/>
    </row>
    <row r="41187">
      <c r="S41187" s="27"/>
      <c r="T41187" s="27"/>
      <c r="U41187" s="27"/>
    </row>
    <row r="41192">
      <c r="S41192" s="27"/>
      <c r="T41192" s="27"/>
      <c r="U41192" s="27"/>
    </row>
    <row r="41193">
      <c r="S41193" s="27"/>
      <c r="T41193" s="27"/>
      <c r="U41193" s="27"/>
    </row>
    <row r="41198">
      <c r="S41198" s="33"/>
      <c r="T41198" s="33"/>
    </row>
    <row r="41199">
      <c r="S41199" s="27"/>
      <c r="T41199" s="27"/>
    </row>
    <row r="41201">
      <c r="S41201" s="27"/>
      <c r="T41201" s="27"/>
      <c r="U41201" s="27"/>
    </row>
    <row r="41202">
      <c r="S41202" s="27"/>
      <c r="T41202" s="27"/>
      <c r="U41202" s="27"/>
    </row>
    <row r="41206">
      <c r="S41206" s="27"/>
      <c r="T41206" s="27"/>
      <c r="U41206" s="27"/>
    </row>
    <row r="41207">
      <c r="S41207" s="27"/>
      <c r="T41207" s="27"/>
      <c r="U41207" s="27"/>
    </row>
    <row r="41209">
      <c r="S41209" s="27"/>
      <c r="T41209" s="27"/>
      <c r="U41209" s="27"/>
    </row>
    <row r="41210">
      <c r="S41210" s="27"/>
      <c r="T41210" s="27"/>
      <c r="U41210" s="27"/>
    </row>
    <row r="41220">
      <c r="S41220" s="27"/>
      <c r="T41220" s="27"/>
      <c r="U41220" s="27"/>
    </row>
    <row r="41222">
      <c r="S41222" s="26"/>
      <c r="T41222" s="27"/>
      <c r="U41222" s="27"/>
    </row>
    <row r="41225">
      <c r="S41225" s="27"/>
      <c r="T41225" s="27"/>
      <c r="U41225" s="27"/>
    </row>
    <row r="41228">
      <c r="S41228" s="27"/>
      <c r="T41228" s="27"/>
      <c r="U41228" s="27"/>
    </row>
    <row r="41229">
      <c r="S41229" s="27"/>
      <c r="T41229" s="27"/>
      <c r="U41229" s="27"/>
    </row>
    <row r="41231">
      <c r="S41231" s="27"/>
      <c r="T41231" s="27"/>
      <c r="U41231" s="27"/>
    </row>
    <row r="41232">
      <c r="S41232" s="27"/>
      <c r="T41232" s="27"/>
      <c r="U41232" s="27"/>
    </row>
    <row r="41234">
      <c r="S41234" s="27"/>
      <c r="T41234" s="27"/>
      <c r="U41234" s="27"/>
    </row>
    <row r="41235">
      <c r="T41235" s="27"/>
      <c r="U41235" s="27"/>
    </row>
    <row r="41237">
      <c r="S41237" s="27"/>
      <c r="T41237" s="27"/>
      <c r="U41237" s="27"/>
    </row>
    <row r="41238">
      <c r="S41238" s="27"/>
      <c r="T41238" s="27"/>
      <c r="U41238" s="27"/>
    </row>
    <row r="41240">
      <c r="S41240" s="27"/>
      <c r="T41240" s="27"/>
      <c r="U41240" s="27"/>
    </row>
    <row r="41241">
      <c r="S41241" s="27"/>
      <c r="T41241" s="27"/>
      <c r="U41241" s="27"/>
    </row>
    <row r="41246">
      <c r="S41246" s="27"/>
      <c r="T41246" s="27"/>
      <c r="U41246" s="27"/>
    </row>
    <row r="41247">
      <c r="S41247" s="27"/>
      <c r="T41247" s="27"/>
      <c r="U41247" s="27"/>
    </row>
    <row r="41249">
      <c r="S41249" s="27"/>
      <c r="T41249" s="27"/>
      <c r="U41249" s="34"/>
    </row>
    <row r="41250">
      <c r="S41250" s="27"/>
      <c r="T41250" s="26"/>
    </row>
    <row r="41252">
      <c r="S41252" s="27"/>
      <c r="T41252" s="27"/>
      <c r="U41252" s="27"/>
    </row>
    <row r="41253">
      <c r="S41253" s="27"/>
      <c r="T41253" s="27"/>
      <c r="U41253" s="27"/>
    </row>
    <row r="41255">
      <c r="S41255" s="33"/>
      <c r="T41255" s="27"/>
      <c r="U41255" s="33"/>
    </row>
    <row r="41258">
      <c r="U41258" s="27"/>
    </row>
    <row r="41259">
      <c r="U41259" s="27"/>
    </row>
    <row r="41261">
      <c r="S41261" s="27"/>
      <c r="T41261" s="27"/>
      <c r="U41261" s="27"/>
    </row>
    <row r="41264">
      <c r="S41264" s="33"/>
      <c r="T41264" s="33"/>
      <c r="U41264" s="27"/>
    </row>
    <row r="41265">
      <c r="S41265" s="27"/>
      <c r="T41265" s="27"/>
      <c r="U41265" s="27"/>
    </row>
    <row r="41273">
      <c r="S41273" s="27"/>
      <c r="T41273" s="27"/>
      <c r="U41273" s="27"/>
    </row>
    <row r="41274">
      <c r="S41274" s="27"/>
      <c r="T41274" s="27"/>
      <c r="U41274" s="27"/>
    </row>
    <row r="41276">
      <c r="S41276" s="27"/>
      <c r="T41276" s="27"/>
      <c r="U41276" s="27"/>
    </row>
    <row r="41277">
      <c r="S41277" s="27"/>
      <c r="T41277" s="27"/>
      <c r="U41277" s="27"/>
    </row>
    <row r="41282">
      <c r="S41282" s="26"/>
    </row>
    <row r="41285">
      <c r="S41285" s="33"/>
      <c r="T41285" s="27"/>
      <c r="U41285" s="33"/>
    </row>
    <row r="41286">
      <c r="S41286" s="27"/>
      <c r="T41286" s="27"/>
      <c r="U41286" s="27"/>
    </row>
    <row r="41288">
      <c r="S41288" s="27"/>
      <c r="T41288" s="27"/>
      <c r="U41288" s="27"/>
    </row>
    <row r="41289">
      <c r="S41289" s="27"/>
      <c r="T41289" s="27"/>
      <c r="U41289" s="27"/>
    </row>
    <row r="41291">
      <c r="S41291" s="27"/>
      <c r="U41291" s="27"/>
    </row>
    <row r="41294">
      <c r="T41294" s="27"/>
    </row>
    <row r="41295">
      <c r="S41295" s="27"/>
      <c r="T41295" s="27"/>
      <c r="U41295" s="27"/>
    </row>
    <row r="41297">
      <c r="S41297" s="27"/>
      <c r="T41297" s="27"/>
      <c r="U41297" s="27"/>
    </row>
    <row r="41298">
      <c r="S41298" s="27"/>
      <c r="T41298" s="27"/>
      <c r="U41298" s="27"/>
    </row>
    <row r="41300">
      <c r="S41300" s="27"/>
      <c r="T41300" s="27"/>
      <c r="U41300" s="27"/>
    </row>
    <row r="41301">
      <c r="S41301" s="27"/>
      <c r="T41301" s="27"/>
      <c r="U41301" s="27"/>
    </row>
    <row r="41303">
      <c r="S41303" s="27"/>
      <c r="T41303" s="27"/>
      <c r="U41303" s="27"/>
    </row>
    <row r="41304">
      <c r="S41304" s="26"/>
      <c r="T41304" s="26"/>
      <c r="U41304" s="26"/>
    </row>
    <row r="41306">
      <c r="S41306" s="27"/>
      <c r="T41306" s="27"/>
      <c r="U41306" s="27"/>
    </row>
    <row r="41307">
      <c r="S41307" s="27"/>
      <c r="T41307" s="27"/>
      <c r="U41307" s="27"/>
    </row>
    <row r="41312">
      <c r="S41312" s="27"/>
      <c r="T41312" s="27"/>
      <c r="U41312" s="27"/>
    </row>
    <row r="41315">
      <c r="S41315" s="27"/>
      <c r="T41315" s="27"/>
      <c r="U41315" s="27"/>
    </row>
    <row r="41316">
      <c r="S41316" s="27"/>
      <c r="T41316" s="27"/>
      <c r="U41316" s="27"/>
    </row>
    <row r="41318">
      <c r="S41318" s="27"/>
      <c r="T41318" s="27"/>
      <c r="U41318" s="27"/>
    </row>
    <row r="41319">
      <c r="S41319" s="27"/>
      <c r="T41319" s="27"/>
      <c r="U41319" s="27"/>
    </row>
    <row r="41322">
      <c r="S41322" s="27"/>
      <c r="T41322" s="27"/>
      <c r="U41322" s="27"/>
    </row>
    <row r="41324">
      <c r="T41324" s="26"/>
      <c r="U41324" s="26"/>
    </row>
    <row r="41328">
      <c r="S41328" s="27"/>
      <c r="T41328" s="27"/>
      <c r="U41328" s="27"/>
    </row>
    <row r="41329">
      <c r="S41329" s="27"/>
      <c r="T41329" s="27"/>
      <c r="U41329" s="27"/>
    </row>
    <row r="41331">
      <c r="S41331" s="27"/>
      <c r="T41331" s="27"/>
      <c r="U41331" s="27"/>
    </row>
    <row r="41332">
      <c r="S41332" s="27"/>
      <c r="T41332" s="27"/>
      <c r="U41332" s="27"/>
    </row>
    <row r="41334">
      <c r="S41334" s="27"/>
      <c r="T41334" s="27"/>
      <c r="U41334" s="27"/>
    </row>
    <row r="41335">
      <c r="S41335" s="27"/>
      <c r="T41335" s="27"/>
      <c r="U41335" s="27"/>
    </row>
    <row r="41337">
      <c r="S41337" s="27"/>
      <c r="T41337" s="27"/>
      <c r="U41337" s="27"/>
    </row>
    <row r="41338">
      <c r="S41338" s="27"/>
      <c r="T41338" s="27"/>
      <c r="U41338" s="27"/>
    </row>
    <row r="41340">
      <c r="S41340" s="27"/>
      <c r="T41340" s="27"/>
      <c r="U41340" s="27"/>
    </row>
    <row r="41341">
      <c r="S41341" s="27"/>
      <c r="T41341" s="27"/>
      <c r="U41341" s="27"/>
    </row>
    <row r="41343">
      <c r="S41343" s="27"/>
      <c r="T41343" s="27"/>
      <c r="U41343" s="27"/>
    </row>
    <row r="41344">
      <c r="S41344" s="27"/>
      <c r="T41344" s="27"/>
      <c r="U41344" s="27"/>
    </row>
    <row r="41346">
      <c r="S41346" s="27"/>
      <c r="T41346" s="27"/>
      <c r="U41346" s="27"/>
    </row>
    <row r="41347">
      <c r="S41347" s="27"/>
      <c r="T41347" s="27"/>
      <c r="U41347" s="27"/>
    </row>
    <row r="41349">
      <c r="S41349" s="27"/>
      <c r="T41349" s="27"/>
      <c r="U41349" s="27"/>
    </row>
    <row r="41350">
      <c r="S41350" s="27"/>
      <c r="T41350" s="27"/>
      <c r="U41350" s="27"/>
    </row>
    <row r="41352">
      <c r="S41352" s="27"/>
      <c r="T41352" s="27"/>
      <c r="U41352" s="27"/>
    </row>
    <row r="41353">
      <c r="S41353" s="27"/>
      <c r="T41353" s="27"/>
      <c r="U41353" s="27"/>
    </row>
    <row r="41355">
      <c r="S41355" s="27"/>
      <c r="T41355" s="27"/>
      <c r="U41355" s="27"/>
    </row>
    <row r="41356">
      <c r="S41356" s="27"/>
      <c r="T41356" s="27"/>
      <c r="U41356" s="27"/>
    </row>
    <row r="41358">
      <c r="S41358" s="27"/>
      <c r="T41358" s="27"/>
      <c r="U41358" s="27"/>
    </row>
    <row r="41359">
      <c r="S41359" s="27"/>
      <c r="T41359" s="27"/>
      <c r="U41359" s="27"/>
    </row>
    <row r="41361">
      <c r="S41361" s="27"/>
      <c r="T41361" s="27"/>
      <c r="U41361" s="27"/>
    </row>
    <row r="41362">
      <c r="S41362" s="27"/>
      <c r="T41362" s="27"/>
      <c r="U41362" s="27"/>
    </row>
    <row r="41364">
      <c r="S41364" s="27"/>
      <c r="T41364" s="27"/>
      <c r="U41364" s="27"/>
    </row>
    <row r="41365">
      <c r="S41365" s="27"/>
      <c r="T41365" s="27"/>
      <c r="U41365" s="27"/>
    </row>
    <row r="41367">
      <c r="S41367" s="27"/>
      <c r="T41367" s="27"/>
      <c r="U41367" s="27"/>
    </row>
    <row r="41368">
      <c r="S41368" s="27"/>
      <c r="T41368" s="27"/>
      <c r="U41368" s="27"/>
    </row>
    <row r="41370">
      <c r="S41370" s="27"/>
      <c r="T41370" s="27"/>
      <c r="U41370" s="27"/>
    </row>
    <row r="41371">
      <c r="S41371" s="27"/>
      <c r="T41371" s="27"/>
      <c r="U41371" s="27"/>
    </row>
    <row r="41373">
      <c r="S41373" s="27"/>
      <c r="T41373" s="27"/>
      <c r="U41373" s="27"/>
    </row>
    <row r="41374">
      <c r="S41374" s="27"/>
      <c r="T41374" s="27"/>
      <c r="U41374" s="27"/>
    </row>
    <row r="41376">
      <c r="S41376" s="27"/>
      <c r="T41376" s="27"/>
      <c r="U41376" s="27"/>
    </row>
    <row r="41377">
      <c r="S41377" s="27"/>
      <c r="T41377" s="27"/>
      <c r="U41377" s="27"/>
    </row>
    <row r="41379">
      <c r="S41379" s="27"/>
      <c r="T41379" s="27"/>
      <c r="U41379" s="27"/>
    </row>
    <row r="41380">
      <c r="S41380" s="27"/>
      <c r="T41380" s="27"/>
      <c r="U41380" s="27"/>
    </row>
    <row r="41382">
      <c r="S41382" s="27"/>
      <c r="T41382" s="27"/>
      <c r="U41382" s="27"/>
    </row>
    <row r="41383">
      <c r="S41383" s="27"/>
      <c r="T41383" s="27"/>
      <c r="U41383" s="27"/>
    </row>
    <row r="41385">
      <c r="S41385" s="27"/>
      <c r="T41385" s="27"/>
      <c r="U41385" s="27"/>
    </row>
    <row r="41386">
      <c r="S41386" s="27"/>
      <c r="T41386" s="27"/>
      <c r="U41386" s="27"/>
    </row>
    <row r="41388">
      <c r="S41388" s="27"/>
      <c r="T41388" s="27"/>
      <c r="U41388" s="27"/>
    </row>
    <row r="41389">
      <c r="S41389" s="27"/>
      <c r="T41389" s="27"/>
      <c r="U41389" s="27"/>
    </row>
    <row r="41391">
      <c r="S41391" s="27"/>
      <c r="T41391" s="27"/>
      <c r="U41391" s="27"/>
    </row>
    <row r="41392">
      <c r="S41392" s="27"/>
      <c r="T41392" s="27"/>
      <c r="U41392" s="27"/>
    </row>
    <row r="41394">
      <c r="S41394" s="27"/>
      <c r="T41394" s="27"/>
      <c r="U41394" s="27"/>
    </row>
    <row r="41395">
      <c r="S41395" s="27"/>
      <c r="T41395" s="27"/>
      <c r="U41395" s="27"/>
    </row>
    <row r="41397">
      <c r="S41397" s="27"/>
      <c r="T41397" s="27"/>
      <c r="U41397" s="27"/>
    </row>
    <row r="41398">
      <c r="S41398" s="27"/>
      <c r="T41398" s="27"/>
      <c r="U41398" s="27"/>
    </row>
    <row r="41400">
      <c r="S41400" s="27"/>
      <c r="T41400" s="27"/>
      <c r="U41400" s="27"/>
    </row>
    <row r="41401">
      <c r="S41401" s="27"/>
      <c r="T41401" s="27"/>
      <c r="U41401" s="27"/>
    </row>
    <row r="41403">
      <c r="S41403" s="27"/>
      <c r="T41403" s="27"/>
      <c r="U41403" s="27"/>
    </row>
    <row r="41404">
      <c r="S41404" s="27"/>
      <c r="T41404" s="27"/>
      <c r="U41404" s="27"/>
    </row>
    <row r="41406">
      <c r="S41406" s="27"/>
      <c r="T41406" s="27"/>
      <c r="U41406" s="27"/>
    </row>
    <row r="41407">
      <c r="S41407" s="27"/>
      <c r="T41407" s="27"/>
      <c r="U41407" s="27"/>
    </row>
    <row r="41409">
      <c r="S41409" s="27"/>
      <c r="T41409" s="27"/>
      <c r="U41409" s="27"/>
    </row>
    <row r="41410">
      <c r="S41410" s="27"/>
      <c r="T41410" s="27"/>
      <c r="U41410" s="27"/>
    </row>
    <row r="41412">
      <c r="S41412" s="27"/>
      <c r="T41412" s="27"/>
      <c r="U41412" s="27"/>
    </row>
    <row r="41413">
      <c r="S41413" s="27"/>
      <c r="T41413" s="27"/>
      <c r="U41413" s="27"/>
    </row>
    <row r="41415">
      <c r="S41415" s="27"/>
      <c r="T41415" s="27"/>
      <c r="U41415" s="27"/>
    </row>
    <row r="41416">
      <c r="S41416" s="27"/>
      <c r="T41416" s="27"/>
      <c r="U41416" s="27"/>
    </row>
    <row r="41418">
      <c r="S41418" s="27"/>
      <c r="T41418" s="27"/>
      <c r="U41418" s="27"/>
    </row>
    <row r="41420">
      <c r="S41420" s="27"/>
      <c r="T41420" s="27"/>
      <c r="U41420" s="27"/>
    </row>
    <row r="41421">
      <c r="S41421" s="27"/>
      <c r="T41421" s="27"/>
      <c r="U41421" s="27"/>
    </row>
    <row r="41423">
      <c r="S41423" s="27"/>
      <c r="T41423" s="27"/>
      <c r="U41423" s="27"/>
    </row>
    <row r="41424">
      <c r="S41424" s="27"/>
      <c r="T41424" s="27"/>
      <c r="U41424" s="27"/>
    </row>
    <row r="41426">
      <c r="S41426" s="27"/>
      <c r="T41426" s="27"/>
      <c r="U41426" s="27"/>
    </row>
    <row r="41427">
      <c r="S41427" s="27"/>
      <c r="T41427" s="27"/>
      <c r="U41427" s="27"/>
    </row>
    <row r="41429">
      <c r="S41429" s="27"/>
      <c r="T41429" s="27"/>
      <c r="U41429" s="27"/>
    </row>
    <row r="41430">
      <c r="S41430" s="27"/>
      <c r="T41430" s="27"/>
      <c r="U41430" s="27"/>
    </row>
    <row r="41432">
      <c r="S41432" s="27"/>
      <c r="T41432" s="27"/>
      <c r="U41432" s="27"/>
    </row>
    <row r="41433">
      <c r="S41433" s="27"/>
      <c r="T41433" s="27"/>
      <c r="U41433" s="27"/>
    </row>
    <row r="41435">
      <c r="S41435" s="27"/>
      <c r="T41435" s="27"/>
      <c r="U41435" s="27"/>
    </row>
    <row r="41436">
      <c r="S41436" s="27"/>
      <c r="T41436" s="27"/>
      <c r="U41436" s="27"/>
    </row>
    <row r="41439">
      <c r="S41439" s="27"/>
      <c r="T41439" s="27"/>
      <c r="U41439" s="27"/>
    </row>
    <row r="41441">
      <c r="S41441" s="27"/>
      <c r="T41441" s="27"/>
      <c r="U41441" s="27"/>
    </row>
    <row r="41443">
      <c r="S41443" s="27"/>
      <c r="T41443" s="27"/>
      <c r="U41443" s="27"/>
    </row>
    <row r="41445">
      <c r="S41445" s="27"/>
      <c r="T41445" s="27"/>
      <c r="U41445" s="27"/>
    </row>
    <row r="41447">
      <c r="S41447" s="27"/>
      <c r="T41447" s="27"/>
      <c r="U41447" s="27"/>
    </row>
    <row r="41449">
      <c r="S41449" s="27"/>
      <c r="T41449" s="27"/>
      <c r="U41449" s="27"/>
    </row>
    <row r="41450">
      <c r="S41450" s="27"/>
      <c r="T41450" s="27"/>
      <c r="U41450" s="27"/>
    </row>
    <row r="41452">
      <c r="S41452" s="27"/>
      <c r="T41452" s="27"/>
      <c r="U41452" s="27"/>
    </row>
    <row r="41453">
      <c r="S41453" s="27"/>
      <c r="T41453" s="27"/>
      <c r="U41453" s="27"/>
    </row>
    <row r="41455">
      <c r="S41455" s="27"/>
      <c r="T41455" s="27"/>
      <c r="U41455" s="27"/>
    </row>
    <row r="41456">
      <c r="S41456" s="27"/>
      <c r="T41456" s="27"/>
      <c r="U41456" s="27"/>
    </row>
    <row r="41458">
      <c r="S41458" s="27"/>
      <c r="T41458" s="27"/>
      <c r="U41458" s="27"/>
    </row>
    <row r="41459">
      <c r="S41459" s="27"/>
      <c r="T41459" s="27"/>
      <c r="U41459" s="27"/>
    </row>
    <row r="41461">
      <c r="S41461" s="27"/>
      <c r="T41461" s="27"/>
      <c r="U41461" s="27"/>
    </row>
    <row r="41462">
      <c r="S41462" s="27"/>
      <c r="T41462" s="27"/>
      <c r="U41462" s="27"/>
    </row>
    <row r="41464">
      <c r="S41464" s="27"/>
      <c r="T41464" s="27"/>
      <c r="U41464" s="27"/>
    </row>
    <row r="41465">
      <c r="S41465" s="27"/>
      <c r="T41465" s="27"/>
      <c r="U41465" s="27"/>
    </row>
    <row r="41467">
      <c r="S41467" s="27"/>
      <c r="T41467" s="27"/>
      <c r="U41467" s="27"/>
    </row>
    <row r="41468">
      <c r="S41468" s="27"/>
      <c r="T41468" s="27"/>
      <c r="U41468" s="27"/>
    </row>
    <row r="41470">
      <c r="S41470" s="27"/>
      <c r="T41470" s="26"/>
      <c r="U41470" s="26"/>
    </row>
    <row r="41473">
      <c r="S41473" s="33"/>
      <c r="T41473" s="33"/>
      <c r="U41473" s="33"/>
    </row>
    <row r="41474">
      <c r="S41474" s="26"/>
      <c r="T41474" s="26"/>
      <c r="U41474" s="26"/>
    </row>
    <row r="41476">
      <c r="S41476" s="27"/>
      <c r="T41476" s="27"/>
      <c r="U41476" s="27"/>
    </row>
    <row r="41477">
      <c r="S41477" s="27"/>
      <c r="T41477" s="27"/>
      <c r="U41477" s="27"/>
    </row>
    <row r="41479">
      <c r="S41479" s="27"/>
      <c r="T41479" s="27"/>
      <c r="U41479" s="27"/>
    </row>
    <row r="41480">
      <c r="S41480" s="27"/>
      <c r="T41480" s="27"/>
      <c r="U41480" s="27"/>
    </row>
    <row r="41482">
      <c r="S41482" s="27"/>
      <c r="T41482" s="27"/>
      <c r="U41482" s="27"/>
    </row>
    <row r="41483">
      <c r="S41483" s="27"/>
      <c r="T41483" s="27"/>
      <c r="U41483" s="27"/>
    </row>
    <row r="41485">
      <c r="S41485" s="27"/>
      <c r="T41485" s="27"/>
    </row>
    <row r="41488">
      <c r="S41488" s="27"/>
      <c r="T41488" s="27"/>
      <c r="U41488" s="27"/>
    </row>
    <row r="41489">
      <c r="S41489" s="27"/>
      <c r="T41489" s="27"/>
      <c r="U41489" s="27"/>
    </row>
    <row r="41491">
      <c r="S41491" s="27"/>
      <c r="T41491" s="27"/>
      <c r="U41491" s="27"/>
    </row>
    <row r="41492">
      <c r="S41492" s="27"/>
      <c r="T41492" s="27"/>
      <c r="U41492" s="27"/>
    </row>
    <row r="41494">
      <c r="S41494" s="26"/>
      <c r="U41494" s="27"/>
    </row>
    <row r="41495">
      <c r="T41495" s="27"/>
      <c r="U41495" s="27"/>
    </row>
    <row r="41500">
      <c r="S41500" s="26"/>
      <c r="T41500" s="26"/>
      <c r="U41500" s="26"/>
    </row>
    <row r="41503">
      <c r="S41503" s="27"/>
      <c r="T41503" s="27"/>
      <c r="U41503" s="27"/>
    </row>
    <row r="41504">
      <c r="S41504" s="27"/>
      <c r="T41504" s="27"/>
      <c r="U41504" s="27"/>
    </row>
    <row r="41506">
      <c r="S41506" s="27"/>
      <c r="T41506" s="27"/>
      <c r="U41506" s="27"/>
    </row>
    <row r="41507">
      <c r="S41507" s="27"/>
      <c r="T41507" s="27"/>
      <c r="U41507" s="27"/>
    </row>
    <row r="41509">
      <c r="S41509" s="26"/>
      <c r="T41509" s="26"/>
      <c r="U41509" s="26"/>
    </row>
    <row r="41515">
      <c r="S41515" s="27"/>
      <c r="T41515" s="27"/>
      <c r="U41515" s="27"/>
    </row>
    <row r="41518">
      <c r="S41518" s="27"/>
      <c r="T41518" s="27"/>
      <c r="U41518" s="27"/>
    </row>
    <row r="41519">
      <c r="S41519" s="27"/>
      <c r="T41519" s="27"/>
      <c r="U41519" s="27"/>
    </row>
    <row r="41521">
      <c r="S41521" s="27"/>
      <c r="T41521" s="27"/>
      <c r="U41521" s="27"/>
    </row>
    <row r="41522">
      <c r="S41522" s="27"/>
      <c r="T41522" s="27"/>
      <c r="U41522" s="27"/>
    </row>
    <row r="41524">
      <c r="S41524" s="27"/>
      <c r="T41524" s="27"/>
      <c r="U41524" s="27"/>
    </row>
    <row r="41525">
      <c r="S41525" s="27"/>
      <c r="T41525" s="27"/>
      <c r="U41525" s="27"/>
    </row>
    <row r="41527">
      <c r="S41527" s="27"/>
      <c r="T41527" s="27"/>
      <c r="U41527" s="27"/>
    </row>
    <row r="41528">
      <c r="S41528" s="27"/>
      <c r="T41528" s="27"/>
      <c r="U41528" s="27"/>
    </row>
    <row r="41530">
      <c r="S41530" s="27"/>
      <c r="T41530" s="27"/>
      <c r="U41530" s="27"/>
    </row>
    <row r="41531">
      <c r="S41531" s="27"/>
      <c r="T41531" s="27"/>
      <c r="U41531" s="27"/>
    </row>
    <row r="41533">
      <c r="S41533" s="27"/>
      <c r="T41533" s="27"/>
      <c r="U41533" s="27"/>
    </row>
    <row r="41534">
      <c r="S41534" s="27"/>
      <c r="T41534" s="27"/>
      <c r="U41534" s="27"/>
    </row>
    <row r="41536">
      <c r="S41536" s="27"/>
      <c r="T41536" s="27"/>
      <c r="U41536" s="27"/>
    </row>
    <row r="41537">
      <c r="S41537" s="27"/>
      <c r="T41537" s="27"/>
      <c r="U41537" s="27"/>
    </row>
    <row r="41539">
      <c r="S41539" s="27"/>
      <c r="T41539" s="27"/>
      <c r="U41539" s="27"/>
    </row>
    <row r="41540">
      <c r="S41540" s="27"/>
      <c r="T41540" s="27"/>
      <c r="U41540" s="27"/>
    </row>
    <row r="41542">
      <c r="S41542" s="27"/>
      <c r="T41542" s="27"/>
      <c r="U41542" s="27"/>
    </row>
    <row r="41543">
      <c r="S41543" s="27"/>
      <c r="T41543" s="27"/>
      <c r="U41543" s="27"/>
    </row>
    <row r="41545">
      <c r="S41545" s="27"/>
      <c r="T41545" s="27"/>
      <c r="U41545" s="27"/>
    </row>
    <row r="41546">
      <c r="S41546" s="27"/>
      <c r="T41546" s="27"/>
      <c r="U41546" s="27"/>
    </row>
    <row r="41548">
      <c r="S41548" s="27"/>
      <c r="T41548" s="27"/>
      <c r="U41548" s="27"/>
    </row>
    <row r="41549">
      <c r="S41549" s="27"/>
      <c r="T41549" s="27"/>
      <c r="U41549" s="27"/>
    </row>
    <row r="41551">
      <c r="S41551" s="27"/>
      <c r="T41551" s="27"/>
      <c r="U41551" s="27"/>
    </row>
    <row r="41552">
      <c r="S41552" s="27"/>
      <c r="T41552" s="27"/>
      <c r="U41552" s="27"/>
    </row>
    <row r="41554">
      <c r="S41554" s="27"/>
      <c r="T41554" s="27"/>
      <c r="U41554" s="27"/>
    </row>
    <row r="41555">
      <c r="S41555" s="27"/>
      <c r="T41555" s="27"/>
      <c r="U41555" s="27"/>
    </row>
    <row r="41557">
      <c r="S41557" s="27"/>
      <c r="T41557" s="27"/>
      <c r="U41557" s="27"/>
    </row>
    <row r="41558">
      <c r="S41558" s="27"/>
      <c r="T41558" s="27"/>
      <c r="U41558" s="27"/>
    </row>
    <row r="41560">
      <c r="S41560" s="27"/>
      <c r="T41560" s="27"/>
      <c r="U41560" s="27"/>
    </row>
    <row r="41561">
      <c r="S41561" s="27"/>
      <c r="T41561" s="27"/>
      <c r="U41561" s="27"/>
    </row>
    <row r="41563">
      <c r="S41563" s="27"/>
      <c r="T41563" s="27"/>
      <c r="U41563" s="27"/>
    </row>
    <row r="41564">
      <c r="S41564" s="27"/>
      <c r="T41564" s="27"/>
      <c r="U41564" s="27"/>
    </row>
    <row r="41566">
      <c r="S41566" s="27"/>
      <c r="T41566" s="27"/>
      <c r="U41566" s="27"/>
    </row>
    <row r="41567">
      <c r="S41567" s="27"/>
      <c r="T41567" s="27"/>
      <c r="U41567" s="27"/>
    </row>
    <row r="41569">
      <c r="S41569" s="27"/>
      <c r="T41569" s="27"/>
      <c r="U41569" s="27"/>
    </row>
    <row r="41570">
      <c r="S41570" s="27"/>
      <c r="T41570" s="27"/>
      <c r="U41570" s="27"/>
    </row>
    <row r="41572">
      <c r="S41572" s="27"/>
      <c r="T41572" s="27"/>
      <c r="U41572" s="27"/>
    </row>
    <row r="41573">
      <c r="S41573" s="27"/>
      <c r="T41573" s="27"/>
      <c r="U41573" s="27"/>
    </row>
    <row r="41575">
      <c r="S41575" s="27"/>
      <c r="T41575" s="27"/>
      <c r="U41575" s="27"/>
    </row>
    <row r="41576">
      <c r="S41576" s="27"/>
      <c r="T41576" s="27"/>
      <c r="U41576" s="27"/>
    </row>
    <row r="41578">
      <c r="S41578" s="27"/>
      <c r="T41578" s="27"/>
      <c r="U41578" s="27"/>
    </row>
    <row r="41579">
      <c r="S41579" s="27"/>
      <c r="T41579" s="27"/>
      <c r="U41579" s="27"/>
    </row>
    <row r="41581">
      <c r="S41581" s="27"/>
      <c r="T41581" s="27"/>
      <c r="U41581" s="27"/>
    </row>
    <row r="41582">
      <c r="S41582" s="27"/>
      <c r="T41582" s="27"/>
      <c r="U41582" s="27"/>
    </row>
    <row r="41584">
      <c r="S41584" s="27"/>
      <c r="T41584" s="27"/>
      <c r="U41584" s="27"/>
    </row>
    <row r="41585">
      <c r="S41585" s="27"/>
      <c r="T41585" s="27"/>
      <c r="U41585" s="27"/>
    </row>
    <row r="41587">
      <c r="S41587" s="27"/>
      <c r="T41587" s="27"/>
      <c r="U41587" s="27"/>
    </row>
    <row r="41588">
      <c r="S41588" s="27"/>
      <c r="T41588" s="27"/>
      <c r="U41588" s="27"/>
    </row>
    <row r="41593">
      <c r="S41593" s="33"/>
      <c r="T41593" s="27"/>
      <c r="U41593" s="27"/>
    </row>
    <row r="41594">
      <c r="S41594" s="27"/>
      <c r="T41594" s="27"/>
      <c r="U41594" s="27"/>
    </row>
    <row r="41596">
      <c r="S41596" s="27"/>
      <c r="T41596" s="27"/>
      <c r="U41596" s="27"/>
    </row>
    <row r="41602">
      <c r="U41602" s="27"/>
    </row>
    <row r="41603">
      <c r="S41603" s="27"/>
      <c r="T41603" s="27"/>
      <c r="U41603" s="27"/>
    </row>
    <row r="41605">
      <c r="S41605" s="27"/>
    </row>
    <row r="41606">
      <c r="S41606" s="26"/>
    </row>
    <row r="41608">
      <c r="S41608" s="27"/>
      <c r="T41608" s="27"/>
      <c r="U41608" s="27"/>
    </row>
    <row r="41609">
      <c r="S41609" s="27"/>
      <c r="T41609" s="27"/>
      <c r="U41609" s="27"/>
    </row>
    <row r="41611">
      <c r="S41611" s="27"/>
      <c r="T41611" s="27"/>
      <c r="U41611" s="27"/>
    </row>
    <row r="41612">
      <c r="S41612" s="27"/>
      <c r="T41612" s="27"/>
      <c r="U41612" s="27"/>
    </row>
    <row r="41614">
      <c r="S41614" s="27"/>
      <c r="T41614" s="27"/>
      <c r="U41614" s="27"/>
    </row>
    <row r="41615">
      <c r="S41615" s="27"/>
      <c r="T41615" s="27"/>
      <c r="U41615" s="27"/>
    </row>
    <row r="41617">
      <c r="T41617" s="26"/>
    </row>
    <row r="41623">
      <c r="S41623" s="27"/>
      <c r="T41623" s="27"/>
      <c r="U41623" s="27"/>
    </row>
    <row r="41627">
      <c r="S41627" s="26"/>
      <c r="T41627" s="27"/>
      <c r="U41627" s="27"/>
    </row>
    <row r="41630">
      <c r="S41630" s="27"/>
      <c r="T41630" s="27"/>
      <c r="U41630" s="27"/>
    </row>
    <row r="41633">
      <c r="S41633" s="27"/>
      <c r="T41633" s="27"/>
      <c r="U41633" s="27"/>
    </row>
    <row r="41634">
      <c r="S41634" s="27"/>
      <c r="T41634" s="27"/>
      <c r="U41634" s="27"/>
    </row>
    <row r="41636">
      <c r="S41636" s="27"/>
      <c r="T41636" s="27"/>
      <c r="U41636" s="27"/>
    </row>
    <row r="41637">
      <c r="S41637" s="27"/>
      <c r="T41637" s="27"/>
      <c r="U41637" s="27"/>
    </row>
    <row r="41639">
      <c r="S41639" s="27"/>
      <c r="T41639" s="27"/>
      <c r="U41639" s="27"/>
    </row>
    <row r="41640">
      <c r="S41640" s="27"/>
      <c r="T41640" s="27"/>
    </row>
    <row r="41642">
      <c r="S41642" s="27"/>
      <c r="T41642" s="27"/>
      <c r="U41642" s="27"/>
    </row>
    <row r="41643">
      <c r="S41643" s="27"/>
      <c r="U41643" s="27"/>
    </row>
    <row r="41645">
      <c r="S41645" s="27"/>
      <c r="T41645" s="27"/>
      <c r="U41645" s="27"/>
    </row>
    <row r="41646">
      <c r="S41646" s="27"/>
      <c r="T41646" s="27"/>
      <c r="U41646" s="27"/>
    </row>
    <row r="41651">
      <c r="S41651" s="27"/>
      <c r="T41651" s="27"/>
      <c r="U41651" s="27"/>
    </row>
    <row r="41652">
      <c r="S41652" s="27"/>
      <c r="T41652" s="27"/>
      <c r="U41652" s="27"/>
    </row>
    <row r="41654">
      <c r="S41654" s="27"/>
      <c r="T41654" s="27"/>
      <c r="U41654" s="27"/>
    </row>
    <row r="41655">
      <c r="S41655" s="27"/>
      <c r="T41655" s="27"/>
      <c r="U41655" s="27"/>
    </row>
    <row r="41657">
      <c r="S41657" s="27"/>
      <c r="T41657" s="27"/>
      <c r="U41657" s="27"/>
    </row>
    <row r="41658">
      <c r="S41658" s="27"/>
      <c r="T41658" s="27"/>
      <c r="U41658" s="27"/>
    </row>
    <row r="41660">
      <c r="S41660" s="33"/>
      <c r="T41660" s="33"/>
      <c r="U41660" s="27"/>
    </row>
    <row r="41663">
      <c r="U41663" s="27"/>
    </row>
    <row r="41664">
      <c r="U41664" s="27"/>
    </row>
    <row r="41666">
      <c r="S41666" s="27"/>
      <c r="T41666" s="27"/>
      <c r="U41666" s="27"/>
    </row>
    <row r="41669">
      <c r="S41669" s="27"/>
      <c r="T41669" s="27"/>
      <c r="U41669" s="33"/>
    </row>
    <row r="41670">
      <c r="S41670" s="27"/>
      <c r="T41670" s="27"/>
      <c r="U41670" s="27"/>
    </row>
    <row r="41673">
      <c r="S41673" s="26"/>
      <c r="T41673" s="26"/>
      <c r="U41673" s="26"/>
    </row>
    <row r="41675">
      <c r="S41675" s="27"/>
      <c r="T41675" s="27"/>
      <c r="U41675" s="27"/>
    </row>
    <row r="41676">
      <c r="S41676" s="27"/>
      <c r="T41676" s="27"/>
      <c r="U41676" s="27"/>
    </row>
    <row r="41678">
      <c r="S41678" s="27"/>
      <c r="T41678" s="27"/>
      <c r="U41678" s="27"/>
    </row>
    <row r="41679">
      <c r="S41679" s="27"/>
      <c r="T41679" s="27"/>
      <c r="U41679" s="27"/>
    </row>
    <row r="41681">
      <c r="S41681" s="27"/>
      <c r="T41681" s="27"/>
      <c r="U41681" s="27"/>
    </row>
    <row r="41682">
      <c r="S41682" s="27"/>
      <c r="T41682" s="27"/>
      <c r="U41682" s="27"/>
    </row>
    <row r="41684">
      <c r="S41684" s="27"/>
      <c r="T41684" s="27"/>
      <c r="U41684" s="27"/>
    </row>
    <row r="41685">
      <c r="S41685" s="27"/>
      <c r="T41685" s="27"/>
      <c r="U41685" s="27"/>
    </row>
    <row r="41690">
      <c r="S41690" s="27"/>
      <c r="T41690" s="27"/>
      <c r="U41690" s="27"/>
    </row>
    <row r="41691">
      <c r="S41691" s="27"/>
      <c r="T41691" s="27"/>
      <c r="U41691" s="27"/>
    </row>
    <row r="41693">
      <c r="S41693" s="27"/>
      <c r="T41693" s="27"/>
      <c r="U41693" s="27"/>
    </row>
    <row r="41694">
      <c r="S41694" s="27"/>
      <c r="T41694" s="27"/>
      <c r="U41694" s="27"/>
    </row>
    <row r="41696">
      <c r="S41696" s="26"/>
      <c r="T41696" s="27"/>
    </row>
    <row r="41699">
      <c r="U41699" s="27"/>
    </row>
    <row r="41700">
      <c r="S41700" s="27"/>
      <c r="T41700" s="27"/>
      <c r="U41700" s="27"/>
    </row>
    <row r="41702">
      <c r="S41702" s="27"/>
      <c r="T41702" s="27"/>
      <c r="U41702" s="27"/>
    </row>
    <row r="41703">
      <c r="S41703" s="27"/>
      <c r="T41703" s="27"/>
      <c r="U41703" s="27"/>
    </row>
    <row r="41705">
      <c r="S41705" s="27"/>
      <c r="T41705" s="27"/>
      <c r="U41705" s="27"/>
    </row>
    <row r="41706">
      <c r="S41706" s="27"/>
      <c r="T41706" s="27"/>
      <c r="U41706" s="27"/>
    </row>
    <row r="41708">
      <c r="S41708" s="27"/>
      <c r="T41708" s="27"/>
      <c r="U41708" s="27"/>
    </row>
    <row r="41709">
      <c r="S41709" s="26"/>
      <c r="U41709" s="26"/>
    </row>
    <row r="41711">
      <c r="S41711" s="27"/>
      <c r="T41711" s="27"/>
      <c r="U41711" s="27"/>
    </row>
    <row r="41712">
      <c r="S41712" s="27"/>
      <c r="T41712" s="27"/>
      <c r="U41712" s="27"/>
    </row>
    <row r="41714">
      <c r="S41714" s="26"/>
      <c r="T41714" s="26"/>
      <c r="U41714" s="26"/>
    </row>
    <row r="41717">
      <c r="S41717" s="27"/>
      <c r="T41717" s="27"/>
      <c r="U41717" s="27"/>
    </row>
    <row r="41720">
      <c r="S41720" s="27"/>
      <c r="T41720" s="27"/>
      <c r="U41720" s="27"/>
    </row>
    <row r="41721">
      <c r="S41721" s="27"/>
      <c r="T41721" s="27"/>
      <c r="U41721" s="27"/>
    </row>
    <row r="41723">
      <c r="S41723" s="27"/>
      <c r="T41723" s="27"/>
      <c r="U41723" s="27"/>
    </row>
    <row r="41724">
      <c r="S41724" s="27"/>
      <c r="T41724" s="27"/>
      <c r="U41724" s="27"/>
    </row>
    <row r="41726">
      <c r="S41726" s="27"/>
      <c r="T41726" s="27"/>
      <c r="U41726" s="27"/>
    </row>
    <row r="41727">
      <c r="S41727" s="27"/>
      <c r="T41727" s="27"/>
      <c r="U41727" s="27"/>
    </row>
    <row r="41730">
      <c r="T41730" s="26"/>
      <c r="U41730" s="26"/>
    </row>
    <row r="41732">
      <c r="S41732" s="27"/>
      <c r="T41732" s="27"/>
      <c r="U41732" s="27"/>
    </row>
    <row r="41733">
      <c r="T41733" s="27"/>
      <c r="U41733" s="27"/>
    </row>
    <row r="41735">
      <c r="S41735" s="27"/>
      <c r="T41735" s="27"/>
      <c r="U41735" s="27"/>
    </row>
    <row r="41736">
      <c r="S41736" s="27"/>
      <c r="T41736" s="27"/>
      <c r="U41736" s="27"/>
    </row>
    <row r="41738">
      <c r="S41738" s="27"/>
      <c r="T41738" s="27"/>
      <c r="U41738" s="27"/>
    </row>
    <row r="41739">
      <c r="S41739" s="27"/>
      <c r="T41739" s="27"/>
      <c r="U41739" s="27"/>
    </row>
    <row r="41741">
      <c r="S41741" s="27"/>
      <c r="T41741" s="27"/>
      <c r="U41741" s="27"/>
    </row>
    <row r="41742">
      <c r="S41742" s="27"/>
      <c r="T41742" s="27"/>
      <c r="U41742" s="27"/>
    </row>
    <row r="41744">
      <c r="S41744" s="27"/>
      <c r="T41744" s="27"/>
      <c r="U41744" s="27"/>
    </row>
    <row r="41745">
      <c r="S41745" s="27"/>
      <c r="T41745" s="27"/>
      <c r="U41745" s="27"/>
    </row>
    <row r="41747">
      <c r="T41747" s="27"/>
      <c r="U41747" s="27"/>
    </row>
    <row r="41748">
      <c r="T41748" s="27"/>
      <c r="U41748" s="27"/>
    </row>
    <row r="41750">
      <c r="S41750" s="27"/>
      <c r="T41750" s="27"/>
      <c r="U41750" s="27"/>
    </row>
    <row r="41751">
      <c r="S41751" s="27"/>
      <c r="T41751" s="27"/>
      <c r="U41751" s="27"/>
    </row>
    <row r="41753">
      <c r="S41753" s="27"/>
      <c r="T41753" s="27"/>
      <c r="U41753" s="27"/>
    </row>
    <row r="41754">
      <c r="S41754" s="27"/>
      <c r="T41754" s="27"/>
      <c r="U41754" s="27"/>
    </row>
    <row r="41756">
      <c r="S41756" s="27"/>
      <c r="T41756" s="27"/>
      <c r="U41756" s="27"/>
    </row>
    <row r="41757">
      <c r="S41757" s="27"/>
      <c r="T41757" s="27"/>
      <c r="U41757" s="27"/>
    </row>
    <row r="41759">
      <c r="S41759" s="27"/>
      <c r="T41759" s="27"/>
      <c r="U41759" s="27"/>
    </row>
    <row r="41760">
      <c r="S41760" s="27"/>
      <c r="T41760" s="27"/>
      <c r="U41760" s="27"/>
    </row>
    <row r="41762">
      <c r="S41762" s="27"/>
      <c r="T41762" s="27"/>
      <c r="U41762" s="27"/>
    </row>
    <row r="41763">
      <c r="S41763" s="27"/>
      <c r="T41763" s="27"/>
      <c r="U41763" s="27"/>
    </row>
    <row r="41765">
      <c r="S41765" s="27"/>
      <c r="T41765" s="27"/>
      <c r="U41765" s="27"/>
    </row>
    <row r="41766">
      <c r="S41766" s="27"/>
      <c r="T41766" s="27"/>
      <c r="U41766" s="27"/>
    </row>
    <row r="41768">
      <c r="S41768" s="27"/>
      <c r="T41768" s="27"/>
      <c r="U41768" s="27"/>
    </row>
    <row r="41769">
      <c r="S41769" s="27"/>
      <c r="T41769" s="27"/>
      <c r="U41769" s="27"/>
    </row>
    <row r="41771">
      <c r="S41771" s="27"/>
      <c r="T41771" s="27"/>
      <c r="U41771" s="27"/>
    </row>
    <row r="41772">
      <c r="S41772" s="27"/>
      <c r="T41772" s="27"/>
      <c r="U41772" s="27"/>
    </row>
    <row r="41774">
      <c r="S41774" s="27"/>
      <c r="T41774" s="27"/>
      <c r="U41774" s="27"/>
    </row>
    <row r="41775">
      <c r="S41775" s="27"/>
      <c r="T41775" s="27"/>
      <c r="U41775" s="27"/>
    </row>
    <row r="41777">
      <c r="S41777" s="27"/>
      <c r="T41777" s="27"/>
      <c r="U41777" s="27"/>
    </row>
    <row r="41778">
      <c r="S41778" s="27"/>
      <c r="T41778" s="27"/>
      <c r="U41778" s="27"/>
    </row>
    <row r="41780">
      <c r="S41780" s="27"/>
      <c r="T41780" s="27"/>
      <c r="U41780" s="27"/>
    </row>
    <row r="41781">
      <c r="S41781" s="27"/>
      <c r="T41781" s="27"/>
      <c r="U41781" s="27"/>
    </row>
    <row r="41783">
      <c r="S41783" s="27"/>
      <c r="T41783" s="27"/>
      <c r="U41783" s="27"/>
    </row>
    <row r="41784">
      <c r="S41784" s="27"/>
      <c r="T41784" s="27"/>
      <c r="U41784" s="27"/>
    </row>
    <row r="41786">
      <c r="S41786" s="27"/>
      <c r="T41786" s="27"/>
      <c r="U41786" s="27"/>
    </row>
    <row r="41787">
      <c r="S41787" s="27"/>
      <c r="T41787" s="27"/>
      <c r="U41787" s="27"/>
    </row>
    <row r="41789">
      <c r="S41789" s="27"/>
      <c r="T41789" s="27"/>
      <c r="U41789" s="27"/>
    </row>
    <row r="41790">
      <c r="S41790" s="27"/>
      <c r="T41790" s="27"/>
      <c r="U41790" s="27"/>
    </row>
    <row r="41792">
      <c r="S41792" s="27"/>
      <c r="T41792" s="27"/>
      <c r="U41792" s="27"/>
    </row>
    <row r="41793">
      <c r="S41793" s="27"/>
      <c r="T41793" s="27"/>
      <c r="U41793" s="27"/>
    </row>
    <row r="41795">
      <c r="S41795" s="27"/>
      <c r="T41795" s="27"/>
      <c r="U41795" s="27"/>
    </row>
    <row r="41796">
      <c r="S41796" s="27"/>
      <c r="T41796" s="27"/>
      <c r="U41796" s="27"/>
    </row>
    <row r="41798">
      <c r="S41798" s="27"/>
      <c r="T41798" s="27"/>
      <c r="U41798" s="27"/>
    </row>
    <row r="41799">
      <c r="S41799" s="27"/>
      <c r="T41799" s="27"/>
      <c r="U41799" s="27"/>
    </row>
    <row r="41801">
      <c r="S41801" s="27"/>
      <c r="T41801" s="27"/>
      <c r="U41801" s="27"/>
    </row>
    <row r="41802">
      <c r="S41802" s="27"/>
      <c r="T41802" s="27"/>
      <c r="U41802" s="27"/>
    </row>
    <row r="41804">
      <c r="S41804" s="27"/>
      <c r="T41804" s="27"/>
      <c r="U41804" s="27"/>
    </row>
    <row r="41805">
      <c r="S41805" s="27"/>
      <c r="T41805" s="27"/>
      <c r="U41805" s="27"/>
    </row>
    <row r="41807">
      <c r="S41807" s="27"/>
      <c r="T41807" s="27"/>
      <c r="U41807" s="27"/>
    </row>
    <row r="41808">
      <c r="S41808" s="27"/>
      <c r="T41808" s="27"/>
      <c r="U41808" s="27"/>
    </row>
    <row r="41810">
      <c r="S41810" s="27"/>
      <c r="T41810" s="27"/>
      <c r="U41810" s="27"/>
    </row>
    <row r="41811">
      <c r="S41811" s="27"/>
      <c r="T41811" s="27"/>
      <c r="U41811" s="27"/>
    </row>
    <row r="41813">
      <c r="S41813" s="27"/>
      <c r="T41813" s="27"/>
      <c r="U41813" s="27"/>
    </row>
    <row r="41814">
      <c r="S41814" s="27"/>
      <c r="T41814" s="27"/>
      <c r="U41814" s="27"/>
    </row>
    <row r="41816">
      <c r="S41816" s="27"/>
      <c r="T41816" s="27"/>
      <c r="U41816" s="27"/>
    </row>
    <row r="41817">
      <c r="S41817" s="27"/>
      <c r="T41817" s="27"/>
      <c r="U41817" s="27"/>
    </row>
    <row r="41819">
      <c r="S41819" s="27"/>
      <c r="T41819" s="27"/>
      <c r="U41819" s="27"/>
    </row>
    <row r="41820">
      <c r="S41820" s="27"/>
      <c r="T41820" s="27"/>
      <c r="U41820" s="27"/>
    </row>
    <row r="41822">
      <c r="S41822" s="27"/>
      <c r="T41822" s="27"/>
      <c r="U41822" s="27"/>
    </row>
    <row r="41823">
      <c r="S41823" s="27"/>
      <c r="T41823" s="27"/>
      <c r="U41823" s="27"/>
    </row>
    <row r="41825">
      <c r="S41825" s="27"/>
      <c r="T41825" s="27"/>
      <c r="U41825" s="27"/>
    </row>
    <row r="41827">
      <c r="S41827" s="27"/>
      <c r="T41827" s="27"/>
      <c r="U41827" s="27"/>
    </row>
    <row r="41828">
      <c r="S41828" s="27"/>
      <c r="T41828" s="27"/>
      <c r="U41828" s="27"/>
    </row>
    <row r="41830">
      <c r="S41830" s="27"/>
      <c r="T41830" s="27"/>
      <c r="U41830" s="27"/>
    </row>
    <row r="41831">
      <c r="S41831" s="27"/>
      <c r="T41831" s="27"/>
      <c r="U41831" s="27"/>
    </row>
    <row r="41833">
      <c r="S41833" s="27"/>
      <c r="T41833" s="27"/>
      <c r="U41833" s="27"/>
    </row>
    <row r="41834">
      <c r="S41834" s="27"/>
      <c r="T41834" s="27"/>
      <c r="U41834" s="27"/>
    </row>
    <row r="41836">
      <c r="S41836" s="27"/>
      <c r="T41836" s="27"/>
      <c r="U41836" s="27"/>
    </row>
    <row r="41837">
      <c r="S41837" s="27"/>
      <c r="T41837" s="27"/>
      <c r="U41837" s="27"/>
    </row>
    <row r="41839">
      <c r="S41839" s="27"/>
      <c r="T41839" s="27"/>
      <c r="U41839" s="27"/>
    </row>
    <row r="41840">
      <c r="S41840" s="27"/>
      <c r="T41840" s="27"/>
      <c r="U41840" s="27"/>
    </row>
    <row r="41842">
      <c r="S41842" s="27"/>
      <c r="T41842" s="27"/>
      <c r="U41842" s="27"/>
    </row>
    <row r="41843">
      <c r="S41843" s="27"/>
      <c r="T41843" s="27"/>
      <c r="U41843" s="27"/>
    </row>
    <row r="41845">
      <c r="S41845" s="27"/>
      <c r="T41845" s="27"/>
      <c r="U41845" s="27"/>
    </row>
    <row r="41846">
      <c r="S41846" s="27"/>
      <c r="T41846" s="27"/>
      <c r="U41846" s="27"/>
    </row>
    <row r="41848">
      <c r="S41848" s="27"/>
      <c r="T41848" s="27"/>
      <c r="U41848" s="27"/>
    </row>
    <row r="41850">
      <c r="S41850" s="27"/>
      <c r="T41850" s="27"/>
      <c r="U41850" s="27"/>
    </row>
    <row r="41852">
      <c r="S41852" s="27"/>
      <c r="T41852" s="27"/>
      <c r="U41852" s="27"/>
    </row>
    <row r="41854">
      <c r="S41854" s="27"/>
      <c r="T41854" s="27"/>
      <c r="U41854" s="27"/>
    </row>
    <row r="41856">
      <c r="S41856" s="27"/>
      <c r="T41856" s="27"/>
      <c r="U41856" s="27"/>
    </row>
    <row r="41857">
      <c r="S41857" s="27"/>
      <c r="T41857" s="27"/>
      <c r="U41857" s="27"/>
    </row>
    <row r="41859">
      <c r="S41859" s="27"/>
      <c r="T41859" s="27"/>
      <c r="U41859" s="27"/>
    </row>
    <row r="41860">
      <c r="S41860" s="27"/>
      <c r="T41860" s="27"/>
      <c r="U41860" s="27"/>
    </row>
    <row r="41862">
      <c r="S41862" s="27"/>
      <c r="T41862" s="27"/>
      <c r="U41862" s="27"/>
    </row>
    <row r="41863">
      <c r="S41863" s="27"/>
      <c r="T41863" s="27"/>
      <c r="U41863" s="27"/>
    </row>
    <row r="41865">
      <c r="S41865" s="27"/>
      <c r="T41865" s="27"/>
      <c r="U41865" s="27"/>
    </row>
    <row r="41866">
      <c r="S41866" s="27"/>
      <c r="T41866" s="27"/>
      <c r="U41866" s="27"/>
    </row>
    <row r="41868">
      <c r="S41868" s="27"/>
      <c r="T41868" s="27"/>
      <c r="U41868" s="27"/>
    </row>
    <row r="41869">
      <c r="S41869" s="27"/>
      <c r="T41869" s="27"/>
      <c r="U41869" s="27"/>
    </row>
    <row r="41871">
      <c r="S41871" s="27"/>
      <c r="T41871" s="27"/>
      <c r="U41871" s="27"/>
    </row>
    <row r="41872">
      <c r="S41872" s="27"/>
      <c r="T41872" s="27"/>
      <c r="U41872" s="27"/>
    </row>
    <row r="41874">
      <c r="S41874" s="27"/>
      <c r="T41874" s="27"/>
      <c r="U41874" s="27"/>
    </row>
    <row r="41875">
      <c r="S41875" s="27"/>
      <c r="T41875" s="27"/>
      <c r="U41875" s="27"/>
    </row>
    <row r="41877">
      <c r="S41877" s="27"/>
      <c r="T41877" s="27"/>
      <c r="U41877" s="27"/>
    </row>
    <row r="41880">
      <c r="S41880" s="27"/>
      <c r="T41880" s="27"/>
      <c r="U41880" s="27"/>
    </row>
    <row r="41883">
      <c r="S41883" s="27"/>
      <c r="T41883" s="27"/>
      <c r="U41883" s="27"/>
    </row>
    <row r="41884">
      <c r="S41884" s="27"/>
      <c r="T41884" s="27"/>
      <c r="U41884" s="27"/>
    </row>
    <row r="41886">
      <c r="S41886" s="27"/>
      <c r="T41886" s="27"/>
      <c r="U41886" s="27"/>
    </row>
    <row r="41887">
      <c r="S41887" s="27"/>
      <c r="T41887" s="27"/>
      <c r="U41887" s="27"/>
    </row>
    <row r="41889">
      <c r="S41889" s="27"/>
      <c r="T41889" s="27"/>
      <c r="U41889" s="27"/>
    </row>
    <row r="41890">
      <c r="S41890" s="27"/>
      <c r="T41890" s="27"/>
      <c r="U41890" s="27"/>
    </row>
    <row r="41892">
      <c r="S41892" s="26"/>
      <c r="T41892" s="26"/>
      <c r="U41892" s="26"/>
    </row>
    <row r="41895">
      <c r="S41895" s="27"/>
      <c r="T41895" s="27"/>
      <c r="U41895" s="27"/>
    </row>
    <row r="41896">
      <c r="S41896" s="27"/>
      <c r="T41896" s="27"/>
      <c r="U41896" s="27"/>
    </row>
    <row r="41898">
      <c r="S41898" s="27"/>
      <c r="T41898" s="27"/>
      <c r="U41898" s="27"/>
    </row>
    <row r="41899">
      <c r="S41899" s="27"/>
      <c r="T41899" s="27"/>
      <c r="U41899" s="27"/>
    </row>
    <row r="41901">
      <c r="S41901" s="26"/>
      <c r="T41901" s="27"/>
      <c r="U41901" s="27"/>
    </row>
    <row r="41902">
      <c r="T41902" s="27"/>
      <c r="U41902" s="27"/>
    </row>
    <row r="41904">
      <c r="T41904" s="27"/>
      <c r="U41904" s="27"/>
    </row>
    <row r="41910">
      <c r="S41910" s="27"/>
      <c r="T41910" s="27"/>
      <c r="U41910" s="27"/>
    </row>
    <row r="41911">
      <c r="S41911" s="27"/>
      <c r="T41911" s="27"/>
      <c r="U41911" s="27"/>
    </row>
    <row r="41913">
      <c r="S41913" s="27"/>
      <c r="T41913" s="27"/>
      <c r="U41913" s="27"/>
    </row>
    <row r="41914">
      <c r="S41914" s="27"/>
      <c r="T41914" s="27"/>
      <c r="U41914" s="27"/>
    </row>
    <row r="41916">
      <c r="S41916" s="26"/>
      <c r="T41916" s="26"/>
      <c r="U41916" s="26"/>
    </row>
    <row r="41919">
      <c r="T41919" s="27"/>
      <c r="U41919" s="27"/>
    </row>
    <row r="41922">
      <c r="S41922" s="27"/>
      <c r="T41922" s="27"/>
      <c r="U41922" s="27"/>
    </row>
    <row r="41925">
      <c r="S41925" s="27"/>
      <c r="T41925" s="27"/>
      <c r="U41925" s="27"/>
    </row>
    <row r="41926">
      <c r="S41926" s="27"/>
      <c r="T41926" s="27"/>
      <c r="U41926" s="27"/>
    </row>
    <row r="41928">
      <c r="S41928" s="27"/>
      <c r="T41928" s="27"/>
      <c r="U41928" s="27"/>
    </row>
    <row r="41929">
      <c r="S41929" s="27"/>
      <c r="T41929" s="27"/>
      <c r="U41929" s="27"/>
    </row>
    <row r="41931">
      <c r="S41931" s="27"/>
      <c r="T41931" s="27"/>
      <c r="U41931" s="27"/>
    </row>
    <row r="41932">
      <c r="S41932" s="27"/>
      <c r="T41932" s="27"/>
      <c r="U41932" s="27"/>
    </row>
    <row r="41934">
      <c r="S41934" s="27"/>
      <c r="T41934" s="27"/>
      <c r="U41934" s="27"/>
    </row>
    <row r="41935">
      <c r="S41935" s="27"/>
      <c r="T41935" s="27"/>
      <c r="U41935" s="27"/>
    </row>
    <row r="41937">
      <c r="S41937" s="27"/>
      <c r="T41937" s="27"/>
      <c r="U41937" s="27"/>
    </row>
    <row r="41938">
      <c r="S41938" s="27"/>
      <c r="T41938" s="27"/>
      <c r="U41938" s="27"/>
    </row>
    <row r="41940">
      <c r="S41940" s="27"/>
      <c r="T41940" s="27"/>
      <c r="U41940" s="27"/>
    </row>
    <row r="41941">
      <c r="S41941" s="27"/>
      <c r="T41941" s="27"/>
      <c r="U41941" s="27"/>
    </row>
    <row r="41943">
      <c r="S41943" s="27"/>
      <c r="T41943" s="27"/>
      <c r="U41943" s="27"/>
    </row>
    <row r="41944">
      <c r="S41944" s="27"/>
      <c r="T41944" s="27"/>
      <c r="U41944" s="27"/>
    </row>
    <row r="41946">
      <c r="S41946" s="27"/>
      <c r="T41946" s="27"/>
      <c r="U41946" s="27"/>
    </row>
    <row r="41947">
      <c r="S41947" s="27"/>
      <c r="T41947" s="27"/>
      <c r="U41947" s="27"/>
    </row>
    <row r="41949">
      <c r="S41949" s="27"/>
      <c r="T41949" s="27"/>
      <c r="U41949" s="27"/>
    </row>
    <row r="41950">
      <c r="S41950" s="27"/>
      <c r="T41950" s="27"/>
      <c r="U41950" s="27"/>
    </row>
    <row r="41952">
      <c r="S41952" s="27"/>
      <c r="T41952" s="27"/>
      <c r="U41952" s="27"/>
    </row>
    <row r="41953">
      <c r="S41953" s="27"/>
      <c r="T41953" s="27"/>
      <c r="U41953" s="27"/>
    </row>
    <row r="41955">
      <c r="S41955" s="27"/>
      <c r="T41955" s="27"/>
      <c r="U41955" s="27"/>
    </row>
    <row r="41956">
      <c r="S41956" s="27"/>
      <c r="T41956" s="27"/>
      <c r="U41956" s="27"/>
    </row>
    <row r="41958">
      <c r="S41958" s="27"/>
      <c r="T41958" s="27"/>
      <c r="U41958" s="27"/>
    </row>
    <row r="41959">
      <c r="S41959" s="27"/>
      <c r="T41959" s="27"/>
      <c r="U41959" s="27"/>
    </row>
    <row r="41961">
      <c r="S41961" s="27"/>
      <c r="T41961" s="27"/>
      <c r="U41961" s="27"/>
    </row>
    <row r="41962">
      <c r="S41962" s="27"/>
      <c r="T41962" s="27"/>
      <c r="U41962" s="27"/>
    </row>
    <row r="41964">
      <c r="S41964" s="27"/>
      <c r="T41964" s="27"/>
      <c r="U41964" s="27"/>
    </row>
    <row r="41965">
      <c r="S41965" s="27"/>
      <c r="T41965" s="27"/>
      <c r="U41965" s="27"/>
    </row>
    <row r="41967">
      <c r="S41967" s="27"/>
      <c r="T41967" s="27"/>
      <c r="U41967" s="27"/>
    </row>
    <row r="41968">
      <c r="S41968" s="27"/>
      <c r="T41968" s="27"/>
      <c r="U41968" s="27"/>
    </row>
    <row r="41970">
      <c r="S41970" s="27"/>
      <c r="T41970" s="27"/>
      <c r="U41970" s="27"/>
    </row>
    <row r="41971">
      <c r="S41971" s="27"/>
      <c r="T41971" s="27"/>
      <c r="U41971" s="27"/>
    </row>
    <row r="41973">
      <c r="S41973" s="27"/>
      <c r="T41973" s="27"/>
      <c r="U41973" s="27"/>
    </row>
    <row r="41974">
      <c r="S41974" s="27"/>
      <c r="T41974" s="27"/>
      <c r="U41974" s="27"/>
    </row>
    <row r="41976">
      <c r="S41976" s="27"/>
      <c r="T41976" s="27"/>
      <c r="U41976" s="27"/>
    </row>
    <row r="41977">
      <c r="S41977" s="27"/>
      <c r="T41977" s="27"/>
      <c r="U41977" s="27"/>
    </row>
    <row r="41979">
      <c r="S41979" s="27"/>
      <c r="T41979" s="27"/>
      <c r="U41979" s="27"/>
    </row>
    <row r="41980">
      <c r="S41980" s="27"/>
      <c r="T41980" s="27"/>
      <c r="U41980" s="27"/>
    </row>
    <row r="41982">
      <c r="S41982" s="27"/>
      <c r="T41982" s="27"/>
      <c r="U41982" s="27"/>
    </row>
    <row r="41983">
      <c r="S41983" s="27"/>
      <c r="T41983" s="27"/>
      <c r="U41983" s="27"/>
    </row>
    <row r="41985">
      <c r="S41985" s="27"/>
      <c r="T41985" s="27"/>
      <c r="U41985" s="27"/>
    </row>
    <row r="41986">
      <c r="S41986" s="27"/>
      <c r="T41986" s="27"/>
      <c r="U41986" s="27"/>
    </row>
    <row r="41988">
      <c r="S41988" s="27"/>
      <c r="T41988" s="27"/>
      <c r="U41988" s="27"/>
    </row>
    <row r="41989">
      <c r="S41989" s="27"/>
      <c r="T41989" s="27"/>
      <c r="U41989" s="27"/>
    </row>
    <row r="41991">
      <c r="S41991" s="27"/>
      <c r="T41991" s="27"/>
      <c r="U41991" s="27"/>
    </row>
    <row r="41992">
      <c r="S41992" s="27"/>
      <c r="T41992" s="27"/>
      <c r="U41992" s="27"/>
    </row>
    <row r="41994">
      <c r="S41994" s="27"/>
      <c r="T41994" s="27"/>
      <c r="U41994" s="27"/>
    </row>
    <row r="41995">
      <c r="S41995" s="27"/>
      <c r="T41995" s="27"/>
      <c r="U41995" s="27"/>
    </row>
    <row r="42000">
      <c r="S42000" s="27"/>
      <c r="T42000" s="27"/>
      <c r="U42000" s="27"/>
    </row>
    <row r="42001">
      <c r="S42001" s="27"/>
      <c r="T42001" s="27"/>
      <c r="U42001" s="27"/>
    </row>
    <row r="42003">
      <c r="S42003" s="27"/>
      <c r="T42003" s="27"/>
      <c r="U42003" s="27"/>
    </row>
    <row r="42006">
      <c r="S42006" s="33"/>
      <c r="T42006" s="33"/>
    </row>
    <row r="42007">
      <c r="S42007" s="27"/>
      <c r="T42007" s="27"/>
    </row>
    <row r="42009">
      <c r="S42009" s="27"/>
      <c r="T42009" s="27"/>
      <c r="U42009" s="27"/>
    </row>
    <row r="42010">
      <c r="S42010" s="27"/>
      <c r="T42010" s="27"/>
      <c r="U42010" s="27"/>
    </row>
    <row r="42012">
      <c r="S42012" s="27"/>
      <c r="T42012" s="27"/>
      <c r="U42012" s="27"/>
    </row>
    <row r="42015">
      <c r="S42015" s="27"/>
      <c r="T42015" s="27"/>
      <c r="U42015" s="27"/>
    </row>
    <row r="42016">
      <c r="S42016" s="27"/>
      <c r="T42016" s="27"/>
      <c r="U42016" s="27"/>
    </row>
    <row r="42018">
      <c r="S42018" s="27"/>
      <c r="T42018" s="27"/>
      <c r="U42018" s="27"/>
    </row>
    <row r="42019">
      <c r="S42019" s="27"/>
      <c r="T42019" s="27"/>
      <c r="U42019" s="27"/>
    </row>
    <row r="42021">
      <c r="S42021" s="27"/>
      <c r="T42021" s="27"/>
      <c r="U42021" s="27"/>
    </row>
    <row r="42022">
      <c r="S42022" s="27"/>
      <c r="T42022" s="27"/>
      <c r="U42022" s="27"/>
    </row>
    <row r="42027">
      <c r="S42027" s="26"/>
      <c r="T42027" s="26"/>
    </row>
    <row r="42030">
      <c r="S42030" s="27"/>
      <c r="T42030" s="27"/>
      <c r="U42030" s="27"/>
    </row>
    <row r="42032">
      <c r="S42032" s="27"/>
      <c r="T42032" s="27"/>
      <c r="U42032" s="27"/>
    </row>
    <row r="42034">
      <c r="S42034" s="27"/>
      <c r="T42034" s="27"/>
      <c r="U42034" s="27"/>
    </row>
    <row r="42037">
      <c r="S42037" s="27"/>
      <c r="T42037" s="27"/>
      <c r="U42037" s="27"/>
    </row>
    <row r="42040">
      <c r="S42040" s="27"/>
      <c r="T42040" s="27"/>
      <c r="U42040" s="27"/>
    </row>
    <row r="42041">
      <c r="S42041" s="27"/>
      <c r="T42041" s="27"/>
      <c r="U42041" s="27"/>
    </row>
    <row r="42043">
      <c r="S42043" s="27"/>
      <c r="T42043" s="27"/>
      <c r="U42043" s="27"/>
    </row>
    <row r="42044">
      <c r="S42044" s="27"/>
      <c r="T42044" s="27"/>
      <c r="U42044" s="27"/>
    </row>
    <row r="42046">
      <c r="S42046" s="27"/>
      <c r="T42046" s="27"/>
      <c r="U42046" s="27"/>
    </row>
    <row r="42047">
      <c r="S42047" s="27"/>
      <c r="T42047" s="27"/>
      <c r="U42047" s="27"/>
    </row>
    <row r="42049">
      <c r="S42049" s="27"/>
      <c r="T42049" s="27"/>
      <c r="U42049" s="27"/>
    </row>
    <row r="42050">
      <c r="S42050" s="26"/>
      <c r="T42050" s="27"/>
      <c r="U42050" s="27"/>
    </row>
    <row r="42052">
      <c r="S42052" s="27"/>
      <c r="T42052" s="27"/>
      <c r="U42052" s="27"/>
    </row>
    <row r="42053">
      <c r="S42053" s="27"/>
      <c r="T42053" s="27"/>
      <c r="U42053" s="27"/>
    </row>
    <row r="42058">
      <c r="S42058" s="27"/>
      <c r="T42058" s="27"/>
      <c r="U42058" s="27"/>
    </row>
    <row r="42059">
      <c r="S42059" s="27"/>
      <c r="T42059" s="27"/>
      <c r="U42059" s="27"/>
    </row>
    <row r="42061">
      <c r="S42061" s="27"/>
      <c r="T42061" s="27"/>
      <c r="U42061" s="27"/>
    </row>
    <row r="42062">
      <c r="S42062" s="27"/>
      <c r="T42062" s="27"/>
      <c r="U42062" s="27"/>
    </row>
    <row r="42064">
      <c r="S42064" s="27"/>
      <c r="T42064" s="27"/>
      <c r="U42064" s="27"/>
    </row>
    <row r="42065">
      <c r="S42065" s="27"/>
      <c r="T42065" s="27"/>
      <c r="U42065" s="27"/>
    </row>
    <row r="42070">
      <c r="S42070" s="27"/>
      <c r="T42070" s="27"/>
      <c r="U42070" s="27"/>
    </row>
    <row r="42073">
      <c r="S42073" s="27"/>
      <c r="T42073" s="27"/>
      <c r="U42073" s="27"/>
    </row>
    <row r="42074">
      <c r="S42074" s="33"/>
      <c r="T42074" s="33"/>
      <c r="U42074" s="33"/>
    </row>
    <row r="42076">
      <c r="S42076" s="27"/>
    </row>
    <row r="42077">
      <c r="S42077" s="26"/>
      <c r="T42077" s="26"/>
      <c r="U42077" s="26"/>
    </row>
    <row r="42079">
      <c r="S42079" s="27"/>
      <c r="T42079" s="27"/>
      <c r="U42079" s="27"/>
    </row>
    <row r="42080">
      <c r="S42080" s="27"/>
      <c r="T42080" s="27"/>
      <c r="U42080" s="27"/>
    </row>
    <row r="42082">
      <c r="S42082" s="27"/>
      <c r="T42082" s="27"/>
      <c r="U42082" s="27"/>
    </row>
    <row r="42083">
      <c r="S42083" s="27"/>
      <c r="T42083" s="27"/>
      <c r="U42083" s="27"/>
    </row>
    <row r="42085">
      <c r="S42085" s="27"/>
      <c r="T42085" s="27"/>
      <c r="U42085" s="27"/>
    </row>
    <row r="42086">
      <c r="S42086" s="27"/>
      <c r="T42086" s="27"/>
      <c r="U42086" s="27"/>
    </row>
    <row r="42088">
      <c r="S42088" s="27"/>
      <c r="T42088" s="27"/>
      <c r="U42088" s="27"/>
    </row>
    <row r="42089">
      <c r="S42089" s="27"/>
      <c r="T42089" s="27"/>
      <c r="U42089" s="27"/>
    </row>
    <row r="42094">
      <c r="S42094" s="27"/>
      <c r="T42094" s="27"/>
      <c r="U42094" s="27"/>
    </row>
    <row r="42095">
      <c r="S42095" s="27"/>
      <c r="T42095" s="27"/>
      <c r="U42095" s="27"/>
    </row>
    <row r="42097">
      <c r="S42097" s="27"/>
      <c r="T42097" s="27"/>
      <c r="U42097" s="27"/>
    </row>
    <row r="42098">
      <c r="S42098" s="27"/>
      <c r="T42098" s="27"/>
      <c r="U42098" s="27"/>
    </row>
    <row r="42100">
      <c r="T42100" s="27"/>
      <c r="U42100" s="27"/>
    </row>
    <row r="42103">
      <c r="S42103" s="27"/>
      <c r="T42103" s="27"/>
      <c r="U42103" s="27"/>
    </row>
    <row r="42104">
      <c r="S42104" s="27"/>
      <c r="T42104" s="27"/>
    </row>
    <row r="42106">
      <c r="S42106" s="27"/>
      <c r="T42106" s="27"/>
      <c r="U42106" s="27"/>
    </row>
    <row r="42107">
      <c r="S42107" s="27"/>
      <c r="T42107" s="27"/>
      <c r="U42107" s="27"/>
    </row>
    <row r="42109">
      <c r="S42109" s="27"/>
      <c r="T42109" s="27"/>
      <c r="U42109" s="27"/>
    </row>
    <row r="42110">
      <c r="S42110" s="27"/>
      <c r="T42110" s="27"/>
      <c r="U42110" s="27"/>
    </row>
    <row r="42115">
      <c r="S42115" s="27"/>
      <c r="T42115" s="27"/>
      <c r="U42115" s="27"/>
    </row>
    <row r="42116">
      <c r="S42116" s="27"/>
      <c r="T42116" s="27"/>
      <c r="U42116" s="27"/>
    </row>
    <row r="42118">
      <c r="S42118" s="26"/>
      <c r="T42118" s="26"/>
      <c r="U42118" s="26"/>
    </row>
    <row r="42121">
      <c r="S42121" s="27"/>
      <c r="T42121" s="27"/>
      <c r="U42121" s="27"/>
    </row>
    <row r="42124">
      <c r="S42124" s="27"/>
      <c r="T42124" s="27"/>
      <c r="U42124" s="27"/>
    </row>
    <row r="42125">
      <c r="S42125" s="27"/>
      <c r="T42125" s="27"/>
      <c r="U42125" s="27"/>
    </row>
    <row r="42127">
      <c r="S42127" s="33"/>
      <c r="T42127" s="27"/>
      <c r="U42127" s="27"/>
    </row>
    <row r="42128">
      <c r="T42128" s="33"/>
      <c r="U42128" s="27"/>
    </row>
    <row r="42130">
      <c r="S42130" s="27"/>
      <c r="T42130" s="27"/>
      <c r="U42130" s="27"/>
    </row>
    <row r="42131">
      <c r="S42131" s="27"/>
      <c r="T42131" s="27"/>
      <c r="U42131" s="27"/>
    </row>
    <row r="42133">
      <c r="S42133" s="27"/>
    </row>
    <row r="42134">
      <c r="S42134" s="26"/>
      <c r="T42134" s="26"/>
      <c r="U42134" s="26"/>
    </row>
    <row r="42136">
      <c r="S42136" s="27"/>
      <c r="T42136" s="27"/>
      <c r="U42136" s="27"/>
    </row>
    <row r="42137">
      <c r="S42137" s="27"/>
      <c r="T42137" s="27"/>
      <c r="U42137" s="27"/>
    </row>
    <row r="42139">
      <c r="S42139" s="27"/>
      <c r="T42139" s="27"/>
      <c r="U42139" s="27"/>
    </row>
    <row r="42140">
      <c r="S42140" s="27"/>
      <c r="T42140" s="27"/>
      <c r="U42140" s="27"/>
    </row>
    <row r="42142">
      <c r="S42142" s="27"/>
      <c r="T42142" s="27"/>
      <c r="U42142" s="27"/>
    </row>
    <row r="42143">
      <c r="S42143" s="27"/>
      <c r="T42143" s="27"/>
      <c r="U42143" s="27"/>
    </row>
    <row r="42145">
      <c r="S42145" s="27"/>
      <c r="T42145" s="27"/>
      <c r="U42145" s="27"/>
    </row>
    <row r="42146">
      <c r="S42146" s="27"/>
      <c r="T42146" s="27"/>
      <c r="U42146" s="27"/>
    </row>
    <row r="42148">
      <c r="S42148" s="27"/>
      <c r="T42148" s="27"/>
      <c r="U42148" s="27"/>
    </row>
    <row r="42149">
      <c r="S42149" s="27"/>
      <c r="T42149" s="27"/>
      <c r="U42149" s="27"/>
    </row>
    <row r="42151">
      <c r="S42151" s="27"/>
      <c r="T42151" s="27"/>
      <c r="U42151" s="27"/>
    </row>
    <row r="42152">
      <c r="S42152" s="27"/>
      <c r="T42152" s="27"/>
      <c r="U42152" s="27"/>
    </row>
    <row r="42154">
      <c r="S42154" s="27"/>
      <c r="T42154" s="27"/>
      <c r="U42154" s="27"/>
    </row>
    <row r="42155">
      <c r="S42155" s="27"/>
      <c r="T42155" s="27"/>
      <c r="U42155" s="27"/>
    </row>
    <row r="42157">
      <c r="S42157" s="27"/>
      <c r="T42157" s="27"/>
      <c r="U42157" s="27"/>
    </row>
    <row r="42158">
      <c r="S42158" s="27"/>
      <c r="T42158" s="27"/>
      <c r="U42158" s="27"/>
    </row>
    <row r="42160">
      <c r="S42160" s="27"/>
      <c r="T42160" s="27"/>
      <c r="U42160" s="27"/>
    </row>
    <row r="42161">
      <c r="S42161" s="27"/>
      <c r="T42161" s="27"/>
      <c r="U42161" s="27"/>
    </row>
    <row r="42163">
      <c r="S42163" s="27"/>
      <c r="T42163" s="27"/>
      <c r="U42163" s="27"/>
    </row>
    <row r="42164">
      <c r="S42164" s="27"/>
      <c r="T42164" s="27"/>
      <c r="U42164" s="27"/>
    </row>
    <row r="42166">
      <c r="S42166" s="27"/>
      <c r="T42166" s="27"/>
      <c r="U42166" s="27"/>
    </row>
    <row r="42167">
      <c r="S42167" s="27"/>
      <c r="T42167" s="27"/>
      <c r="U42167" s="27"/>
    </row>
    <row r="42169">
      <c r="S42169" s="27"/>
      <c r="T42169" s="27"/>
      <c r="U42169" s="27"/>
    </row>
    <row r="42170">
      <c r="S42170" s="27"/>
      <c r="T42170" s="27"/>
      <c r="U42170" s="27"/>
    </row>
    <row r="42172">
      <c r="S42172" s="27"/>
      <c r="T42172" s="27"/>
      <c r="U42172" s="27"/>
    </row>
    <row r="42173">
      <c r="S42173" s="27"/>
      <c r="T42173" s="27"/>
      <c r="U42173" s="27"/>
    </row>
    <row r="42175">
      <c r="S42175" s="27"/>
      <c r="T42175" s="27"/>
      <c r="U42175" s="27"/>
    </row>
    <row r="42176">
      <c r="S42176" s="27"/>
      <c r="T42176" s="27"/>
      <c r="U42176" s="27"/>
    </row>
    <row r="42178">
      <c r="S42178" s="27"/>
      <c r="T42178" s="27"/>
      <c r="U42178" s="27"/>
    </row>
    <row r="42179">
      <c r="S42179" s="27"/>
      <c r="T42179" s="27"/>
      <c r="U42179" s="27"/>
    </row>
    <row r="42181">
      <c r="S42181" s="27"/>
      <c r="T42181" s="27"/>
      <c r="U42181" s="27"/>
    </row>
    <row r="42182">
      <c r="S42182" s="27"/>
      <c r="T42182" s="27"/>
      <c r="U42182" s="27"/>
    </row>
    <row r="42184">
      <c r="S42184" s="27"/>
      <c r="T42184" s="27"/>
      <c r="U42184" s="27"/>
    </row>
    <row r="42185">
      <c r="S42185" s="27"/>
      <c r="T42185" s="27"/>
      <c r="U42185" s="27"/>
    </row>
    <row r="42187">
      <c r="S42187" s="27"/>
      <c r="T42187" s="27"/>
      <c r="U42187" s="27"/>
    </row>
    <row r="42188">
      <c r="S42188" s="27"/>
      <c r="T42188" s="27"/>
      <c r="U42188" s="27"/>
    </row>
    <row r="42190">
      <c r="S42190" s="27"/>
      <c r="T42190" s="27"/>
      <c r="U42190" s="27"/>
    </row>
    <row r="42191">
      <c r="S42191" s="27"/>
      <c r="T42191" s="27"/>
      <c r="U42191" s="27"/>
    </row>
    <row r="42193">
      <c r="S42193" s="27"/>
      <c r="T42193" s="27"/>
      <c r="U42193" s="27"/>
    </row>
    <row r="42194">
      <c r="S42194" s="27"/>
      <c r="T42194" s="27"/>
      <c r="U42194" s="27"/>
    </row>
    <row r="42196">
      <c r="S42196" s="27"/>
      <c r="T42196" s="27"/>
      <c r="U42196" s="27"/>
    </row>
    <row r="42197">
      <c r="S42197" s="27"/>
      <c r="T42197" s="27"/>
      <c r="U42197" s="27"/>
    </row>
    <row r="42199">
      <c r="S42199" s="27"/>
      <c r="T42199" s="27"/>
      <c r="U42199" s="27"/>
    </row>
    <row r="42200">
      <c r="S42200" s="27"/>
      <c r="T42200" s="27"/>
      <c r="U42200" s="27"/>
    </row>
    <row r="42202">
      <c r="S42202" s="27"/>
      <c r="T42202" s="27"/>
      <c r="U42202" s="27"/>
    </row>
    <row r="42203">
      <c r="S42203" s="27"/>
      <c r="T42203" s="27"/>
      <c r="U42203" s="27"/>
    </row>
    <row r="42205">
      <c r="S42205" s="27"/>
      <c r="T42205" s="27"/>
      <c r="U42205" s="27"/>
    </row>
    <row r="42206">
      <c r="S42206" s="27"/>
      <c r="T42206" s="27"/>
      <c r="U42206" s="27"/>
    </row>
    <row r="42208">
      <c r="S42208" s="27"/>
      <c r="T42208" s="27"/>
      <c r="U42208" s="27"/>
    </row>
    <row r="42209">
      <c r="S42209" s="27"/>
      <c r="T42209" s="27"/>
      <c r="U42209" s="27"/>
    </row>
    <row r="42211">
      <c r="S42211" s="27"/>
      <c r="T42211" s="27"/>
      <c r="U42211" s="27"/>
    </row>
    <row r="42212">
      <c r="S42212" s="27"/>
      <c r="T42212" s="27"/>
      <c r="U42212" s="27"/>
    </row>
    <row r="42214">
      <c r="S42214" s="27"/>
      <c r="T42214" s="27"/>
      <c r="U42214" s="27"/>
    </row>
    <row r="42215">
      <c r="S42215" s="27"/>
      <c r="T42215" s="27"/>
      <c r="U42215" s="27"/>
    </row>
    <row r="42217">
      <c r="S42217" s="27"/>
      <c r="T42217" s="27"/>
      <c r="U42217" s="27"/>
    </row>
    <row r="42218">
      <c r="S42218" s="27"/>
      <c r="T42218" s="27"/>
      <c r="U42218" s="27"/>
    </row>
    <row r="42220">
      <c r="S42220" s="27"/>
      <c r="T42220" s="27"/>
      <c r="U42220" s="27"/>
    </row>
    <row r="42221">
      <c r="S42221" s="27"/>
      <c r="T42221" s="27"/>
      <c r="U42221" s="27"/>
    </row>
    <row r="42223">
      <c r="S42223" s="27"/>
      <c r="T42223" s="27"/>
      <c r="U42223" s="27"/>
    </row>
    <row r="42224">
      <c r="S42224" s="27"/>
      <c r="T42224" s="27"/>
      <c r="U42224" s="27"/>
    </row>
    <row r="42226">
      <c r="S42226" s="27"/>
      <c r="T42226" s="27"/>
      <c r="U42226" s="27"/>
    </row>
    <row r="42227">
      <c r="S42227" s="27"/>
      <c r="T42227" s="27"/>
      <c r="U42227" s="27"/>
    </row>
    <row r="42229">
      <c r="S42229" s="27"/>
      <c r="T42229" s="27"/>
      <c r="U42229" s="27"/>
    </row>
    <row r="42230">
      <c r="S42230" s="27"/>
      <c r="T42230" s="27"/>
      <c r="U42230" s="27"/>
    </row>
    <row r="42232">
      <c r="S42232" s="27"/>
      <c r="T42232" s="27"/>
      <c r="U42232" s="27"/>
    </row>
    <row r="42234">
      <c r="S42234" s="27"/>
      <c r="T42234" s="27"/>
      <c r="U42234" s="27"/>
    </row>
    <row r="42235">
      <c r="S42235" s="27"/>
      <c r="T42235" s="27"/>
      <c r="U42235" s="27"/>
    </row>
    <row r="42237">
      <c r="S42237" s="27"/>
      <c r="T42237" s="27"/>
      <c r="U42237" s="27"/>
    </row>
    <row r="42238">
      <c r="S42238" s="27"/>
      <c r="T42238" s="27"/>
      <c r="U42238" s="27"/>
    </row>
    <row r="42240">
      <c r="S42240" s="27"/>
      <c r="T42240" s="27"/>
      <c r="U42240" s="27"/>
    </row>
    <row r="42241">
      <c r="S42241" s="27"/>
      <c r="T42241" s="27"/>
      <c r="U42241" s="27"/>
    </row>
    <row r="42243">
      <c r="S42243" s="27"/>
      <c r="T42243" s="27"/>
      <c r="U42243" s="27"/>
    </row>
    <row r="42244">
      <c r="S42244" s="27"/>
      <c r="T42244" s="27"/>
      <c r="U42244" s="27"/>
    </row>
    <row r="42246">
      <c r="S42246" s="27"/>
      <c r="T42246" s="27"/>
      <c r="U42246" s="27"/>
    </row>
    <row r="42247">
      <c r="S42247" s="27"/>
      <c r="T42247" s="27"/>
      <c r="U42247" s="27"/>
    </row>
    <row r="42249">
      <c r="S42249" s="27"/>
      <c r="T42249" s="27"/>
      <c r="U42249" s="27"/>
    </row>
    <row r="42250">
      <c r="S42250" s="27"/>
      <c r="T42250" s="27"/>
      <c r="U42250" s="27"/>
    </row>
    <row r="42252">
      <c r="S42252" s="27"/>
      <c r="T42252" s="27"/>
      <c r="U42252" s="27"/>
    </row>
    <row r="42253">
      <c r="S42253" s="27"/>
      <c r="T42253" s="27"/>
      <c r="U42253" s="27"/>
    </row>
    <row r="42255">
      <c r="S42255" s="27"/>
      <c r="T42255" s="27"/>
      <c r="U42255" s="27"/>
    </row>
    <row r="42257">
      <c r="S42257" s="27"/>
      <c r="T42257" s="27"/>
      <c r="U42257" s="27"/>
    </row>
    <row r="42259">
      <c r="S42259" s="27"/>
      <c r="T42259" s="27"/>
      <c r="U42259" s="27"/>
    </row>
    <row r="42261">
      <c r="S42261" s="27"/>
      <c r="T42261" s="27"/>
      <c r="U42261" s="27"/>
    </row>
    <row r="42263">
      <c r="S42263" s="27"/>
      <c r="T42263" s="27"/>
      <c r="U42263" s="27"/>
    </row>
    <row r="42264">
      <c r="S42264" s="27"/>
      <c r="T42264" s="27"/>
      <c r="U42264" s="27"/>
    </row>
    <row r="42266">
      <c r="S42266" s="27"/>
      <c r="T42266" s="27"/>
      <c r="U42266" s="27"/>
    </row>
    <row r="42267">
      <c r="S42267" s="27"/>
      <c r="T42267" s="27"/>
      <c r="U42267" s="27"/>
    </row>
    <row r="42269">
      <c r="S42269" s="27"/>
      <c r="T42269" s="27"/>
      <c r="U42269" s="27"/>
    </row>
    <row r="42270">
      <c r="S42270" s="27"/>
      <c r="T42270" s="27"/>
      <c r="U42270" s="33"/>
    </row>
    <row r="42272">
      <c r="S42272" s="27"/>
      <c r="T42272" s="27"/>
      <c r="U42272" s="27"/>
    </row>
    <row r="42273">
      <c r="S42273" s="27"/>
      <c r="T42273" s="27"/>
      <c r="U42273" s="27"/>
    </row>
    <row r="42275">
      <c r="S42275" s="27"/>
      <c r="T42275" s="27"/>
      <c r="U42275" s="27"/>
    </row>
    <row r="42276">
      <c r="S42276" s="27"/>
      <c r="T42276" s="27"/>
      <c r="U42276" s="27"/>
    </row>
    <row r="42278">
      <c r="S42278" s="27"/>
      <c r="T42278" s="27"/>
      <c r="U42278" s="27"/>
    </row>
    <row r="42279">
      <c r="S42279" s="27"/>
      <c r="T42279" s="27"/>
      <c r="U42279" s="27"/>
    </row>
    <row r="42281">
      <c r="S42281" s="27"/>
      <c r="T42281" s="27"/>
      <c r="U42281" s="27"/>
    </row>
    <row r="42282">
      <c r="S42282" s="27"/>
      <c r="T42282" s="27"/>
      <c r="U42282" s="27"/>
    </row>
    <row r="42284">
      <c r="S42284" s="26"/>
      <c r="T42284" s="26"/>
      <c r="U42284" s="26"/>
    </row>
    <row r="42287">
      <c r="S42287" s="27"/>
      <c r="T42287" s="27"/>
      <c r="U42287" s="27"/>
    </row>
    <row r="42290">
      <c r="S42290" s="27"/>
      <c r="T42290" s="27"/>
      <c r="U42290" s="27"/>
    </row>
    <row r="42291">
      <c r="S42291" s="27"/>
      <c r="T42291" s="27"/>
      <c r="U42291" s="27"/>
    </row>
    <row r="42293">
      <c r="S42293" s="27"/>
      <c r="T42293" s="27"/>
      <c r="U42293" s="27"/>
    </row>
    <row r="42294">
      <c r="S42294" s="27"/>
      <c r="T42294" s="27"/>
      <c r="U42294" s="27"/>
    </row>
    <row r="42296">
      <c r="S42296" s="27"/>
      <c r="T42296" s="27"/>
      <c r="U42296" s="27"/>
    </row>
    <row r="42297">
      <c r="S42297" s="27"/>
      <c r="T42297" s="27"/>
      <c r="U42297" s="27"/>
    </row>
    <row r="42299">
      <c r="S42299" s="27"/>
      <c r="T42299" s="27"/>
      <c r="U42299" s="27"/>
    </row>
    <row r="42302">
      <c r="S42302" s="27"/>
      <c r="T42302" s="27"/>
      <c r="U42302" s="27"/>
    </row>
    <row r="42303">
      <c r="S42303" s="27"/>
      <c r="T42303" s="27"/>
      <c r="U42303" s="27"/>
    </row>
    <row r="42305">
      <c r="S42305" s="27"/>
      <c r="T42305" s="27"/>
      <c r="U42305" s="27"/>
    </row>
    <row r="42306">
      <c r="S42306" s="27"/>
      <c r="T42306" s="27"/>
      <c r="U42306" s="27"/>
    </row>
    <row r="42308">
      <c r="S42308" s="27"/>
      <c r="T42308" s="27"/>
      <c r="U42308" s="27"/>
    </row>
    <row r="42309">
      <c r="T42309" s="27"/>
      <c r="U42309" s="27"/>
    </row>
    <row r="42311">
      <c r="S42311" s="27"/>
      <c r="T42311" s="27"/>
      <c r="U42311" s="27"/>
    </row>
    <row r="42314">
      <c r="T42314" s="26"/>
      <c r="U42314" s="26"/>
    </row>
    <row r="42317">
      <c r="S42317" s="27"/>
      <c r="T42317" s="27"/>
      <c r="U42317" s="27"/>
    </row>
    <row r="42318">
      <c r="S42318" s="27"/>
      <c r="T42318" s="27"/>
      <c r="U42318" s="27"/>
    </row>
    <row r="42320">
      <c r="S42320" s="27"/>
      <c r="T42320" s="27"/>
      <c r="U42320" s="27"/>
    </row>
    <row r="42321">
      <c r="S42321" s="27"/>
      <c r="T42321" s="27"/>
      <c r="U42321" s="27"/>
    </row>
    <row r="42329">
      <c r="S42329" s="27"/>
      <c r="T42329" s="27"/>
      <c r="U42329" s="27"/>
    </row>
    <row r="42332">
      <c r="S42332" s="27"/>
      <c r="T42332" s="27"/>
      <c r="U42332" s="27"/>
    </row>
    <row r="42333">
      <c r="S42333" s="27"/>
      <c r="T42333" s="27"/>
      <c r="U42333" s="27"/>
    </row>
    <row r="42335">
      <c r="S42335" s="27"/>
      <c r="T42335" s="27"/>
      <c r="U42335" s="27"/>
    </row>
    <row r="42336">
      <c r="S42336" s="27"/>
      <c r="T42336" s="27"/>
      <c r="U42336" s="27"/>
    </row>
    <row r="42338">
      <c r="S42338" s="27"/>
      <c r="T42338" s="27"/>
      <c r="U42338" s="27"/>
    </row>
    <row r="42339">
      <c r="S42339" s="27"/>
      <c r="T42339" s="27"/>
      <c r="U42339" s="27"/>
    </row>
    <row r="42341">
      <c r="S42341" s="27"/>
      <c r="T42341" s="27"/>
      <c r="U42341" s="27"/>
    </row>
    <row r="42342">
      <c r="S42342" s="27"/>
      <c r="T42342" s="27"/>
      <c r="U42342" s="27"/>
    </row>
    <row r="42344">
      <c r="S42344" s="27"/>
      <c r="T42344" s="27"/>
      <c r="U42344" s="27"/>
    </row>
    <row r="42345">
      <c r="S42345" s="27"/>
      <c r="T42345" s="27"/>
      <c r="U42345" s="27"/>
    </row>
    <row r="42347">
      <c r="S42347" s="27"/>
      <c r="T42347" s="27"/>
      <c r="U42347" s="27"/>
    </row>
    <row r="42348">
      <c r="S42348" s="27"/>
      <c r="T42348" s="27"/>
      <c r="U42348" s="27"/>
    </row>
    <row r="42350">
      <c r="S42350" s="27"/>
      <c r="T42350" s="27"/>
      <c r="U42350" s="27"/>
    </row>
    <row r="42351">
      <c r="S42351" s="27"/>
      <c r="T42351" s="27"/>
      <c r="U42351" s="27"/>
    </row>
    <row r="42353">
      <c r="S42353" s="27"/>
      <c r="T42353" s="27"/>
      <c r="U42353" s="27"/>
    </row>
    <row r="42354">
      <c r="S42354" s="27"/>
      <c r="T42354" s="27"/>
      <c r="U42354" s="27"/>
    </row>
    <row r="42356">
      <c r="S42356" s="27"/>
      <c r="T42356" s="27"/>
      <c r="U42356" s="27"/>
    </row>
    <row r="42357">
      <c r="S42357" s="27"/>
      <c r="T42357" s="27"/>
      <c r="U42357" s="27"/>
    </row>
    <row r="42359">
      <c r="S42359" s="27"/>
      <c r="T42359" s="27"/>
      <c r="U42359" s="27"/>
    </row>
    <row r="42360">
      <c r="S42360" s="27"/>
      <c r="T42360" s="27"/>
      <c r="U42360" s="27"/>
    </row>
    <row r="42362">
      <c r="S42362" s="27"/>
      <c r="T42362" s="27"/>
      <c r="U42362" s="27"/>
    </row>
    <row r="42363">
      <c r="S42363" s="27"/>
      <c r="T42363" s="27"/>
      <c r="U42363" s="27"/>
    </row>
    <row r="42365">
      <c r="S42365" s="27"/>
      <c r="T42365" s="27"/>
      <c r="U42365" s="27"/>
    </row>
    <row r="42366">
      <c r="S42366" s="27"/>
      <c r="T42366" s="27"/>
      <c r="U42366" s="27"/>
    </row>
    <row r="42368">
      <c r="S42368" s="27"/>
      <c r="T42368" s="27"/>
      <c r="U42368" s="27"/>
    </row>
    <row r="42369">
      <c r="S42369" s="27"/>
      <c r="T42369" s="27"/>
      <c r="U42369" s="27"/>
    </row>
    <row r="42371">
      <c r="S42371" s="27"/>
      <c r="T42371" s="27"/>
      <c r="U42371" s="27"/>
    </row>
    <row r="42372">
      <c r="S42372" s="27"/>
      <c r="T42372" s="27"/>
      <c r="U42372" s="27"/>
    </row>
    <row r="42374">
      <c r="S42374" s="27"/>
      <c r="T42374" s="27"/>
      <c r="U42374" s="27"/>
    </row>
    <row r="42375">
      <c r="S42375" s="27"/>
      <c r="T42375" s="27"/>
      <c r="U42375" s="27"/>
    </row>
    <row r="42377">
      <c r="S42377" s="27"/>
      <c r="T42377" s="27"/>
      <c r="U42377" s="27"/>
    </row>
    <row r="42378">
      <c r="S42378" s="27"/>
      <c r="T42378" s="27"/>
      <c r="U42378" s="27"/>
    </row>
    <row r="42380">
      <c r="S42380" s="27"/>
      <c r="T42380" s="27"/>
      <c r="U42380" s="27"/>
    </row>
    <row r="42381">
      <c r="S42381" s="27"/>
      <c r="T42381" s="27"/>
      <c r="U42381" s="27"/>
    </row>
    <row r="42383">
      <c r="S42383" s="27"/>
      <c r="T42383" s="27"/>
      <c r="U42383" s="27"/>
    </row>
    <row r="42384">
      <c r="S42384" s="27"/>
      <c r="T42384" s="27"/>
      <c r="U42384" s="27"/>
    </row>
    <row r="42386">
      <c r="S42386" s="27"/>
      <c r="T42386" s="27"/>
      <c r="U42386" s="27"/>
    </row>
    <row r="42387">
      <c r="S42387" s="27"/>
      <c r="T42387" s="27"/>
      <c r="U42387" s="27"/>
    </row>
    <row r="42389">
      <c r="S42389" s="27"/>
      <c r="T42389" s="27"/>
      <c r="U42389" s="27"/>
    </row>
    <row r="42390">
      <c r="S42390" s="27"/>
      <c r="T42390" s="27"/>
      <c r="U42390" s="27"/>
    </row>
    <row r="42392">
      <c r="S42392" s="27"/>
      <c r="T42392" s="27"/>
      <c r="U42392" s="27"/>
    </row>
    <row r="42393">
      <c r="S42393" s="27"/>
      <c r="T42393" s="27"/>
      <c r="U42393" s="27"/>
    </row>
    <row r="42395">
      <c r="S42395" s="27"/>
      <c r="T42395" s="27"/>
      <c r="U42395" s="27"/>
    </row>
    <row r="42396">
      <c r="S42396" s="27"/>
      <c r="T42396" s="27"/>
      <c r="U42396" s="27"/>
    </row>
    <row r="42398">
      <c r="S42398" s="27"/>
      <c r="T42398" s="27"/>
      <c r="U42398" s="27"/>
    </row>
    <row r="42399">
      <c r="S42399" s="27"/>
      <c r="T42399" s="27"/>
      <c r="U42399" s="27"/>
    </row>
    <row r="42401">
      <c r="S42401" s="27"/>
      <c r="T42401" s="27"/>
      <c r="U42401" s="27"/>
    </row>
    <row r="42402">
      <c r="S42402" s="27"/>
      <c r="T42402" s="27"/>
      <c r="U42402" s="27"/>
    </row>
    <row r="42407">
      <c r="S42407" s="27"/>
      <c r="T42407" s="27"/>
      <c r="U42407" s="27"/>
    </row>
    <row r="42408">
      <c r="S42408" s="27"/>
      <c r="T42408" s="27"/>
      <c r="U42408" s="27"/>
    </row>
    <row r="42410">
      <c r="S42410" s="27"/>
      <c r="T42410" s="27"/>
      <c r="U42410" s="27"/>
    </row>
    <row r="42413">
      <c r="S42413" s="27"/>
      <c r="T42413" s="33"/>
      <c r="U42413" s="33"/>
    </row>
    <row r="42414">
      <c r="S42414" s="27"/>
      <c r="T42414" s="27"/>
      <c r="U42414" s="27"/>
    </row>
    <row r="42416">
      <c r="S42416" s="27"/>
      <c r="T42416" s="27"/>
      <c r="U42416" s="27"/>
    </row>
    <row r="42417">
      <c r="S42417" s="27"/>
      <c r="T42417" s="27"/>
      <c r="U42417" s="27"/>
    </row>
    <row r="42419">
      <c r="S42419" s="27"/>
    </row>
    <row r="42422">
      <c r="S42422" s="27"/>
      <c r="T42422" s="27"/>
      <c r="U42422" s="27"/>
    </row>
    <row r="42423">
      <c r="S42423" s="27"/>
      <c r="T42423" s="27"/>
      <c r="U42423" s="27"/>
    </row>
    <row r="42425">
      <c r="S42425" s="27"/>
      <c r="T42425" s="27"/>
      <c r="U42425" s="27"/>
    </row>
    <row r="42426">
      <c r="S42426" s="27"/>
      <c r="T42426" s="27"/>
      <c r="U42426" s="27"/>
    </row>
    <row r="42428">
      <c r="S42428" s="27"/>
      <c r="T42428" s="27"/>
      <c r="U42428" s="27"/>
    </row>
    <row r="42429">
      <c r="S42429" s="27"/>
      <c r="T42429" s="27"/>
      <c r="U42429" s="27"/>
    </row>
    <row r="42431">
      <c r="T42431" s="27"/>
      <c r="U42431" s="27"/>
    </row>
    <row r="42434">
      <c r="S42434" s="27"/>
      <c r="T42434" s="26"/>
      <c r="U42434" s="26"/>
    </row>
    <row r="42437">
      <c r="S42437" s="27"/>
    </row>
    <row r="42439">
      <c r="S42439" s="27"/>
      <c r="T42439" s="27"/>
      <c r="U42439" s="27"/>
    </row>
    <row r="42441">
      <c r="T42441" s="26"/>
      <c r="U42441" s="26"/>
    </row>
    <row r="42444">
      <c r="U42444" s="27"/>
    </row>
    <row r="42447">
      <c r="S42447" s="27"/>
      <c r="T42447" s="27"/>
      <c r="U42447" s="27"/>
    </row>
    <row r="42448">
      <c r="S42448" s="27"/>
      <c r="T42448" s="27"/>
      <c r="U42448" s="27"/>
    </row>
    <row r="42450">
      <c r="S42450" s="27"/>
      <c r="T42450" s="27"/>
      <c r="U42450" s="27"/>
    </row>
    <row r="42451">
      <c r="S42451" s="27"/>
      <c r="T42451" s="27"/>
      <c r="U42451" s="27"/>
    </row>
    <row r="42453">
      <c r="S42453" s="27"/>
      <c r="T42453" s="27"/>
      <c r="U42453" s="27"/>
    </row>
    <row r="42454">
      <c r="U42454" s="27"/>
    </row>
    <row r="42456">
      <c r="S42456" s="27"/>
      <c r="T42456" s="27"/>
      <c r="U42456" s="27"/>
    </row>
    <row r="42457">
      <c r="S42457" s="26"/>
      <c r="T42457" s="27"/>
      <c r="U42457" s="27"/>
    </row>
    <row r="42459">
      <c r="S42459" s="27"/>
      <c r="T42459" s="27"/>
      <c r="U42459" s="27"/>
    </row>
    <row r="42460">
      <c r="S42460" s="27"/>
      <c r="T42460" s="27"/>
      <c r="U42460" s="27"/>
    </row>
    <row r="42465">
      <c r="S42465" s="27"/>
      <c r="T42465" s="27"/>
      <c r="U42465" s="27"/>
    </row>
    <row r="42466">
      <c r="S42466" s="27"/>
      <c r="T42466" s="27"/>
      <c r="U42466" s="27"/>
    </row>
    <row r="42468">
      <c r="S42468" s="27"/>
      <c r="T42468" s="27"/>
      <c r="U42468" s="27"/>
    </row>
    <row r="42469">
      <c r="S42469" s="27"/>
      <c r="T42469" s="27"/>
      <c r="U42469" s="27"/>
    </row>
    <row r="42471">
      <c r="S42471" s="27"/>
      <c r="T42471" s="27"/>
      <c r="U42471" s="27"/>
    </row>
    <row r="42472">
      <c r="S42472" s="27"/>
      <c r="T42472" s="27"/>
      <c r="U42472" s="27"/>
    </row>
    <row r="42477">
      <c r="S42477" s="27"/>
      <c r="T42477" s="27"/>
      <c r="U42477" s="27"/>
    </row>
    <row r="42480">
      <c r="S42480" s="27"/>
      <c r="T42480" s="27"/>
      <c r="U42480" s="27"/>
    </row>
    <row r="42481">
      <c r="S42481" s="27"/>
      <c r="T42481" s="27"/>
      <c r="U42481" s="33"/>
    </row>
    <row r="42483">
      <c r="S42483" s="27"/>
    </row>
    <row r="42484">
      <c r="S42484" s="26"/>
      <c r="T42484" s="26"/>
      <c r="U42484" s="26"/>
    </row>
    <row r="42486">
      <c r="S42486" s="27"/>
      <c r="T42486" s="27"/>
      <c r="U42486" s="27"/>
    </row>
    <row r="42487">
      <c r="S42487" s="27"/>
      <c r="T42487" s="27"/>
      <c r="U42487" s="27"/>
    </row>
    <row r="42489">
      <c r="S42489" s="27"/>
      <c r="T42489" s="27"/>
      <c r="U42489" s="27"/>
    </row>
    <row r="42490">
      <c r="S42490" s="27"/>
      <c r="T42490" s="27"/>
      <c r="U42490" s="27"/>
    </row>
    <row r="42492">
      <c r="S42492" s="27"/>
      <c r="T42492" s="27"/>
      <c r="U42492" s="27"/>
    </row>
    <row r="42493">
      <c r="S42493" s="27"/>
      <c r="T42493" s="27"/>
      <c r="U42493" s="27"/>
    </row>
    <row r="42495">
      <c r="S42495" s="27"/>
      <c r="T42495" s="27"/>
      <c r="U42495" s="27"/>
    </row>
    <row r="42496">
      <c r="S42496" s="27"/>
      <c r="T42496" s="27"/>
      <c r="U42496" s="27"/>
    </row>
    <row r="42501">
      <c r="S42501" s="27"/>
      <c r="T42501" s="27"/>
      <c r="U42501" s="27"/>
    </row>
    <row r="42502">
      <c r="S42502" s="27"/>
      <c r="T42502" s="27"/>
      <c r="U42502" s="27"/>
    </row>
    <row r="42504">
      <c r="S42504" s="27"/>
      <c r="T42504" s="27"/>
      <c r="U42504" s="27"/>
    </row>
    <row r="42505">
      <c r="S42505" s="27"/>
      <c r="T42505" s="27"/>
      <c r="U42505" s="27"/>
    </row>
    <row r="42507">
      <c r="S42507" s="27"/>
      <c r="T42507" s="27"/>
    </row>
    <row r="42510">
      <c r="S42510" s="27"/>
      <c r="U42510" s="27"/>
    </row>
    <row r="42511">
      <c r="S42511" s="27"/>
      <c r="T42511" s="27"/>
      <c r="U42511" s="27"/>
    </row>
    <row r="42513">
      <c r="S42513" s="27"/>
      <c r="T42513" s="27"/>
      <c r="U42513" s="27"/>
    </row>
    <row r="42514">
      <c r="S42514" s="27"/>
      <c r="T42514" s="27"/>
      <c r="U42514" s="27"/>
    </row>
    <row r="42516">
      <c r="S42516" s="27"/>
      <c r="T42516" s="27"/>
      <c r="U42516" s="27"/>
    </row>
    <row r="42517">
      <c r="S42517" s="27"/>
      <c r="T42517" s="27"/>
      <c r="U42517" s="27"/>
    </row>
    <row r="42522">
      <c r="S42522" s="27"/>
      <c r="T42522" s="27"/>
      <c r="U42522" s="27"/>
    </row>
    <row r="42523">
      <c r="S42523" s="27"/>
      <c r="T42523" s="27"/>
      <c r="U42523" s="27"/>
    </row>
    <row r="42525">
      <c r="S42525" s="26"/>
      <c r="T42525" s="26"/>
      <c r="U42525" s="26"/>
    </row>
    <row r="42528">
      <c r="S42528" s="27"/>
      <c r="T42528" s="27"/>
      <c r="U42528" s="27"/>
    </row>
    <row r="42531">
      <c r="S42531" s="27"/>
      <c r="T42531" s="27"/>
      <c r="U42531" s="27"/>
    </row>
    <row r="42532">
      <c r="S42532" s="27"/>
      <c r="T42532" s="27"/>
      <c r="U42532" s="27"/>
    </row>
    <row r="42534">
      <c r="S42534" s="33"/>
      <c r="T42534" s="27"/>
      <c r="U42534" s="27"/>
    </row>
    <row r="42535">
      <c r="T42535" s="27"/>
      <c r="U42535" s="27"/>
    </row>
    <row r="42537">
      <c r="S42537" s="27"/>
      <c r="T42537" s="27"/>
      <c r="U42537" s="27"/>
    </row>
    <row r="42538">
      <c r="S42538" s="27"/>
      <c r="T42538" s="27"/>
      <c r="U42538" s="27"/>
    </row>
    <row r="42540">
      <c r="S42540" s="27"/>
    </row>
    <row r="42541">
      <c r="T42541" s="26"/>
      <c r="U42541" s="26"/>
    </row>
    <row r="42543">
      <c r="S42543" s="27"/>
      <c r="T42543" s="27"/>
      <c r="U42543" s="27"/>
    </row>
    <row r="42544">
      <c r="S42544" s="27"/>
      <c r="T42544" s="27"/>
      <c r="U42544" s="27"/>
    </row>
    <row r="42546">
      <c r="S42546" s="27"/>
      <c r="T42546" s="27"/>
      <c r="U42546" s="27"/>
    </row>
    <row r="42547">
      <c r="S42547" s="27"/>
      <c r="T42547" s="27"/>
      <c r="U42547" s="27"/>
    </row>
    <row r="42549">
      <c r="S42549" s="27"/>
      <c r="T42549" s="27"/>
      <c r="U42549" s="27"/>
    </row>
    <row r="42550">
      <c r="S42550" s="27"/>
      <c r="T42550" s="27"/>
      <c r="U42550" s="27"/>
    </row>
    <row r="42552">
      <c r="S42552" s="27"/>
      <c r="T42552" s="27"/>
      <c r="U42552" s="27"/>
    </row>
    <row r="42553">
      <c r="S42553" s="27"/>
      <c r="T42553" s="27"/>
      <c r="U42553" s="27"/>
    </row>
    <row r="42555">
      <c r="S42555" s="27"/>
      <c r="T42555" s="27"/>
      <c r="U42555" s="27"/>
    </row>
    <row r="42556">
      <c r="S42556" s="27"/>
      <c r="T42556" s="27"/>
      <c r="U42556" s="27"/>
    </row>
    <row r="42558">
      <c r="S42558" s="27"/>
      <c r="T42558" s="27"/>
      <c r="U42558" s="27"/>
    </row>
    <row r="42559">
      <c r="S42559" s="27"/>
      <c r="T42559" s="27"/>
      <c r="U42559" s="27"/>
    </row>
    <row r="42561">
      <c r="S42561" s="27"/>
      <c r="T42561" s="27"/>
      <c r="U42561" s="27"/>
    </row>
    <row r="42562">
      <c r="S42562" s="27"/>
      <c r="T42562" s="27"/>
      <c r="U42562" s="27"/>
    </row>
    <row r="42564">
      <c r="S42564" s="27"/>
      <c r="T42564" s="27"/>
      <c r="U42564" s="27"/>
    </row>
    <row r="42565">
      <c r="S42565" s="27"/>
      <c r="T42565" s="27"/>
      <c r="U42565" s="27"/>
    </row>
    <row r="42567">
      <c r="S42567" s="27"/>
      <c r="T42567" s="27"/>
      <c r="U42567" s="27"/>
    </row>
    <row r="42568">
      <c r="S42568" s="27"/>
      <c r="T42568" s="27"/>
      <c r="U42568" s="27"/>
    </row>
    <row r="42570">
      <c r="S42570" s="27"/>
      <c r="T42570" s="27"/>
      <c r="U42570" s="27"/>
    </row>
    <row r="42571">
      <c r="S42571" s="27"/>
      <c r="T42571" s="27"/>
      <c r="U42571" s="27"/>
    </row>
    <row r="42573">
      <c r="S42573" s="27"/>
      <c r="T42573" s="27"/>
      <c r="U42573" s="27"/>
    </row>
    <row r="42574">
      <c r="S42574" s="27"/>
      <c r="T42574" s="27"/>
      <c r="U42574" s="27"/>
    </row>
    <row r="42576">
      <c r="S42576" s="27"/>
      <c r="T42576" s="27"/>
      <c r="U42576" s="27"/>
    </row>
    <row r="42577">
      <c r="S42577" s="27"/>
      <c r="T42577" s="27"/>
      <c r="U42577" s="27"/>
    </row>
    <row r="42579">
      <c r="S42579" s="27"/>
      <c r="T42579" s="27"/>
      <c r="U42579" s="27"/>
    </row>
    <row r="42580">
      <c r="S42580" s="27"/>
      <c r="T42580" s="27"/>
      <c r="U42580" s="27"/>
    </row>
    <row r="42582">
      <c r="S42582" s="27"/>
      <c r="T42582" s="27"/>
      <c r="U42582" s="27"/>
    </row>
    <row r="42583">
      <c r="S42583" s="27"/>
      <c r="T42583" s="27"/>
      <c r="U42583" s="27"/>
    </row>
    <row r="42585">
      <c r="S42585" s="27"/>
      <c r="T42585" s="27"/>
      <c r="U42585" s="27"/>
    </row>
    <row r="42586">
      <c r="S42586" s="27"/>
      <c r="T42586" s="27"/>
      <c r="U42586" s="27"/>
    </row>
    <row r="42588">
      <c r="S42588" s="27"/>
      <c r="T42588" s="27"/>
      <c r="U42588" s="27"/>
    </row>
    <row r="42589">
      <c r="S42589" s="27"/>
      <c r="T42589" s="27"/>
      <c r="U42589" s="27"/>
    </row>
    <row r="42591">
      <c r="S42591" s="27"/>
      <c r="T42591" s="27"/>
      <c r="U42591" s="27"/>
    </row>
    <row r="42592">
      <c r="S42592" s="27"/>
      <c r="T42592" s="27"/>
      <c r="U42592" s="27"/>
    </row>
    <row r="42594">
      <c r="S42594" s="27"/>
      <c r="T42594" s="27"/>
      <c r="U42594" s="27"/>
    </row>
    <row r="42595">
      <c r="S42595" s="27"/>
      <c r="T42595" s="27"/>
      <c r="U42595" s="27"/>
    </row>
    <row r="42597">
      <c r="S42597" s="27"/>
      <c r="T42597" s="27"/>
      <c r="U42597" s="27"/>
    </row>
    <row r="42598">
      <c r="S42598" s="27"/>
      <c r="T42598" s="27"/>
      <c r="U42598" s="27"/>
    </row>
    <row r="42600">
      <c r="S42600" s="27"/>
      <c r="T42600" s="27"/>
      <c r="U42600" s="27"/>
    </row>
    <row r="42601">
      <c r="S42601" s="27"/>
      <c r="T42601" s="27"/>
      <c r="U42601" s="27"/>
    </row>
    <row r="42603">
      <c r="S42603" s="27"/>
      <c r="T42603" s="27"/>
      <c r="U42603" s="27"/>
    </row>
    <row r="42604">
      <c r="S42604" s="27"/>
      <c r="T42604" s="27"/>
      <c r="U42604" s="27"/>
    </row>
    <row r="42606">
      <c r="S42606" s="27"/>
      <c r="T42606" s="27"/>
      <c r="U42606" s="27"/>
    </row>
    <row r="42607">
      <c r="S42607" s="27"/>
      <c r="T42607" s="27"/>
      <c r="U42607" s="27"/>
    </row>
    <row r="42609">
      <c r="S42609" s="27"/>
      <c r="T42609" s="27"/>
      <c r="U42609" s="27"/>
    </row>
    <row r="42610">
      <c r="S42610" s="27"/>
      <c r="T42610" s="27"/>
      <c r="U42610" s="27"/>
    </row>
    <row r="42612">
      <c r="S42612" s="27"/>
      <c r="T42612" s="27"/>
      <c r="U42612" s="27"/>
    </row>
    <row r="42613">
      <c r="S42613" s="27"/>
      <c r="T42613" s="27"/>
      <c r="U42613" s="27"/>
    </row>
    <row r="42615">
      <c r="S42615" s="27"/>
      <c r="T42615" s="27"/>
      <c r="U42615" s="27"/>
    </row>
    <row r="42616">
      <c r="S42616" s="27"/>
      <c r="T42616" s="27"/>
      <c r="U42616" s="27"/>
    </row>
    <row r="42618">
      <c r="S42618" s="27"/>
      <c r="T42618" s="27"/>
      <c r="U42618" s="27"/>
    </row>
    <row r="42619">
      <c r="S42619" s="27"/>
      <c r="T42619" s="27"/>
      <c r="U42619" s="27"/>
    </row>
    <row r="42621">
      <c r="S42621" s="27"/>
      <c r="T42621" s="27"/>
      <c r="U42621" s="27"/>
    </row>
    <row r="42622">
      <c r="S42622" s="27"/>
      <c r="T42622" s="27"/>
      <c r="U42622" s="27"/>
    </row>
    <row r="42624">
      <c r="S42624" s="27"/>
      <c r="T42624" s="27"/>
      <c r="U42624" s="27"/>
    </row>
    <row r="42625">
      <c r="S42625" s="27"/>
      <c r="T42625" s="27"/>
      <c r="U42625" s="27"/>
    </row>
    <row r="42627">
      <c r="S42627" s="27"/>
      <c r="T42627" s="27"/>
      <c r="U42627" s="27"/>
    </row>
    <row r="42628">
      <c r="S42628" s="27"/>
      <c r="T42628" s="27"/>
      <c r="U42628" s="27"/>
    </row>
    <row r="42630">
      <c r="S42630" s="27"/>
      <c r="T42630" s="27"/>
      <c r="U42630" s="27"/>
    </row>
    <row r="42631">
      <c r="S42631" s="27"/>
      <c r="T42631" s="27"/>
      <c r="U42631" s="27"/>
    </row>
    <row r="42633">
      <c r="S42633" s="27"/>
      <c r="T42633" s="27"/>
      <c r="U42633" s="27"/>
    </row>
    <row r="42634">
      <c r="S42634" s="27"/>
      <c r="T42634" s="27"/>
      <c r="U42634" s="27"/>
    </row>
    <row r="42636">
      <c r="S42636" s="27"/>
      <c r="T42636" s="27"/>
      <c r="U42636" s="27"/>
    </row>
    <row r="42638">
      <c r="S42638" s="27"/>
      <c r="T42638" s="27"/>
      <c r="U42638" s="27"/>
    </row>
    <row r="42639">
      <c r="S42639" s="27"/>
      <c r="T42639" s="27"/>
      <c r="U42639" s="27"/>
    </row>
    <row r="42641">
      <c r="S42641" s="27"/>
      <c r="T42641" s="27"/>
      <c r="U42641" s="27"/>
    </row>
    <row r="42642">
      <c r="S42642" s="27"/>
      <c r="T42642" s="27"/>
      <c r="U42642" s="27"/>
    </row>
    <row r="42644">
      <c r="S42644" s="27"/>
      <c r="T42644" s="27"/>
      <c r="U42644" s="27"/>
    </row>
    <row r="42645">
      <c r="S42645" s="27"/>
      <c r="T42645" s="27"/>
      <c r="U42645" s="27"/>
    </row>
    <row r="42647">
      <c r="S42647" s="27"/>
      <c r="T42647" s="27"/>
      <c r="U42647" s="27"/>
    </row>
    <row r="42648">
      <c r="S42648" s="27"/>
      <c r="T42648" s="27"/>
      <c r="U42648" s="27"/>
    </row>
    <row r="42650">
      <c r="S42650" s="27"/>
      <c r="T42650" s="27"/>
      <c r="U42650" s="27"/>
    </row>
    <row r="42651">
      <c r="S42651" s="27"/>
      <c r="T42651" s="27"/>
      <c r="U42651" s="27"/>
    </row>
    <row r="42653">
      <c r="S42653" s="27"/>
      <c r="T42653" s="27"/>
      <c r="U42653" s="27"/>
    </row>
    <row r="42654">
      <c r="S42654" s="27"/>
      <c r="T42654" s="27"/>
      <c r="U42654" s="27"/>
    </row>
    <row r="42656">
      <c r="S42656" s="27"/>
      <c r="T42656" s="27"/>
      <c r="U42656" s="27"/>
    </row>
    <row r="42657">
      <c r="S42657" s="27"/>
      <c r="T42657" s="27"/>
      <c r="U42657" s="27"/>
    </row>
    <row r="42659">
      <c r="S42659" s="27"/>
      <c r="T42659" s="27"/>
      <c r="U42659" s="27"/>
    </row>
    <row r="42661">
      <c r="S42661" s="27"/>
      <c r="T42661" s="27"/>
      <c r="U42661" s="27"/>
    </row>
    <row r="42663">
      <c r="S42663" s="27"/>
      <c r="T42663" s="27"/>
      <c r="U42663" s="27"/>
    </row>
    <row r="42665">
      <c r="S42665" s="27"/>
      <c r="T42665" s="27"/>
      <c r="U42665" s="27"/>
    </row>
    <row r="42667">
      <c r="S42667" s="27"/>
      <c r="T42667" s="27"/>
      <c r="U42667" s="27"/>
    </row>
    <row r="42668">
      <c r="S42668" s="27"/>
      <c r="T42668" s="27"/>
      <c r="U42668" s="27"/>
    </row>
    <row r="42670">
      <c r="S42670" s="27"/>
      <c r="T42670" s="27"/>
      <c r="U42670" s="27"/>
    </row>
    <row r="42671">
      <c r="S42671" s="27"/>
      <c r="T42671" s="27"/>
      <c r="U42671" s="27"/>
    </row>
    <row r="42673">
      <c r="S42673" s="27"/>
      <c r="T42673" s="27"/>
      <c r="U42673" s="27"/>
    </row>
    <row r="42674">
      <c r="S42674" s="27"/>
      <c r="T42674" s="27"/>
      <c r="U42674" s="33"/>
    </row>
    <row r="42676">
      <c r="S42676" s="27"/>
      <c r="T42676" s="27"/>
      <c r="U42676" s="27"/>
    </row>
    <row r="42677">
      <c r="S42677" s="27"/>
      <c r="T42677" s="27"/>
      <c r="U42677" s="27"/>
    </row>
    <row r="42679">
      <c r="S42679" s="27"/>
      <c r="T42679" s="27"/>
      <c r="U42679" s="27"/>
    </row>
    <row r="42680">
      <c r="S42680" s="27"/>
      <c r="T42680" s="27"/>
      <c r="U42680" s="27"/>
    </row>
    <row r="42682">
      <c r="S42682" s="27"/>
      <c r="T42682" s="27"/>
      <c r="U42682" s="27"/>
    </row>
    <row r="42683">
      <c r="S42683" s="27"/>
      <c r="T42683" s="27"/>
      <c r="U42683" s="27"/>
    </row>
    <row r="42688">
      <c r="U42688" s="27"/>
    </row>
    <row r="42691">
      <c r="S42691" s="33"/>
      <c r="T42691" s="27"/>
      <c r="U42691" s="27"/>
    </row>
    <row r="42694">
      <c r="S42694" s="27"/>
      <c r="T42694" s="27"/>
      <c r="U42694" s="27"/>
    </row>
    <row r="42695">
      <c r="S42695" s="27"/>
      <c r="T42695" s="27"/>
      <c r="U42695" s="27"/>
    </row>
    <row r="42697">
      <c r="S42697" s="27"/>
      <c r="T42697" s="27"/>
      <c r="U42697" s="27"/>
    </row>
    <row r="42698">
      <c r="S42698" s="27"/>
      <c r="T42698" s="27"/>
      <c r="U42698" s="27"/>
    </row>
    <row r="42700">
      <c r="S42700" s="27"/>
      <c r="T42700" s="27"/>
      <c r="U42700" s="27"/>
    </row>
    <row r="42701">
      <c r="S42701" s="27"/>
      <c r="T42701" s="27"/>
      <c r="U42701" s="27"/>
    </row>
    <row r="42703">
      <c r="S42703" s="26"/>
      <c r="T42703" s="26"/>
      <c r="U42703" s="26"/>
    </row>
    <row r="42706">
      <c r="S42706" s="27"/>
      <c r="T42706" s="27"/>
      <c r="U42706" s="27"/>
    </row>
    <row r="42707">
      <c r="S42707" s="27"/>
      <c r="T42707" s="27"/>
      <c r="U42707" s="27"/>
    </row>
    <row r="42709">
      <c r="T42709" s="27"/>
      <c r="U42709" s="27"/>
    </row>
    <row r="42710">
      <c r="S42710" s="27"/>
      <c r="T42710" s="27"/>
      <c r="U42710" s="27"/>
    </row>
    <row r="42712">
      <c r="S42712" s="27"/>
      <c r="T42712" s="27"/>
      <c r="U42712" s="27"/>
    </row>
    <row r="42713">
      <c r="S42713" s="27"/>
      <c r="U42713" s="27"/>
    </row>
    <row r="42715">
      <c r="S42715" s="27"/>
      <c r="T42715" s="27"/>
      <c r="U42715" s="27"/>
    </row>
    <row r="42718">
      <c r="S42718" s="26"/>
      <c r="T42718" s="26"/>
      <c r="U42718" s="26"/>
    </row>
    <row r="42721">
      <c r="S42721" s="27"/>
      <c r="T42721" s="27"/>
      <c r="U42721" s="27"/>
    </row>
    <row r="42722">
      <c r="S42722" s="27"/>
      <c r="T42722" s="27"/>
      <c r="U42722" s="27"/>
    </row>
    <row r="42724">
      <c r="S42724" s="27"/>
      <c r="T42724" s="27"/>
      <c r="U42724" s="27"/>
    </row>
    <row r="42725">
      <c r="S42725" s="27"/>
      <c r="T42725" s="27"/>
      <c r="U42725" s="27"/>
    </row>
    <row r="42727">
      <c r="S42727" s="26"/>
      <c r="T42727" s="26"/>
      <c r="U42727" s="26"/>
    </row>
    <row r="42730">
      <c r="S42730" s="27"/>
      <c r="T42730" s="27"/>
      <c r="U42730" s="27"/>
    </row>
    <row r="42733">
      <c r="S42733" s="27"/>
      <c r="T42733" s="27"/>
      <c r="U42733" s="27"/>
    </row>
    <row r="42734">
      <c r="S42734" s="27"/>
      <c r="T42734" s="27"/>
      <c r="U42734" s="27"/>
    </row>
    <row r="42736">
      <c r="S42736" s="27"/>
      <c r="T42736" s="27"/>
      <c r="U42736" s="27"/>
    </row>
    <row r="42737">
      <c r="S42737" s="27"/>
      <c r="T42737" s="27"/>
      <c r="U42737" s="27"/>
    </row>
    <row r="42739">
      <c r="S42739" s="27"/>
      <c r="T42739" s="27"/>
      <c r="U42739" s="27"/>
    </row>
    <row r="42740">
      <c r="S42740" s="27"/>
      <c r="T42740" s="27"/>
      <c r="U42740" s="27"/>
    </row>
    <row r="42742">
      <c r="S42742" s="27"/>
      <c r="T42742" s="27"/>
      <c r="U42742" s="27"/>
    </row>
    <row r="42743">
      <c r="S42743" s="27"/>
      <c r="T42743" s="27"/>
      <c r="U42743" s="27"/>
    </row>
    <row r="42745">
      <c r="S42745" s="27"/>
      <c r="T42745" s="27"/>
      <c r="U42745" s="27"/>
    </row>
    <row r="42746">
      <c r="S42746" s="27"/>
      <c r="T42746" s="27"/>
      <c r="U42746" s="27"/>
    </row>
    <row r="42748">
      <c r="S42748" s="27"/>
      <c r="T42748" s="27"/>
      <c r="U42748" s="27"/>
    </row>
    <row r="42749">
      <c r="S42749" s="27"/>
      <c r="T42749" s="27"/>
      <c r="U42749" s="27"/>
    </row>
    <row r="42751">
      <c r="S42751" s="27"/>
      <c r="T42751" s="27"/>
      <c r="U42751" s="27"/>
    </row>
    <row r="42752">
      <c r="S42752" s="27"/>
      <c r="T42752" s="27"/>
      <c r="U42752" s="27"/>
    </row>
    <row r="42754">
      <c r="S42754" s="27"/>
      <c r="T42754" s="27"/>
      <c r="U42754" s="27"/>
    </row>
    <row r="42755">
      <c r="S42755" s="27"/>
      <c r="T42755" s="27"/>
      <c r="U42755" s="27"/>
    </row>
    <row r="42757">
      <c r="S42757" s="27"/>
      <c r="T42757" s="27"/>
      <c r="U42757" s="27"/>
    </row>
    <row r="42758">
      <c r="S42758" s="27"/>
      <c r="T42758" s="27"/>
      <c r="U42758" s="27"/>
    </row>
    <row r="42760">
      <c r="S42760" s="27"/>
      <c r="T42760" s="27"/>
      <c r="U42760" s="27"/>
    </row>
    <row r="42761">
      <c r="S42761" s="27"/>
      <c r="T42761" s="27"/>
      <c r="U42761" s="27"/>
    </row>
    <row r="42763">
      <c r="S42763" s="27"/>
      <c r="T42763" s="27"/>
      <c r="U42763" s="27"/>
    </row>
    <row r="42764">
      <c r="S42764" s="27"/>
      <c r="T42764" s="27"/>
      <c r="U42764" s="27"/>
    </row>
    <row r="42766">
      <c r="S42766" s="27"/>
      <c r="T42766" s="27"/>
      <c r="U42766" s="27"/>
    </row>
    <row r="42767">
      <c r="S42767" s="27"/>
      <c r="T42767" s="27"/>
      <c r="U42767" s="27"/>
    </row>
    <row r="42769">
      <c r="S42769" s="27"/>
      <c r="T42769" s="27"/>
      <c r="U42769" s="27"/>
    </row>
    <row r="42770">
      <c r="S42770" s="27"/>
      <c r="T42770" s="27"/>
      <c r="U42770" s="27"/>
    </row>
    <row r="42772">
      <c r="S42772" s="27"/>
      <c r="T42772" s="27"/>
      <c r="U42772" s="27"/>
    </row>
    <row r="42773">
      <c r="S42773" s="27"/>
      <c r="T42773" s="27"/>
      <c r="U42773" s="27"/>
    </row>
    <row r="42775">
      <c r="S42775" s="27"/>
      <c r="T42775" s="27"/>
      <c r="U42775" s="27"/>
    </row>
    <row r="42776">
      <c r="S42776" s="27"/>
      <c r="T42776" s="27"/>
      <c r="U42776" s="27"/>
    </row>
    <row r="42778">
      <c r="S42778" s="27"/>
      <c r="T42778" s="27"/>
      <c r="U42778" s="27"/>
    </row>
    <row r="42779">
      <c r="S42779" s="27"/>
      <c r="T42779" s="27"/>
      <c r="U42779" s="27"/>
    </row>
    <row r="42781">
      <c r="S42781" s="27"/>
      <c r="T42781" s="27"/>
      <c r="U42781" s="27"/>
    </row>
    <row r="42782">
      <c r="S42782" s="27"/>
      <c r="T42782" s="27"/>
      <c r="U42782" s="27"/>
    </row>
    <row r="42784">
      <c r="S42784" s="27"/>
      <c r="T42784" s="27"/>
      <c r="U42784" s="27"/>
    </row>
    <row r="42785">
      <c r="S42785" s="27"/>
      <c r="T42785" s="27"/>
      <c r="U42785" s="27"/>
    </row>
    <row r="42787">
      <c r="S42787" s="27"/>
      <c r="T42787" s="27"/>
      <c r="U42787" s="27"/>
    </row>
    <row r="42788">
      <c r="S42788" s="27"/>
      <c r="T42788" s="27"/>
      <c r="U42788" s="27"/>
    </row>
    <row r="42790">
      <c r="S42790" s="27"/>
      <c r="T42790" s="27"/>
      <c r="U42790" s="27"/>
    </row>
    <row r="42791">
      <c r="S42791" s="27"/>
      <c r="T42791" s="27"/>
      <c r="U42791" s="27"/>
    </row>
    <row r="42793">
      <c r="S42793" s="27"/>
      <c r="T42793" s="27"/>
      <c r="U42793" s="27"/>
    </row>
    <row r="42794">
      <c r="S42794" s="27"/>
      <c r="T42794" s="27"/>
      <c r="U42794" s="27"/>
    </row>
    <row r="42796">
      <c r="S42796" s="27"/>
      <c r="T42796" s="27"/>
      <c r="U42796" s="27"/>
    </row>
    <row r="42797">
      <c r="S42797" s="27"/>
      <c r="T42797" s="27"/>
      <c r="U42797" s="27"/>
    </row>
    <row r="42799">
      <c r="S42799" s="27"/>
      <c r="T42799" s="27"/>
      <c r="U42799" s="27"/>
    </row>
    <row r="42800">
      <c r="S42800" s="27"/>
      <c r="T42800" s="27"/>
      <c r="U42800" s="27"/>
    </row>
    <row r="42802">
      <c r="S42802" s="27"/>
      <c r="T42802" s="27"/>
      <c r="U42802" s="27"/>
    </row>
    <row r="42803">
      <c r="S42803" s="27"/>
      <c r="T42803" s="27"/>
      <c r="U42803" s="27"/>
    </row>
    <row r="42808">
      <c r="S42808" s="33"/>
      <c r="T42808" s="27"/>
      <c r="U42808" s="27"/>
    </row>
    <row r="42809">
      <c r="S42809" s="27"/>
      <c r="T42809" s="27"/>
      <c r="U42809" s="27"/>
    </row>
    <row r="42811">
      <c r="S42811" s="27"/>
      <c r="T42811" s="27"/>
      <c r="U42811" s="27"/>
    </row>
    <row r="42817">
      <c r="S42817" s="27"/>
      <c r="T42817" s="27"/>
      <c r="U42817" s="27"/>
    </row>
    <row r="42818">
      <c r="S42818" s="27"/>
      <c r="T42818" s="27"/>
      <c r="U42818" s="27"/>
    </row>
    <row r="42820">
      <c r="S42820" s="27"/>
      <c r="T42820" s="27"/>
      <c r="U42820" s="27"/>
    </row>
    <row r="42821">
      <c r="S42821" s="27"/>
    </row>
    <row r="42823">
      <c r="S42823" s="27"/>
      <c r="T42823" s="27"/>
      <c r="U42823" s="27"/>
    </row>
    <row r="42824">
      <c r="S42824" s="27"/>
      <c r="T42824" s="27"/>
      <c r="U42824" s="27"/>
    </row>
    <row r="42826">
      <c r="S42826" s="27"/>
      <c r="T42826" s="27"/>
      <c r="U42826" s="27"/>
    </row>
    <row r="42827">
      <c r="S42827" s="27"/>
      <c r="T42827" s="27"/>
      <c r="U42827" s="27"/>
    </row>
    <row r="42829">
      <c r="S42829" s="27"/>
      <c r="T42829" s="27"/>
      <c r="U42829" s="27"/>
    </row>
    <row r="42830">
      <c r="S42830" s="27"/>
      <c r="T42830" s="27"/>
      <c r="U42830" s="27"/>
    </row>
    <row r="42832">
      <c r="S42832" s="26"/>
      <c r="T42832" s="26"/>
      <c r="U42832" s="26"/>
    </row>
    <row r="42835">
      <c r="S42835" s="26"/>
      <c r="T42835" s="26"/>
      <c r="U42835" s="27"/>
    </row>
    <row r="42838">
      <c r="S42838" s="27"/>
      <c r="T42838" s="27"/>
      <c r="U42838" s="27"/>
    </row>
    <row r="42840">
      <c r="S42840" s="27"/>
      <c r="T42840" s="27"/>
      <c r="U42840" s="27"/>
    </row>
    <row r="42843">
      <c r="S42843" s="27"/>
      <c r="T42843" s="27"/>
      <c r="U42843" s="27"/>
    </row>
    <row r="42846">
      <c r="S42846" s="27"/>
      <c r="T42846" s="27"/>
      <c r="U42846" s="27"/>
    </row>
    <row r="42847">
      <c r="S42847" s="27"/>
      <c r="T42847" s="27"/>
      <c r="U42847" s="27"/>
    </row>
    <row r="42849">
      <c r="S42849" s="27"/>
      <c r="T42849" s="27"/>
      <c r="U42849" s="27"/>
    </row>
    <row r="42850">
      <c r="S42850" s="27"/>
      <c r="T42850" s="27"/>
      <c r="U42850" s="27"/>
    </row>
    <row r="42852">
      <c r="S42852" s="27"/>
      <c r="T42852" s="27"/>
      <c r="U42852" s="27"/>
    </row>
    <row r="42853">
      <c r="U42853" s="27"/>
    </row>
    <row r="42855">
      <c r="S42855" s="27"/>
      <c r="T42855" s="27"/>
      <c r="U42855" s="27"/>
    </row>
    <row r="42856">
      <c r="S42856" s="27"/>
      <c r="T42856" s="27"/>
      <c r="U42856" s="27"/>
    </row>
    <row r="42858">
      <c r="S42858" s="27"/>
      <c r="T42858" s="27"/>
      <c r="U42858" s="27"/>
    </row>
    <row r="42859">
      <c r="S42859" s="27"/>
      <c r="T42859" s="27"/>
      <c r="U42859" s="27"/>
    </row>
    <row r="42864">
      <c r="S42864" s="27"/>
      <c r="T42864" s="27"/>
      <c r="U42864" s="27"/>
    </row>
    <row r="42865">
      <c r="S42865" s="27"/>
      <c r="T42865" s="27"/>
      <c r="U42865" s="27"/>
    </row>
    <row r="42867">
      <c r="S42867" s="27"/>
      <c r="T42867" s="27"/>
      <c r="U42867" s="27"/>
    </row>
    <row r="42868">
      <c r="S42868" s="27"/>
      <c r="T42868" s="27"/>
      <c r="U42868" s="27"/>
    </row>
    <row r="42870">
      <c r="S42870" s="27"/>
      <c r="T42870" s="27"/>
      <c r="U42870" s="27"/>
    </row>
    <row r="42871">
      <c r="S42871" s="27"/>
      <c r="T42871" s="27"/>
      <c r="U42871" s="27"/>
    </row>
    <row r="42873">
      <c r="S42873" s="33"/>
      <c r="T42873" s="33"/>
      <c r="U42873" s="33"/>
    </row>
    <row r="42874">
      <c r="S42874" s="34"/>
    </row>
    <row r="42879">
      <c r="S42879" s="27"/>
      <c r="T42879" s="27"/>
      <c r="U42879" s="27"/>
    </row>
    <row r="42882">
      <c r="S42882" s="27"/>
      <c r="T42882" s="27"/>
      <c r="U42882" s="27"/>
    </row>
    <row r="42883">
      <c r="S42883" s="33"/>
      <c r="T42883" s="33"/>
      <c r="U42883" s="27"/>
    </row>
    <row r="42885">
      <c r="T42885" s="26"/>
      <c r="U42885" s="26"/>
    </row>
    <row r="42886">
      <c r="S42886" s="26"/>
    </row>
    <row r="42888">
      <c r="S42888" s="27"/>
      <c r="T42888" s="27"/>
      <c r="U42888" s="27"/>
    </row>
    <row r="42889">
      <c r="S42889" s="27"/>
      <c r="T42889" s="27"/>
      <c r="U42889" s="27"/>
    </row>
    <row r="42891">
      <c r="S42891" s="27"/>
      <c r="T42891" s="27"/>
      <c r="U42891" s="27"/>
    </row>
    <row r="42892">
      <c r="S42892" s="27"/>
      <c r="T42892" s="27"/>
      <c r="U42892" s="27"/>
    </row>
    <row r="42894">
      <c r="S42894" s="27"/>
      <c r="T42894" s="27"/>
      <c r="U42894" s="27"/>
    </row>
    <row r="42895">
      <c r="S42895" s="27"/>
      <c r="T42895" s="27"/>
      <c r="U42895" s="27"/>
    </row>
    <row r="42897">
      <c r="S42897" s="27"/>
      <c r="T42897" s="27"/>
      <c r="U42897" s="27"/>
    </row>
    <row r="42898">
      <c r="S42898" s="27"/>
      <c r="T42898" s="27"/>
      <c r="U42898" s="27"/>
    </row>
    <row r="42900">
      <c r="S42900" s="27"/>
      <c r="T42900" s="27"/>
      <c r="U42900" s="27"/>
    </row>
    <row r="42901">
      <c r="S42901" s="27"/>
      <c r="T42901" s="27"/>
      <c r="U42901" s="27"/>
    </row>
    <row r="42904">
      <c r="S42904" s="27"/>
      <c r="T42904" s="27"/>
      <c r="U42904" s="27"/>
    </row>
    <row r="42906">
      <c r="S42906" s="27"/>
      <c r="T42906" s="27"/>
      <c r="U42906" s="27"/>
    </row>
    <row r="42909">
      <c r="S42909" s="26"/>
      <c r="U42909" s="27"/>
    </row>
    <row r="42910">
      <c r="T42910" s="27"/>
      <c r="U42910" s="27"/>
    </row>
    <row r="42912">
      <c r="S42912" s="27"/>
      <c r="T42912" s="27"/>
      <c r="U42912" s="27"/>
    </row>
    <row r="42913">
      <c r="S42913" s="27"/>
      <c r="T42913" s="27"/>
      <c r="U42913" s="27"/>
    </row>
    <row r="42915">
      <c r="S42915" s="27"/>
      <c r="T42915" s="27"/>
      <c r="U42915" s="27"/>
    </row>
    <row r="42916">
      <c r="S42916" s="27"/>
      <c r="T42916" s="27"/>
      <c r="U42916" s="27"/>
    </row>
    <row r="42918">
      <c r="S42918" s="27"/>
      <c r="T42918" s="27"/>
      <c r="U42918" s="27"/>
    </row>
    <row r="42921">
      <c r="S42921" s="27"/>
      <c r="T42921" s="27"/>
      <c r="U42921" s="27"/>
    </row>
    <row r="42922">
      <c r="S42922" s="27"/>
      <c r="T42922" s="27"/>
      <c r="U42922" s="27"/>
    </row>
    <row r="42927">
      <c r="S42927" s="27"/>
      <c r="T42927" s="27"/>
      <c r="U42927" s="27"/>
    </row>
    <row r="42930">
      <c r="S42930" s="27"/>
      <c r="T42930" s="27"/>
      <c r="U42930" s="27"/>
    </row>
    <row r="42931">
      <c r="S42931" s="27"/>
      <c r="T42931" s="27"/>
      <c r="U42931" s="27"/>
    </row>
    <row r="42933">
      <c r="T42933" s="27"/>
      <c r="U42933" s="27"/>
    </row>
    <row r="42934">
      <c r="S42934" s="27"/>
      <c r="T42934" s="27"/>
      <c r="U42934" s="27"/>
    </row>
    <row r="42936">
      <c r="S42936" s="27"/>
      <c r="T42936" s="27"/>
      <c r="U42936" s="27"/>
    </row>
    <row r="42937">
      <c r="S42937" s="27"/>
      <c r="T42937" s="27"/>
      <c r="U42937" s="27"/>
    </row>
    <row r="42939">
      <c r="S42939" s="26"/>
    </row>
    <row r="42940">
      <c r="T42940" s="26"/>
      <c r="U42940" s="26"/>
    </row>
    <row r="42942">
      <c r="S42942" s="27"/>
      <c r="T42942" s="27"/>
      <c r="U42942" s="27"/>
    </row>
    <row r="42943">
      <c r="S42943" s="27"/>
      <c r="T42943" s="27"/>
      <c r="U42943" s="27"/>
    </row>
    <row r="42945">
      <c r="S42945" s="27"/>
      <c r="T42945" s="27"/>
      <c r="U42945" s="27"/>
    </row>
    <row r="42946">
      <c r="S42946" s="27"/>
      <c r="T42946" s="27"/>
      <c r="U42946" s="27"/>
    </row>
    <row r="42951">
      <c r="S42951" s="27"/>
      <c r="T42951" s="27"/>
      <c r="U42951" s="27"/>
    </row>
    <row r="42952">
      <c r="S42952" s="27"/>
      <c r="T42952" s="27"/>
      <c r="U42952" s="27"/>
    </row>
    <row r="42954">
      <c r="S42954" s="27"/>
      <c r="T42954" s="27"/>
      <c r="U42954" s="27"/>
    </row>
    <row r="42955">
      <c r="S42955" s="27"/>
      <c r="T42955" s="27"/>
      <c r="U42955" s="27"/>
    </row>
    <row r="42957">
      <c r="S42957" s="27"/>
      <c r="T42957" s="27"/>
      <c r="U42957" s="27"/>
    </row>
    <row r="42958">
      <c r="S42958" s="27"/>
      <c r="T42958" s="27"/>
      <c r="U42958" s="27"/>
    </row>
    <row r="42960">
      <c r="S42960" s="27"/>
      <c r="T42960" s="27"/>
      <c r="U42960" s="27"/>
    </row>
    <row r="42961">
      <c r="S42961" s="27"/>
      <c r="T42961" s="27"/>
      <c r="U42961" s="27"/>
    </row>
    <row r="42963">
      <c r="S42963" s="27"/>
      <c r="T42963" s="27"/>
      <c r="U42963" s="27"/>
    </row>
    <row r="42964">
      <c r="S42964" s="27"/>
      <c r="T42964" s="27"/>
      <c r="U42964" s="27"/>
    </row>
    <row r="42966">
      <c r="S42966" s="27"/>
      <c r="T42966" s="27"/>
      <c r="U42966" s="27"/>
    </row>
    <row r="42967">
      <c r="S42967" s="27"/>
      <c r="T42967" s="27"/>
      <c r="U42967" s="27"/>
    </row>
    <row r="42969">
      <c r="S42969" s="27"/>
      <c r="T42969" s="27"/>
      <c r="U42969" s="27"/>
    </row>
    <row r="42970">
      <c r="S42970" s="27"/>
      <c r="T42970" s="27"/>
      <c r="U42970" s="27"/>
    </row>
    <row r="42972">
      <c r="S42972" s="27"/>
      <c r="T42972" s="27"/>
      <c r="U42972" s="27"/>
    </row>
    <row r="42973">
      <c r="S42973" s="27"/>
      <c r="T42973" s="27"/>
      <c r="U42973" s="27"/>
    </row>
    <row r="42975">
      <c r="S42975" s="27"/>
      <c r="T42975" s="27"/>
      <c r="U42975" s="27"/>
    </row>
    <row r="42976">
      <c r="S42976" s="27"/>
      <c r="T42976" s="27"/>
      <c r="U42976" s="27"/>
    </row>
    <row r="42978">
      <c r="S42978" s="27"/>
      <c r="T42978" s="27"/>
      <c r="U42978" s="27"/>
    </row>
    <row r="42979">
      <c r="S42979" s="27"/>
      <c r="T42979" s="27"/>
      <c r="U42979" s="27"/>
    </row>
    <row r="42981">
      <c r="S42981" s="27"/>
      <c r="T42981" s="27"/>
      <c r="U42981" s="27"/>
    </row>
    <row r="42982">
      <c r="S42982" s="27"/>
      <c r="T42982" s="27"/>
      <c r="U42982" s="27"/>
    </row>
    <row r="42984">
      <c r="S42984" s="27"/>
      <c r="T42984" s="27"/>
      <c r="U42984" s="27"/>
    </row>
    <row r="42985">
      <c r="S42985" s="27"/>
      <c r="T42985" s="27"/>
      <c r="U42985" s="27"/>
    </row>
    <row r="42987">
      <c r="S42987" s="27"/>
      <c r="T42987" s="27"/>
      <c r="U42987" s="27"/>
    </row>
    <row r="42988">
      <c r="S42988" s="27"/>
      <c r="T42988" s="27"/>
      <c r="U42988" s="27"/>
    </row>
    <row r="42990">
      <c r="S42990" s="27"/>
      <c r="T42990" s="27"/>
      <c r="U42990" s="27"/>
    </row>
    <row r="42991">
      <c r="S42991" s="27"/>
      <c r="T42991" s="27"/>
      <c r="U42991" s="27"/>
    </row>
    <row r="42993">
      <c r="S42993" s="27"/>
      <c r="T42993" s="27"/>
      <c r="U42993" s="27"/>
    </row>
    <row r="42994">
      <c r="S42994" s="27"/>
      <c r="T42994" s="27"/>
      <c r="U42994" s="27"/>
    </row>
    <row r="42996">
      <c r="S42996" s="27"/>
      <c r="T42996" s="27"/>
      <c r="U42996" s="27"/>
    </row>
    <row r="42997">
      <c r="S42997" s="27"/>
      <c r="T42997" s="27"/>
      <c r="U42997" s="27"/>
    </row>
    <row r="42999">
      <c r="S42999" s="27"/>
      <c r="T42999" s="27"/>
      <c r="U42999" s="27"/>
    </row>
    <row r="43000">
      <c r="S43000" s="27"/>
      <c r="T43000" s="27"/>
      <c r="U43000" s="27"/>
    </row>
    <row r="43002">
      <c r="S43002" s="27"/>
      <c r="T43002" s="27"/>
      <c r="U43002" s="27"/>
    </row>
    <row r="43003">
      <c r="S43003" s="27"/>
      <c r="T43003" s="27"/>
      <c r="U43003" s="27"/>
    </row>
    <row r="43005">
      <c r="S43005" s="27"/>
      <c r="T43005" s="27"/>
      <c r="U43005" s="27"/>
    </row>
    <row r="43006">
      <c r="S43006" s="27"/>
      <c r="T43006" s="27"/>
      <c r="U43006" s="27"/>
    </row>
    <row r="43008">
      <c r="S43008" s="27"/>
      <c r="T43008" s="27"/>
      <c r="U43008" s="27"/>
    </row>
    <row r="43009">
      <c r="S43009" s="27"/>
      <c r="T43009" s="27"/>
      <c r="U43009" s="27"/>
    </row>
    <row r="43011">
      <c r="S43011" s="27"/>
      <c r="T43011" s="27"/>
      <c r="U43011" s="27"/>
    </row>
    <row r="43012">
      <c r="S43012" s="27"/>
      <c r="T43012" s="27"/>
      <c r="U43012" s="27"/>
    </row>
    <row r="43014">
      <c r="S43014" s="27"/>
      <c r="T43014" s="27"/>
      <c r="U43014" s="27"/>
    </row>
    <row r="43015">
      <c r="S43015" s="27"/>
      <c r="T43015" s="27"/>
      <c r="U43015" s="27"/>
    </row>
    <row r="43017">
      <c r="S43017" s="27"/>
      <c r="T43017" s="27"/>
      <c r="U43017" s="27"/>
    </row>
    <row r="43018">
      <c r="S43018" s="27"/>
      <c r="T43018" s="27"/>
      <c r="U43018" s="27"/>
    </row>
    <row r="43020">
      <c r="S43020" s="27"/>
      <c r="T43020" s="27"/>
      <c r="U43020" s="27"/>
    </row>
    <row r="43021">
      <c r="S43021" s="27"/>
      <c r="T43021" s="27"/>
      <c r="U43021" s="27"/>
    </row>
    <row r="43023">
      <c r="S43023" s="27"/>
      <c r="T43023" s="27"/>
      <c r="U43023" s="27"/>
    </row>
    <row r="43024">
      <c r="S43024" s="27"/>
      <c r="T43024" s="27"/>
      <c r="U43024" s="27"/>
    </row>
    <row r="43026">
      <c r="S43026" s="27"/>
      <c r="T43026" s="27"/>
      <c r="U43026" s="27"/>
    </row>
    <row r="43027">
      <c r="S43027" s="27"/>
      <c r="T43027" s="27"/>
      <c r="U43027" s="27"/>
    </row>
    <row r="43029">
      <c r="S43029" s="27"/>
      <c r="T43029" s="27"/>
      <c r="U43029" s="27"/>
    </row>
    <row r="43030">
      <c r="S43030" s="27"/>
      <c r="T43030" s="27"/>
      <c r="U43030" s="27"/>
    </row>
    <row r="43032">
      <c r="S43032" s="27"/>
      <c r="T43032" s="27"/>
      <c r="U43032" s="27"/>
    </row>
    <row r="43033">
      <c r="S43033" s="27"/>
      <c r="T43033" s="27"/>
      <c r="U43033" s="27"/>
    </row>
    <row r="43035">
      <c r="S43035" s="27"/>
      <c r="T43035" s="27"/>
      <c r="U43035" s="27"/>
    </row>
    <row r="43036">
      <c r="S43036" s="27"/>
      <c r="T43036" s="27"/>
      <c r="U43036" s="27"/>
    </row>
    <row r="43038">
      <c r="S43038" s="27"/>
      <c r="T43038" s="27"/>
      <c r="U43038" s="27"/>
    </row>
    <row r="43040">
      <c r="S43040" s="27"/>
      <c r="T43040" s="27"/>
      <c r="U43040" s="27"/>
    </row>
    <row r="43041">
      <c r="S43041" s="27"/>
      <c r="T43041" s="27"/>
      <c r="U43041" s="27"/>
    </row>
    <row r="43043">
      <c r="S43043" s="27"/>
      <c r="T43043" s="27"/>
      <c r="U43043" s="27"/>
    </row>
    <row r="43044">
      <c r="S43044" s="27"/>
      <c r="T43044" s="27"/>
      <c r="U43044" s="27"/>
    </row>
    <row r="43046">
      <c r="S43046" s="27"/>
      <c r="T43046" s="27"/>
      <c r="U43046" s="27"/>
    </row>
    <row r="43047">
      <c r="S43047" s="27"/>
      <c r="T43047" s="27"/>
      <c r="U43047" s="27"/>
    </row>
    <row r="43049">
      <c r="S43049" s="27"/>
      <c r="T43049" s="27"/>
      <c r="U43049" s="27"/>
    </row>
    <row r="43050">
      <c r="S43050" s="27"/>
      <c r="T43050" s="27"/>
      <c r="U43050" s="27"/>
    </row>
    <row r="43052">
      <c r="S43052" s="27"/>
      <c r="T43052" s="27"/>
      <c r="U43052" s="27"/>
    </row>
    <row r="43053">
      <c r="S43053" s="27"/>
      <c r="T43053" s="27"/>
      <c r="U43053" s="27"/>
    </row>
    <row r="43055">
      <c r="S43055" s="27"/>
      <c r="T43055" s="27"/>
      <c r="U43055" s="27"/>
    </row>
    <row r="43056">
      <c r="S43056" s="27"/>
      <c r="T43056" s="27"/>
      <c r="U43056" s="27"/>
    </row>
    <row r="43058">
      <c r="S43058" s="27"/>
      <c r="T43058" s="27"/>
      <c r="U43058" s="27"/>
    </row>
    <row r="43059">
      <c r="S43059" s="27"/>
      <c r="T43059" s="27"/>
      <c r="U43059" s="27"/>
    </row>
    <row r="43061">
      <c r="S43061" s="27"/>
      <c r="T43061" s="27"/>
      <c r="U43061" s="27"/>
    </row>
    <row r="43063">
      <c r="S43063" s="27"/>
      <c r="T43063" s="27"/>
      <c r="U43063" s="27"/>
    </row>
    <row r="43065">
      <c r="S43065" s="27"/>
      <c r="T43065" s="27"/>
      <c r="U43065" s="27"/>
    </row>
    <row r="43067">
      <c r="S43067" s="27"/>
      <c r="T43067" s="27"/>
      <c r="U43067" s="27"/>
    </row>
    <row r="43070">
      <c r="S43070" s="27"/>
      <c r="T43070" s="27"/>
      <c r="U43070" s="27"/>
    </row>
    <row r="43073">
      <c r="S43073" s="27"/>
      <c r="T43073" s="27"/>
      <c r="U43073" s="27"/>
    </row>
    <row r="43075">
      <c r="S43075" s="27"/>
      <c r="T43075" s="27"/>
      <c r="U43075" s="27"/>
    </row>
    <row r="43078">
      <c r="S43078" s="27"/>
      <c r="T43078" s="27"/>
      <c r="U43078" s="27"/>
    </row>
    <row r="43079">
      <c r="S43079" s="27"/>
      <c r="T43079" s="27"/>
      <c r="U43079" s="27"/>
    </row>
    <row r="43081">
      <c r="S43081" s="27"/>
      <c r="T43081" s="27"/>
      <c r="U43081" s="27"/>
    </row>
    <row r="43082">
      <c r="S43082" s="27"/>
      <c r="T43082" s="27"/>
      <c r="U43082" s="27"/>
    </row>
    <row r="43084">
      <c r="S43084" s="27"/>
      <c r="T43084" s="27"/>
      <c r="U43084" s="27"/>
    </row>
    <row r="43085">
      <c r="S43085" s="27"/>
      <c r="T43085" s="27"/>
      <c r="U43085" s="27"/>
    </row>
    <row r="43093">
      <c r="S43093" s="27"/>
      <c r="T43093" s="27"/>
      <c r="U43093" s="27"/>
    </row>
    <row r="43096">
      <c r="S43096" s="27"/>
      <c r="T43096" s="27"/>
      <c r="U43096" s="27"/>
    </row>
    <row r="43097">
      <c r="S43097" s="27"/>
      <c r="T43097" s="27"/>
      <c r="U43097" s="27"/>
    </row>
    <row r="43099">
      <c r="S43099" s="27"/>
      <c r="T43099" s="27"/>
      <c r="U43099" s="27"/>
    </row>
    <row r="43100">
      <c r="S43100" s="27"/>
      <c r="T43100" s="27"/>
      <c r="U43100" s="27"/>
    </row>
    <row r="43102">
      <c r="S43102" s="27"/>
      <c r="T43102" s="27"/>
      <c r="U43102" s="27"/>
    </row>
    <row r="43103">
      <c r="S43103" s="27"/>
      <c r="T43103" s="27"/>
      <c r="U43103" s="27"/>
    </row>
    <row r="43105">
      <c r="U43105" s="26"/>
    </row>
    <row r="43108">
      <c r="S43108" s="27"/>
      <c r="T43108" s="27"/>
      <c r="U43108" s="27"/>
    </row>
    <row r="43109">
      <c r="S43109" s="27"/>
      <c r="T43109" s="27"/>
      <c r="U43109" s="27"/>
    </row>
    <row r="43111">
      <c r="S43111" s="27"/>
      <c r="T43111" s="27"/>
      <c r="U43111" s="27"/>
    </row>
    <row r="43112">
      <c r="S43112" s="27"/>
      <c r="T43112" s="27"/>
      <c r="U43112" s="27"/>
    </row>
    <row r="43114">
      <c r="S43114" s="27"/>
      <c r="T43114" s="26"/>
      <c r="U43114" s="27"/>
    </row>
    <row r="43115">
      <c r="U43115" s="27"/>
    </row>
    <row r="43117">
      <c r="S43117" s="27"/>
      <c r="T43117" s="27"/>
    </row>
    <row r="43120">
      <c r="S43120" s="26"/>
      <c r="T43120" s="26"/>
      <c r="U43120" s="26"/>
    </row>
    <row r="43121">
      <c r="S43121" s="26"/>
      <c r="T43121" s="26"/>
      <c r="U43121" s="26"/>
    </row>
    <row r="43123">
      <c r="S43123" s="27"/>
      <c r="T43123" s="27"/>
      <c r="U43123" s="27"/>
    </row>
    <row r="43124">
      <c r="S43124" s="27"/>
      <c r="T43124" s="27"/>
      <c r="U43124" s="27"/>
    </row>
    <row r="43126">
      <c r="S43126" s="27"/>
      <c r="T43126" s="27"/>
      <c r="U43126" s="27"/>
    </row>
    <row r="43127">
      <c r="S43127" s="27"/>
      <c r="T43127" s="27"/>
      <c r="U43127" s="27"/>
    </row>
    <row r="43129">
      <c r="S43129" s="34"/>
      <c r="T43129" s="34"/>
      <c r="U43129" s="34"/>
    </row>
    <row r="43132">
      <c r="S43132" s="26"/>
    </row>
    <row r="43138">
      <c r="S43138" s="27"/>
      <c r="T43138" s="27"/>
      <c r="U43138" s="27"/>
    </row>
    <row r="43139">
      <c r="S43139" s="27"/>
      <c r="T43139" s="27"/>
      <c r="U43139" s="27"/>
    </row>
    <row r="43141">
      <c r="S43141" s="27"/>
      <c r="T43141" s="27"/>
      <c r="U43141" s="27"/>
    </row>
    <row r="43142">
      <c r="S43142" s="27"/>
      <c r="T43142" s="27"/>
      <c r="U43142" s="27"/>
    </row>
    <row r="43144">
      <c r="S43144" s="27"/>
      <c r="T43144" s="27"/>
      <c r="U43144" s="27"/>
    </row>
    <row r="43145">
      <c r="S43145" s="27"/>
      <c r="T43145" s="27"/>
      <c r="U43145" s="27"/>
    </row>
    <row r="43147">
      <c r="S43147" s="27"/>
      <c r="T43147" s="27"/>
      <c r="U43147" s="27"/>
    </row>
    <row r="43148">
      <c r="S43148" s="27"/>
      <c r="T43148" s="27"/>
      <c r="U43148" s="27"/>
    </row>
    <row r="43150">
      <c r="S43150" s="27"/>
      <c r="T43150" s="27"/>
      <c r="U43150" s="27"/>
    </row>
    <row r="43151">
      <c r="S43151" s="27"/>
      <c r="T43151" s="27"/>
      <c r="U43151" s="27"/>
    </row>
    <row r="43153">
      <c r="S43153" s="27"/>
      <c r="T43153" s="27"/>
      <c r="U43153" s="27"/>
    </row>
    <row r="43154">
      <c r="S43154" s="27"/>
      <c r="T43154" s="27"/>
      <c r="U43154" s="27"/>
    </row>
    <row r="43156">
      <c r="S43156" s="27"/>
      <c r="T43156" s="27"/>
      <c r="U43156" s="27"/>
    </row>
    <row r="43157">
      <c r="S43157" s="27"/>
      <c r="T43157" s="27"/>
      <c r="U43157" s="27"/>
    </row>
    <row r="43159">
      <c r="S43159" s="27"/>
      <c r="T43159" s="27"/>
      <c r="U43159" s="27"/>
    </row>
    <row r="43160">
      <c r="S43160" s="27"/>
      <c r="T43160" s="27"/>
      <c r="U43160" s="27"/>
    </row>
    <row r="43162">
      <c r="S43162" s="27"/>
      <c r="T43162" s="27"/>
      <c r="U43162" s="27"/>
    </row>
    <row r="43163">
      <c r="S43163" s="27"/>
      <c r="T43163" s="27"/>
      <c r="U43163" s="27"/>
    </row>
    <row r="43165">
      <c r="S43165" s="27"/>
      <c r="T43165" s="27"/>
      <c r="U43165" s="27"/>
    </row>
    <row r="43166">
      <c r="S43166" s="27"/>
      <c r="T43166" s="27"/>
      <c r="U43166" s="27"/>
    </row>
    <row r="43168">
      <c r="S43168" s="27"/>
      <c r="T43168" s="27"/>
      <c r="U43168" s="27"/>
    </row>
    <row r="43169">
      <c r="S43169" s="27"/>
      <c r="T43169" s="27"/>
      <c r="U43169" s="27"/>
    </row>
    <row r="43171">
      <c r="S43171" s="27"/>
      <c r="T43171" s="27"/>
      <c r="U43171" s="27"/>
    </row>
    <row r="43172">
      <c r="S43172" s="27"/>
      <c r="T43172" s="27"/>
      <c r="U43172" s="27"/>
    </row>
    <row r="43174">
      <c r="S43174" s="27"/>
      <c r="T43174" s="27"/>
      <c r="U43174" s="27"/>
    </row>
    <row r="43175">
      <c r="S43175" s="27"/>
      <c r="T43175" s="27"/>
      <c r="U43175" s="27"/>
    </row>
    <row r="43177">
      <c r="S43177" s="27"/>
      <c r="T43177" s="27"/>
      <c r="U43177" s="27"/>
    </row>
    <row r="43178">
      <c r="S43178" s="27"/>
      <c r="T43178" s="27"/>
      <c r="U43178" s="27"/>
    </row>
    <row r="43180">
      <c r="S43180" s="27"/>
      <c r="T43180" s="27"/>
      <c r="U43180" s="27"/>
    </row>
    <row r="43181">
      <c r="S43181" s="27"/>
      <c r="T43181" s="27"/>
      <c r="U43181" s="27"/>
    </row>
    <row r="43183">
      <c r="S43183" s="27"/>
      <c r="T43183" s="27"/>
      <c r="U43183" s="27"/>
    </row>
    <row r="43184">
      <c r="S43184" s="27"/>
      <c r="T43184" s="27"/>
      <c r="U43184" s="27"/>
    </row>
    <row r="43186">
      <c r="S43186" s="27"/>
      <c r="T43186" s="27"/>
      <c r="U43186" s="27"/>
    </row>
    <row r="43187">
      <c r="S43187" s="27"/>
      <c r="T43187" s="27"/>
      <c r="U43187" s="27"/>
    </row>
    <row r="43189">
      <c r="S43189" s="27"/>
      <c r="T43189" s="27"/>
      <c r="U43189" s="27"/>
    </row>
    <row r="43190">
      <c r="S43190" s="27"/>
      <c r="T43190" s="27"/>
      <c r="U43190" s="27"/>
    </row>
    <row r="43192">
      <c r="S43192" s="27"/>
      <c r="T43192" s="27"/>
      <c r="U43192" s="27"/>
    </row>
    <row r="43193">
      <c r="S43193" s="27"/>
      <c r="T43193" s="27"/>
      <c r="U43193" s="27"/>
    </row>
    <row r="43195">
      <c r="S43195" s="27"/>
      <c r="T43195" s="27"/>
      <c r="U43195" s="27"/>
    </row>
    <row r="43196">
      <c r="S43196" s="27"/>
      <c r="T43196" s="27"/>
      <c r="U43196" s="27"/>
    </row>
    <row r="43198">
      <c r="S43198" s="27"/>
      <c r="T43198" s="27"/>
      <c r="U43198" s="27"/>
    </row>
    <row r="43199">
      <c r="S43199" s="27"/>
      <c r="T43199" s="27"/>
      <c r="U43199" s="27"/>
    </row>
    <row r="43201">
      <c r="S43201" s="27"/>
      <c r="T43201" s="27"/>
      <c r="U43201" s="27"/>
    </row>
    <row r="43202">
      <c r="S43202" s="27"/>
      <c r="T43202" s="27"/>
      <c r="U43202" s="27"/>
    </row>
    <row r="43204">
      <c r="S43204" s="27"/>
      <c r="T43204" s="27"/>
      <c r="U43204" s="27"/>
    </row>
    <row r="43205">
      <c r="S43205" s="27"/>
      <c r="T43205" s="27"/>
      <c r="U43205" s="27"/>
    </row>
    <row r="43207">
      <c r="S43207" s="27"/>
      <c r="T43207" s="27"/>
      <c r="U43207" s="27"/>
    </row>
    <row r="43208">
      <c r="S43208" s="27"/>
      <c r="T43208" s="27"/>
      <c r="U43208" s="27"/>
    </row>
    <row r="43211">
      <c r="S43211" s="27"/>
      <c r="T43211" s="27"/>
      <c r="U43211" s="27"/>
    </row>
    <row r="43213">
      <c r="S43213" s="27"/>
      <c r="T43213" s="27"/>
      <c r="U43213" s="27"/>
    </row>
    <row r="43214">
      <c r="S43214" s="27"/>
      <c r="T43214" s="27"/>
      <c r="U43214" s="27"/>
    </row>
    <row r="43216">
      <c r="S43216" s="27"/>
      <c r="T43216" s="27"/>
      <c r="U43216" s="27"/>
    </row>
    <row r="43217">
      <c r="T43217" s="27"/>
      <c r="U43217" s="27"/>
    </row>
    <row r="43219">
      <c r="S43219" s="33"/>
      <c r="T43219" s="33"/>
      <c r="U43219" s="33"/>
    </row>
    <row r="43220">
      <c r="S43220" s="27"/>
      <c r="T43220" s="27"/>
      <c r="U43220" s="27"/>
    </row>
    <row r="43222">
      <c r="S43222" s="27"/>
      <c r="T43222" s="27"/>
      <c r="U43222" s="27"/>
    </row>
    <row r="43223">
      <c r="S43223" s="27"/>
      <c r="T43223" s="27"/>
      <c r="U43223" s="27"/>
    </row>
    <row r="43225">
      <c r="T43225" s="27"/>
      <c r="U43225" s="27"/>
    </row>
    <row r="43226">
      <c r="S43226" s="26"/>
      <c r="T43226" s="26"/>
      <c r="U43226" s="26"/>
    </row>
    <row r="43228">
      <c r="S43228" s="27"/>
      <c r="T43228" s="27"/>
      <c r="U43228" s="27"/>
    </row>
    <row r="43229">
      <c r="S43229" s="27"/>
      <c r="T43229" s="27"/>
      <c r="U43229" s="27"/>
    </row>
    <row r="43231">
      <c r="S43231" s="27"/>
      <c r="T43231" s="27"/>
      <c r="U43231" s="27"/>
    </row>
    <row r="43232">
      <c r="S43232" s="27"/>
      <c r="T43232" s="27"/>
      <c r="U43232" s="27"/>
    </row>
    <row r="43234">
      <c r="S43234" s="27"/>
      <c r="T43234" s="27"/>
      <c r="U43234" s="27"/>
    </row>
    <row r="43235">
      <c r="S43235" s="27"/>
      <c r="T43235" s="27"/>
      <c r="U43235" s="27"/>
    </row>
    <row r="43240">
      <c r="S43240" s="26"/>
      <c r="T43240" s="26"/>
      <c r="U43240" s="26"/>
    </row>
    <row r="43243">
      <c r="S43243" s="27"/>
    </row>
    <row r="43245">
      <c r="S43245" s="27"/>
      <c r="T43245" s="27"/>
      <c r="U43245" s="27"/>
    </row>
    <row r="43250">
      <c r="S43250" s="27"/>
      <c r="T43250" s="27"/>
      <c r="U43250" s="27"/>
    </row>
    <row r="43253">
      <c r="S43253" s="27"/>
      <c r="T43253" s="27"/>
      <c r="U43253" s="27"/>
    </row>
    <row r="43254">
      <c r="S43254" s="27"/>
      <c r="T43254" s="27"/>
      <c r="U43254" s="27"/>
    </row>
    <row r="43256">
      <c r="S43256" s="27"/>
      <c r="T43256" s="27"/>
      <c r="U43256" s="27"/>
    </row>
    <row r="43257">
      <c r="S43257" s="27"/>
      <c r="T43257" s="27"/>
      <c r="U43257" s="27"/>
    </row>
    <row r="43259">
      <c r="S43259" s="27"/>
      <c r="T43259" s="27"/>
      <c r="U43259" s="33"/>
    </row>
    <row r="43260">
      <c r="U43260" s="27"/>
    </row>
    <row r="43262">
      <c r="S43262" s="27"/>
      <c r="T43262" s="27"/>
      <c r="U43262" s="27"/>
    </row>
    <row r="43263">
      <c r="S43263" s="26"/>
      <c r="T43263" s="26"/>
      <c r="U43263" s="27"/>
    </row>
    <row r="43266">
      <c r="S43266" s="27"/>
      <c r="T43266" s="27"/>
      <c r="U43266" s="27"/>
    </row>
    <row r="43268">
      <c r="S43268" s="26"/>
      <c r="T43268" s="26"/>
      <c r="U43268" s="26"/>
    </row>
    <row r="43269">
      <c r="S43269" s="26"/>
      <c r="T43269" s="26"/>
      <c r="U43269" s="26"/>
    </row>
    <row r="43271">
      <c r="S43271" s="27"/>
      <c r="T43271" s="27"/>
      <c r="U43271" s="27"/>
    </row>
    <row r="43272">
      <c r="S43272" s="27"/>
      <c r="T43272" s="27"/>
      <c r="U43272" s="27"/>
    </row>
    <row r="43274">
      <c r="S43274" s="27"/>
      <c r="T43274" s="27"/>
      <c r="U43274" s="27"/>
    </row>
    <row r="43275">
      <c r="S43275" s="27"/>
      <c r="T43275" s="27"/>
      <c r="U43275" s="27"/>
    </row>
    <row r="43277">
      <c r="S43277" s="27"/>
      <c r="T43277" s="27"/>
      <c r="U43277" s="27"/>
    </row>
    <row r="43278">
      <c r="S43278" s="27"/>
      <c r="T43278" s="27"/>
      <c r="U43278" s="27"/>
    </row>
    <row r="43280">
      <c r="S43280" s="27"/>
      <c r="T43280" s="33"/>
      <c r="U43280" s="27"/>
    </row>
    <row r="43283">
      <c r="S43283" s="27"/>
      <c r="T43283" s="27"/>
    </row>
    <row r="43284">
      <c r="S43284" s="27"/>
      <c r="T43284" s="27"/>
    </row>
    <row r="43286">
      <c r="S43286" s="27"/>
      <c r="T43286" s="27"/>
      <c r="U43286" s="27"/>
    </row>
    <row r="43289">
      <c r="S43289" s="27"/>
      <c r="T43289" s="27"/>
    </row>
    <row r="43290">
      <c r="S43290" s="33"/>
      <c r="T43290" s="33"/>
      <c r="U43290" s="33"/>
    </row>
    <row r="43292">
      <c r="S43292" s="27"/>
    </row>
    <row r="43295">
      <c r="S43295" s="27"/>
      <c r="T43295" s="27"/>
      <c r="U43295" s="27"/>
    </row>
    <row r="43296">
      <c r="S43296" s="27"/>
      <c r="T43296" s="27"/>
      <c r="U43296" s="27"/>
    </row>
    <row r="43298">
      <c r="S43298" s="27"/>
      <c r="T43298" s="27"/>
      <c r="U43298" s="27"/>
    </row>
    <row r="43299">
      <c r="S43299" s="27"/>
      <c r="T43299" s="27"/>
      <c r="U43299" s="27"/>
    </row>
    <row r="43301">
      <c r="S43301" s="27"/>
      <c r="T43301" s="27"/>
      <c r="U43301" s="27"/>
    </row>
    <row r="43302">
      <c r="S43302" s="27"/>
      <c r="T43302" s="27"/>
      <c r="U43302" s="27"/>
    </row>
    <row r="43304">
      <c r="S43304" s="27"/>
      <c r="T43304" s="27"/>
      <c r="U43304" s="27"/>
    </row>
    <row r="43305">
      <c r="S43305" s="27"/>
      <c r="T43305" s="27"/>
      <c r="U43305" s="27"/>
    </row>
    <row r="43310">
      <c r="S43310" s="27"/>
      <c r="T43310" s="27"/>
      <c r="U43310" s="27"/>
    </row>
    <row r="43311">
      <c r="S43311" s="27"/>
      <c r="T43311" s="27"/>
      <c r="U43311" s="27"/>
    </row>
    <row r="43313">
      <c r="S43313" s="27"/>
      <c r="T43313" s="27"/>
      <c r="U43313" s="27"/>
    </row>
    <row r="43314">
      <c r="S43314" s="27"/>
      <c r="T43314" s="27"/>
      <c r="U43314" s="27"/>
    </row>
    <row r="43316">
      <c r="S43316" s="27"/>
      <c r="T43316" s="27"/>
    </row>
    <row r="43319">
      <c r="S43319" s="27"/>
      <c r="T43319" s="27"/>
      <c r="U43319" s="27"/>
    </row>
    <row r="43320">
      <c r="S43320" s="27"/>
      <c r="T43320" s="27"/>
      <c r="U43320" s="27"/>
    </row>
    <row r="43322">
      <c r="S43322" s="27"/>
      <c r="T43322" s="27"/>
      <c r="U43322" s="27"/>
    </row>
    <row r="43323">
      <c r="S43323" s="27"/>
      <c r="T43323" s="27"/>
      <c r="U43323" s="27"/>
    </row>
    <row r="43325">
      <c r="S43325" s="27"/>
      <c r="T43325" s="27"/>
      <c r="U43325" s="27"/>
    </row>
    <row r="43326">
      <c r="S43326" s="27"/>
      <c r="T43326" s="27"/>
      <c r="U43326" s="27"/>
    </row>
    <row r="43331">
      <c r="S43331" s="27"/>
      <c r="T43331" s="27"/>
      <c r="U43331" s="27"/>
    </row>
    <row r="43332">
      <c r="S43332" s="27"/>
      <c r="T43332" s="27"/>
      <c r="U43332" s="27"/>
    </row>
    <row r="43334">
      <c r="S43334" s="26"/>
      <c r="T43334" s="26"/>
      <c r="U43334" s="26"/>
    </row>
    <row r="43337">
      <c r="S43337" s="27"/>
      <c r="T43337" s="27"/>
      <c r="U43337" s="27"/>
    </row>
    <row r="43340">
      <c r="S43340" s="27"/>
      <c r="T43340" s="27"/>
      <c r="U43340" s="27"/>
    </row>
    <row r="43341">
      <c r="S43341" s="27"/>
      <c r="T43341" s="27"/>
      <c r="U43341" s="27"/>
    </row>
    <row r="43343">
      <c r="S43343" s="27"/>
      <c r="T43343" s="27"/>
      <c r="U43343" s="27"/>
    </row>
    <row r="43344">
      <c r="S43344" s="27"/>
      <c r="T43344" s="27"/>
      <c r="U43344" s="27"/>
    </row>
    <row r="43346">
      <c r="S43346" s="27"/>
      <c r="T43346" s="27"/>
      <c r="U43346" s="27"/>
    </row>
    <row r="43347">
      <c r="S43347" s="27"/>
      <c r="T43347" s="27"/>
      <c r="U43347" s="27"/>
    </row>
    <row r="43349">
      <c r="S43349" s="27"/>
    </row>
    <row r="43350">
      <c r="T43350" s="26"/>
      <c r="U43350" s="26"/>
    </row>
    <row r="43352">
      <c r="S43352" s="27"/>
      <c r="T43352" s="27"/>
      <c r="U43352" s="27"/>
    </row>
    <row r="43353">
      <c r="S43353" s="27"/>
      <c r="T43353" s="27"/>
      <c r="U43353" s="27"/>
    </row>
    <row r="43355">
      <c r="S43355" s="27"/>
      <c r="T43355" s="27"/>
      <c r="U43355" s="27"/>
    </row>
    <row r="43356">
      <c r="S43356" s="27"/>
      <c r="T43356" s="27"/>
      <c r="U43356" s="27"/>
    </row>
    <row r="43358">
      <c r="S43358" s="27"/>
      <c r="T43358" s="27"/>
      <c r="U43358" s="27"/>
    </row>
    <row r="43359">
      <c r="S43359" s="27"/>
      <c r="T43359" s="27"/>
      <c r="U43359" s="27"/>
    </row>
    <row r="43361">
      <c r="S43361" s="27"/>
      <c r="T43361" s="27"/>
      <c r="U43361" s="27"/>
    </row>
    <row r="43362">
      <c r="S43362" s="27"/>
      <c r="T43362" s="27"/>
      <c r="U43362" s="27"/>
    </row>
    <row r="43364">
      <c r="S43364" s="27"/>
      <c r="T43364" s="27"/>
      <c r="U43364" s="27"/>
    </row>
    <row r="43365">
      <c r="S43365" s="27"/>
      <c r="T43365" s="27"/>
      <c r="U43365" s="27"/>
    </row>
    <row r="43367">
      <c r="S43367" s="27"/>
      <c r="T43367" s="27"/>
      <c r="U43367" s="27"/>
    </row>
    <row r="43368">
      <c r="S43368" s="27"/>
      <c r="T43368" s="27"/>
      <c r="U43368" s="27"/>
    </row>
    <row r="43370">
      <c r="S43370" s="27"/>
      <c r="T43370" s="27"/>
      <c r="U43370" s="27"/>
    </row>
    <row r="43371">
      <c r="S43371" s="27"/>
      <c r="T43371" s="27"/>
      <c r="U43371" s="27"/>
    </row>
    <row r="43373">
      <c r="S43373" s="27"/>
      <c r="T43373" s="27"/>
      <c r="U43373" s="27"/>
    </row>
    <row r="43374">
      <c r="S43374" s="27"/>
      <c r="T43374" s="27"/>
      <c r="U43374" s="27"/>
    </row>
    <row r="43376">
      <c r="S43376" s="27"/>
      <c r="T43376" s="27"/>
      <c r="U43376" s="27"/>
    </row>
    <row r="43377">
      <c r="S43377" s="27"/>
      <c r="T43377" s="27"/>
      <c r="U43377" s="27"/>
    </row>
    <row r="43379">
      <c r="S43379" s="27"/>
      <c r="T43379" s="27"/>
      <c r="U43379" s="27"/>
    </row>
    <row r="43380">
      <c r="S43380" s="27"/>
      <c r="T43380" s="27"/>
      <c r="U43380" s="27"/>
    </row>
    <row r="43382">
      <c r="S43382" s="27"/>
      <c r="T43382" s="27"/>
      <c r="U43382" s="27"/>
    </row>
    <row r="43383">
      <c r="S43383" s="27"/>
      <c r="T43383" s="27"/>
      <c r="U43383" s="27"/>
    </row>
    <row r="43385">
      <c r="S43385" s="27"/>
      <c r="T43385" s="27"/>
      <c r="U43385" s="27"/>
    </row>
    <row r="43386">
      <c r="S43386" s="27"/>
      <c r="T43386" s="27"/>
      <c r="U43386" s="27"/>
    </row>
    <row r="43388">
      <c r="S43388" s="27"/>
      <c r="T43388" s="27"/>
      <c r="U43388" s="27"/>
    </row>
    <row r="43389">
      <c r="S43389" s="27"/>
      <c r="T43389" s="27"/>
      <c r="U43389" s="27"/>
    </row>
    <row r="43391">
      <c r="S43391" s="27"/>
      <c r="T43391" s="27"/>
      <c r="U43391" s="27"/>
    </row>
    <row r="43392">
      <c r="S43392" s="27"/>
      <c r="T43392" s="27"/>
      <c r="U43392" s="27"/>
    </row>
    <row r="43394">
      <c r="S43394" s="27"/>
      <c r="T43394" s="27"/>
      <c r="U43394" s="27"/>
    </row>
    <row r="43395">
      <c r="S43395" s="27"/>
      <c r="T43395" s="27"/>
      <c r="U43395" s="27"/>
    </row>
    <row r="43397">
      <c r="S43397" s="27"/>
      <c r="T43397" s="27"/>
      <c r="U43397" s="27"/>
    </row>
    <row r="43398">
      <c r="S43398" s="27"/>
      <c r="T43398" s="27"/>
      <c r="U43398" s="27"/>
    </row>
    <row r="43400">
      <c r="S43400" s="27"/>
      <c r="T43400" s="27"/>
      <c r="U43400" s="27"/>
    </row>
    <row r="43401">
      <c r="S43401" s="27"/>
      <c r="T43401" s="27"/>
      <c r="U43401" s="27"/>
    </row>
    <row r="43403">
      <c r="S43403" s="27"/>
      <c r="T43403" s="27"/>
      <c r="U43403" s="27"/>
    </row>
    <row r="43404">
      <c r="S43404" s="27"/>
      <c r="T43404" s="27"/>
      <c r="U43404" s="27"/>
    </row>
    <row r="43406">
      <c r="S43406" s="27"/>
      <c r="T43406" s="27"/>
      <c r="U43406" s="27"/>
    </row>
    <row r="43407">
      <c r="S43407" s="27"/>
      <c r="T43407" s="27"/>
      <c r="U43407" s="27"/>
    </row>
    <row r="43409">
      <c r="S43409" s="27"/>
      <c r="T43409" s="27"/>
      <c r="U43409" s="27"/>
    </row>
    <row r="43410">
      <c r="S43410" s="27"/>
      <c r="T43410" s="27"/>
      <c r="U43410" s="27"/>
    </row>
    <row r="43412">
      <c r="S43412" s="27"/>
      <c r="T43412" s="27"/>
      <c r="U43412" s="27"/>
    </row>
    <row r="43413">
      <c r="S43413" s="27"/>
      <c r="T43413" s="27"/>
      <c r="U43413" s="27"/>
    </row>
    <row r="43415">
      <c r="S43415" s="27"/>
      <c r="T43415" s="27"/>
      <c r="U43415" s="27"/>
    </row>
    <row r="43416">
      <c r="S43416" s="27"/>
      <c r="T43416" s="27"/>
      <c r="U43416" s="27"/>
    </row>
    <row r="43418">
      <c r="S43418" s="27"/>
      <c r="T43418" s="27"/>
      <c r="U43418" s="27"/>
    </row>
    <row r="43419">
      <c r="S43419" s="27"/>
      <c r="T43419" s="27"/>
      <c r="U43419" s="27"/>
    </row>
    <row r="43421">
      <c r="S43421" s="27"/>
      <c r="T43421" s="27"/>
      <c r="U43421" s="27"/>
    </row>
    <row r="43422">
      <c r="S43422" s="27"/>
      <c r="T43422" s="27"/>
      <c r="U43422" s="27"/>
    </row>
    <row r="43424">
      <c r="S43424" s="27"/>
      <c r="T43424" s="27"/>
      <c r="U43424" s="27"/>
    </row>
    <row r="43425">
      <c r="S43425" s="27"/>
      <c r="T43425" s="27"/>
      <c r="U43425" s="27"/>
    </row>
    <row r="43427">
      <c r="S43427" s="27"/>
      <c r="T43427" s="27"/>
      <c r="U43427" s="27"/>
    </row>
    <row r="43428">
      <c r="S43428" s="27"/>
      <c r="T43428" s="27"/>
      <c r="U43428" s="27"/>
    </row>
    <row r="43430">
      <c r="S43430" s="27"/>
      <c r="T43430" s="27"/>
      <c r="U43430" s="27"/>
    </row>
    <row r="43431">
      <c r="S43431" s="27"/>
      <c r="T43431" s="27"/>
      <c r="U43431" s="27"/>
    </row>
    <row r="43433">
      <c r="S43433" s="27"/>
      <c r="T43433" s="27"/>
      <c r="U43433" s="27"/>
    </row>
    <row r="43434">
      <c r="S43434" s="27"/>
      <c r="T43434" s="27"/>
      <c r="U43434" s="27"/>
    </row>
    <row r="43436">
      <c r="S43436" s="27"/>
      <c r="T43436" s="27"/>
      <c r="U43436" s="27"/>
    </row>
    <row r="43437">
      <c r="S43437" s="27"/>
      <c r="T43437" s="27"/>
      <c r="U43437" s="27"/>
    </row>
    <row r="43439">
      <c r="S43439" s="27"/>
      <c r="T43439" s="27"/>
      <c r="U43439" s="27"/>
    </row>
    <row r="43440">
      <c r="S43440" s="27"/>
      <c r="T43440" s="27"/>
      <c r="U43440" s="27"/>
    </row>
    <row r="43442">
      <c r="S43442" s="27"/>
      <c r="T43442" s="27"/>
      <c r="U43442" s="27"/>
    </row>
    <row r="43443">
      <c r="S43443" s="27"/>
      <c r="T43443" s="27"/>
      <c r="U43443" s="27"/>
    </row>
    <row r="43445">
      <c r="S43445" s="27"/>
      <c r="T43445" s="27"/>
      <c r="U43445" s="27"/>
    </row>
    <row r="43446">
      <c r="S43446" s="27"/>
      <c r="T43446" s="27"/>
      <c r="U43446" s="27"/>
    </row>
    <row r="43448">
      <c r="S43448" s="27"/>
      <c r="T43448" s="27"/>
      <c r="U43448" s="27"/>
    </row>
    <row r="43450">
      <c r="S43450" s="27"/>
      <c r="T43450" s="27"/>
      <c r="U43450" s="27"/>
    </row>
    <row r="43451">
      <c r="S43451" s="27"/>
      <c r="T43451" s="27"/>
      <c r="U43451" s="27"/>
    </row>
    <row r="43453">
      <c r="S43453" s="27"/>
      <c r="T43453" s="27"/>
      <c r="U43453" s="27"/>
    </row>
    <row r="43454">
      <c r="S43454" s="27"/>
      <c r="T43454" s="27"/>
      <c r="U43454" s="27"/>
    </row>
    <row r="43456">
      <c r="S43456" s="27"/>
      <c r="T43456" s="27"/>
      <c r="U43456" s="27"/>
    </row>
    <row r="43457">
      <c r="S43457" s="27"/>
      <c r="T43457" s="27"/>
      <c r="U43457" s="27"/>
    </row>
    <row r="43459">
      <c r="S43459" s="27"/>
      <c r="T43459" s="27"/>
      <c r="U43459" s="27"/>
    </row>
    <row r="43460">
      <c r="S43460" s="27"/>
      <c r="T43460" s="27"/>
      <c r="U43460" s="27"/>
    </row>
    <row r="43462">
      <c r="S43462" s="27"/>
      <c r="T43462" s="27"/>
      <c r="U43462" s="27"/>
    </row>
    <row r="43463">
      <c r="S43463" s="27"/>
      <c r="T43463" s="27"/>
      <c r="U43463" s="27"/>
    </row>
    <row r="43465">
      <c r="S43465" s="27"/>
      <c r="T43465" s="27"/>
      <c r="U43465" s="27"/>
    </row>
    <row r="43466">
      <c r="S43466" s="27"/>
      <c r="T43466" s="27"/>
      <c r="U43466" s="27"/>
    </row>
    <row r="43468">
      <c r="S43468" s="27"/>
      <c r="T43468" s="27"/>
      <c r="U43468" s="27"/>
    </row>
    <row r="43469">
      <c r="S43469" s="27"/>
      <c r="T43469" s="27"/>
      <c r="U43469" s="27"/>
    </row>
    <row r="43471">
      <c r="S43471" s="27"/>
      <c r="T43471" s="27"/>
      <c r="U43471" s="27"/>
    </row>
    <row r="43473">
      <c r="S43473" s="27"/>
      <c r="T43473" s="27"/>
      <c r="U43473" s="27"/>
    </row>
    <row r="43475">
      <c r="T43475" s="27"/>
      <c r="U43475" s="27"/>
    </row>
    <row r="43477">
      <c r="S43477" s="27"/>
      <c r="T43477" s="27"/>
      <c r="U43477" s="27"/>
    </row>
    <row r="43479">
      <c r="S43479" s="27"/>
      <c r="T43479" s="27"/>
      <c r="U43479" s="27"/>
    </row>
    <row r="43480">
      <c r="S43480" s="27"/>
      <c r="T43480" s="27"/>
      <c r="U43480" s="27"/>
    </row>
    <row r="43483">
      <c r="S43483" s="27"/>
      <c r="T43483" s="27"/>
      <c r="U43483" s="27"/>
    </row>
    <row r="43485">
      <c r="S43485" s="27"/>
      <c r="T43485" s="27"/>
      <c r="U43485" s="27"/>
    </row>
    <row r="43486">
      <c r="U43486" s="33"/>
    </row>
    <row r="43488">
      <c r="S43488" s="27"/>
      <c r="T43488" s="27"/>
      <c r="U43488" s="27"/>
    </row>
    <row r="43489">
      <c r="S43489" s="27"/>
      <c r="T43489" s="27"/>
      <c r="U43489" s="27"/>
    </row>
    <row r="43491">
      <c r="S43491" s="27"/>
      <c r="T43491" s="27"/>
      <c r="U43491" s="27"/>
    </row>
    <row r="43492">
      <c r="S43492" s="27"/>
      <c r="T43492" s="27"/>
      <c r="U43492" s="27"/>
    </row>
    <row r="43494">
      <c r="S43494" s="27"/>
      <c r="T43494" s="27"/>
      <c r="U43494" s="27"/>
    </row>
    <row r="43495">
      <c r="S43495" s="27"/>
      <c r="T43495" s="27"/>
      <c r="U43495" s="27"/>
    </row>
    <row r="43500">
      <c r="S43500" s="26"/>
    </row>
    <row r="43503">
      <c r="S43503" s="27"/>
      <c r="T43503" s="27"/>
      <c r="U43503" s="27"/>
    </row>
    <row r="43506">
      <c r="S43506" s="27"/>
      <c r="T43506" s="27"/>
      <c r="U43506" s="27"/>
    </row>
    <row r="43507">
      <c r="S43507" s="27"/>
      <c r="T43507" s="27"/>
      <c r="U43507" s="27"/>
    </row>
    <row r="43509">
      <c r="S43509" s="27"/>
      <c r="T43509" s="27"/>
      <c r="U43509" s="27"/>
    </row>
    <row r="43510">
      <c r="S43510" s="27"/>
      <c r="T43510" s="27"/>
      <c r="U43510" s="27"/>
    </row>
    <row r="43512">
      <c r="S43512" s="27"/>
      <c r="T43512" s="27"/>
      <c r="U43512" s="27"/>
    </row>
    <row r="43513">
      <c r="S43513" s="27"/>
      <c r="T43513" s="27"/>
      <c r="U43513" s="27"/>
    </row>
    <row r="43515">
      <c r="U43515" s="26"/>
    </row>
    <row r="43518">
      <c r="S43518" s="27"/>
      <c r="T43518" s="27"/>
      <c r="U43518" s="27"/>
    </row>
    <row r="43519">
      <c r="S43519" s="27"/>
      <c r="T43519" s="27"/>
      <c r="U43519" s="27"/>
    </row>
    <row r="43521">
      <c r="S43521" s="27"/>
      <c r="T43521" s="27"/>
      <c r="U43521" s="27"/>
    </row>
    <row r="43522">
      <c r="S43522" s="27"/>
      <c r="T43522" s="27"/>
      <c r="U43522" s="27"/>
    </row>
    <row r="43524">
      <c r="S43524" s="27"/>
      <c r="T43524" s="27"/>
      <c r="U43524" s="27"/>
    </row>
    <row r="43525">
      <c r="T43525" s="27"/>
      <c r="U43525" s="27"/>
    </row>
    <row r="43527">
      <c r="S43527" s="27"/>
      <c r="T43527" s="27"/>
      <c r="U43527" s="27"/>
    </row>
    <row r="43530">
      <c r="S43530" s="26"/>
      <c r="T43530" s="26"/>
      <c r="U43530" s="26"/>
    </row>
    <row r="43533">
      <c r="S43533" s="27"/>
      <c r="T43533" s="27"/>
      <c r="U43533" s="27"/>
    </row>
    <row r="43534">
      <c r="S43534" s="27"/>
      <c r="T43534" s="27"/>
      <c r="U43534" s="27"/>
    </row>
    <row r="43536">
      <c r="S43536" s="27"/>
      <c r="T43536" s="27"/>
      <c r="U43536" s="27"/>
    </row>
    <row r="43537">
      <c r="S43537" s="27"/>
      <c r="T43537" s="27"/>
      <c r="U43537" s="27"/>
    </row>
    <row r="43539">
      <c r="S43539" s="26"/>
      <c r="T43539" s="26"/>
      <c r="U43539" s="26"/>
    </row>
    <row r="43542">
      <c r="T43542" s="27"/>
      <c r="U43542" s="27"/>
    </row>
    <row r="43545">
      <c r="S43545" s="27"/>
      <c r="T43545" s="27"/>
      <c r="U43545" s="27"/>
    </row>
    <row r="43548">
      <c r="S43548" s="27"/>
      <c r="T43548" s="27"/>
      <c r="U43548" s="27"/>
    </row>
    <row r="43549">
      <c r="S43549" s="27"/>
      <c r="T43549" s="27"/>
      <c r="U43549" s="27"/>
    </row>
    <row r="43551">
      <c r="S43551" s="27"/>
      <c r="T43551" s="27"/>
      <c r="U43551" s="27"/>
    </row>
    <row r="43552">
      <c r="S43552" s="27"/>
      <c r="T43552" s="27"/>
      <c r="U43552" s="27"/>
    </row>
    <row r="43554">
      <c r="S43554" s="27"/>
      <c r="T43554" s="27"/>
      <c r="U43554" s="27"/>
    </row>
    <row r="43555">
      <c r="S43555" s="27"/>
      <c r="T43555" s="27"/>
      <c r="U43555" s="27"/>
    </row>
    <row r="43557">
      <c r="S43557" s="27"/>
      <c r="T43557" s="27"/>
      <c r="U43557" s="27"/>
    </row>
    <row r="43558">
      <c r="S43558" s="27"/>
      <c r="T43558" s="27"/>
      <c r="U43558" s="27"/>
    </row>
    <row r="43560">
      <c r="S43560" s="27"/>
      <c r="T43560" s="27"/>
      <c r="U43560" s="27"/>
    </row>
    <row r="43561">
      <c r="S43561" s="27"/>
      <c r="T43561" s="27"/>
      <c r="U43561" s="27"/>
    </row>
    <row r="43563">
      <c r="S43563" s="27"/>
      <c r="T43563" s="27"/>
      <c r="U43563" s="27"/>
    </row>
    <row r="43564">
      <c r="S43564" s="27"/>
      <c r="T43564" s="27"/>
      <c r="U43564" s="27"/>
    </row>
    <row r="43566">
      <c r="S43566" s="27"/>
      <c r="T43566" s="27"/>
      <c r="U43566" s="27"/>
    </row>
    <row r="43567">
      <c r="S43567" s="27"/>
      <c r="T43567" s="27"/>
      <c r="U43567" s="27"/>
    </row>
    <row r="43569">
      <c r="S43569" s="27"/>
      <c r="T43569" s="27"/>
      <c r="U43569" s="27"/>
    </row>
    <row r="43570">
      <c r="S43570" s="27"/>
      <c r="T43570" s="27"/>
      <c r="U43570" s="27"/>
    </row>
    <row r="43572">
      <c r="S43572" s="27"/>
      <c r="T43572" s="27"/>
      <c r="U43572" s="27"/>
    </row>
    <row r="43573">
      <c r="S43573" s="27"/>
      <c r="T43573" s="27"/>
      <c r="U43573" s="27"/>
    </row>
    <row r="43575">
      <c r="S43575" s="27"/>
      <c r="T43575" s="27"/>
      <c r="U43575" s="27"/>
    </row>
    <row r="43576">
      <c r="S43576" s="27"/>
      <c r="T43576" s="27"/>
      <c r="U43576" s="27"/>
    </row>
    <row r="43578">
      <c r="S43578" s="27"/>
      <c r="T43578" s="27"/>
      <c r="U43578" s="27"/>
    </row>
    <row r="43579">
      <c r="S43579" s="27"/>
      <c r="T43579" s="27"/>
      <c r="U43579" s="27"/>
    </row>
    <row r="43581">
      <c r="T43581" s="27"/>
      <c r="U43581" s="27"/>
    </row>
    <row r="43582">
      <c r="T43582" s="27"/>
      <c r="U43582" s="27"/>
    </row>
    <row r="43584">
      <c r="S43584" s="27"/>
      <c r="T43584" s="27"/>
      <c r="U43584" s="27"/>
    </row>
    <row r="43585">
      <c r="S43585" s="27"/>
      <c r="T43585" s="27"/>
      <c r="U43585" s="27"/>
    </row>
    <row r="43587">
      <c r="S43587" s="27"/>
      <c r="T43587" s="27"/>
      <c r="U43587" s="27"/>
    </row>
    <row r="43588">
      <c r="S43588" s="27"/>
      <c r="T43588" s="27"/>
      <c r="U43588" s="27"/>
    </row>
    <row r="43590">
      <c r="S43590" s="27"/>
      <c r="T43590" s="27"/>
      <c r="U43590" s="27"/>
    </row>
    <row r="43591">
      <c r="S43591" s="27"/>
      <c r="T43591" s="27"/>
      <c r="U43591" s="27"/>
    </row>
    <row r="43593">
      <c r="S43593" s="27"/>
      <c r="T43593" s="27"/>
      <c r="U43593" s="27"/>
    </row>
    <row r="43594">
      <c r="S43594" s="27"/>
      <c r="T43594" s="27"/>
      <c r="U43594" s="27"/>
    </row>
    <row r="43596">
      <c r="S43596" s="27"/>
      <c r="T43596" s="27"/>
      <c r="U43596" s="27"/>
    </row>
    <row r="43597">
      <c r="S43597" s="27"/>
      <c r="T43597" s="27"/>
      <c r="U43597" s="27"/>
    </row>
    <row r="43599">
      <c r="S43599" s="27"/>
      <c r="T43599" s="27"/>
      <c r="U43599" s="27"/>
    </row>
    <row r="43600">
      <c r="S43600" s="27"/>
      <c r="T43600" s="27"/>
      <c r="U43600" s="27"/>
    </row>
    <row r="43602">
      <c r="S43602" s="27"/>
      <c r="T43602" s="27"/>
      <c r="U43602" s="27"/>
    </row>
    <row r="43603">
      <c r="S43603" s="27"/>
      <c r="T43603" s="27"/>
      <c r="U43603" s="27"/>
    </row>
    <row r="43605">
      <c r="S43605" s="27"/>
      <c r="T43605" s="27"/>
      <c r="U43605" s="27"/>
    </row>
    <row r="43606">
      <c r="S43606" s="27"/>
      <c r="T43606" s="27"/>
      <c r="U43606" s="27"/>
    </row>
    <row r="43608">
      <c r="S43608" s="27"/>
      <c r="T43608" s="27"/>
      <c r="U43608" s="27"/>
    </row>
    <row r="43609">
      <c r="S43609" s="27"/>
      <c r="T43609" s="27"/>
      <c r="U43609" s="27"/>
    </row>
    <row r="43611">
      <c r="S43611" s="27"/>
      <c r="T43611" s="27"/>
      <c r="U43611" s="27"/>
    </row>
    <row r="43612">
      <c r="S43612" s="27"/>
      <c r="T43612" s="27"/>
      <c r="U43612" s="27"/>
    </row>
    <row r="43614">
      <c r="S43614" s="27"/>
      <c r="T43614" s="27"/>
      <c r="U43614" s="27"/>
    </row>
    <row r="43615">
      <c r="S43615" s="27"/>
      <c r="T43615" s="27"/>
      <c r="U43615" s="27"/>
    </row>
    <row r="43617">
      <c r="S43617" s="27"/>
      <c r="T43617" s="27"/>
      <c r="U43617" s="27"/>
    </row>
    <row r="43618">
      <c r="S43618" s="27"/>
      <c r="T43618" s="27"/>
      <c r="U43618" s="27"/>
    </row>
    <row r="43620">
      <c r="S43620" s="27"/>
      <c r="T43620" s="27"/>
      <c r="U43620" s="27"/>
    </row>
    <row r="43621">
      <c r="S43621" s="27"/>
      <c r="T43621" s="27"/>
      <c r="U43621" s="27"/>
    </row>
    <row r="43623">
      <c r="S43623" s="27"/>
      <c r="T43623" s="27"/>
      <c r="U43623" s="27"/>
    </row>
    <row r="43624">
      <c r="S43624" s="27"/>
      <c r="T43624" s="27"/>
      <c r="U43624" s="27"/>
    </row>
    <row r="43626">
      <c r="S43626" s="27"/>
      <c r="T43626" s="27"/>
      <c r="U43626" s="27"/>
    </row>
    <row r="43629">
      <c r="S43629" s="33"/>
      <c r="T43629" s="33"/>
      <c r="U43629" s="27"/>
    </row>
    <row r="43630">
      <c r="S43630" s="27"/>
      <c r="T43630" s="27"/>
    </row>
    <row r="43632">
      <c r="S43632" s="27"/>
      <c r="T43632" s="27"/>
      <c r="U43632" s="27"/>
    </row>
    <row r="43633">
      <c r="S43633" s="27"/>
      <c r="T43633" s="27"/>
    </row>
    <row r="43638">
      <c r="S43638" s="27"/>
      <c r="T43638" s="27"/>
      <c r="U43638" s="27"/>
    </row>
    <row r="43639">
      <c r="S43639" s="27"/>
      <c r="T43639" s="27"/>
      <c r="U43639" s="27"/>
    </row>
    <row r="43641">
      <c r="S43641" s="27"/>
      <c r="T43641" s="27"/>
      <c r="U43641" s="27"/>
    </row>
    <row r="43642">
      <c r="S43642" s="27"/>
      <c r="T43642" s="27"/>
      <c r="U43642" s="27"/>
    </row>
    <row r="43644">
      <c r="T43644" s="27"/>
      <c r="U43644" s="27"/>
    </row>
    <row r="43645">
      <c r="S43645" s="27"/>
      <c r="T43645" s="27"/>
      <c r="U43645" s="27"/>
    </row>
    <row r="43647">
      <c r="S43647" s="26"/>
      <c r="T43647" s="26"/>
      <c r="U43647" s="26"/>
    </row>
    <row r="43650">
      <c r="S43650" s="26"/>
      <c r="T43650" s="26"/>
      <c r="U43650" s="26"/>
    </row>
    <row r="43653">
      <c r="S43653" s="27"/>
      <c r="U43653" s="27"/>
    </row>
    <row r="43657">
      <c r="S43657" s="26"/>
      <c r="T43657" s="26"/>
      <c r="U43657" s="26"/>
    </row>
    <row r="43660">
      <c r="S43660" s="27"/>
      <c r="T43660" s="27"/>
      <c r="U43660" s="27"/>
    </row>
    <row r="43663">
      <c r="S43663" s="27"/>
      <c r="T43663" s="27"/>
      <c r="U43663" s="27"/>
    </row>
    <row r="43664">
      <c r="S43664" s="27"/>
      <c r="T43664" s="27"/>
      <c r="U43664" s="27"/>
    </row>
    <row r="43666">
      <c r="S43666" s="27"/>
      <c r="T43666" s="27"/>
      <c r="U43666" s="27"/>
    </row>
    <row r="43667">
      <c r="S43667" s="27"/>
      <c r="T43667" s="27"/>
      <c r="U43667" s="27"/>
    </row>
    <row r="43669">
      <c r="S43669" s="27"/>
      <c r="T43669" s="27"/>
      <c r="U43669" s="27"/>
    </row>
    <row r="43670">
      <c r="U43670" s="27"/>
    </row>
    <row r="43672">
      <c r="S43672" s="27"/>
      <c r="T43672" s="27"/>
      <c r="U43672" s="27"/>
    </row>
    <row r="43673">
      <c r="S43673" s="27"/>
      <c r="T43673" s="27"/>
      <c r="U43673" s="27"/>
    </row>
    <row r="43675">
      <c r="S43675" s="27"/>
      <c r="T43675" s="27"/>
    </row>
    <row r="43676">
      <c r="S43676" s="27"/>
      <c r="T43676" s="27"/>
      <c r="U43676" s="27"/>
    </row>
    <row r="43681">
      <c r="S43681" s="27"/>
      <c r="T43681" s="27"/>
      <c r="U43681" s="27"/>
    </row>
    <row r="43682">
      <c r="S43682" s="27"/>
      <c r="T43682" s="27"/>
      <c r="U43682" s="27"/>
    </row>
    <row r="43684">
      <c r="S43684" s="27"/>
      <c r="T43684" s="27"/>
      <c r="U43684" s="27"/>
    </row>
    <row r="43685">
      <c r="S43685" s="27"/>
      <c r="T43685" s="27"/>
      <c r="U43685" s="27"/>
    </row>
    <row r="43687">
      <c r="S43687" s="27"/>
      <c r="T43687" s="27"/>
      <c r="U43687" s="27"/>
    </row>
    <row r="43688">
      <c r="S43688" s="27"/>
      <c r="T43688" s="27"/>
      <c r="U43688" s="27"/>
    </row>
    <row r="43690">
      <c r="S43690" s="33"/>
      <c r="T43690" s="33"/>
      <c r="U43690" s="33"/>
    </row>
    <row r="43693">
      <c r="S43693" s="27"/>
      <c r="T43693" s="27"/>
      <c r="U43693" s="27"/>
    </row>
    <row r="43694">
      <c r="S43694" s="27"/>
      <c r="T43694" s="27"/>
      <c r="U43694" s="27"/>
    </row>
    <row r="43696">
      <c r="S43696" s="27"/>
      <c r="T43696" s="27"/>
      <c r="U43696" s="27"/>
    </row>
    <row r="43699">
      <c r="S43699" s="27"/>
      <c r="T43699" s="27"/>
      <c r="U43699" s="27"/>
    </row>
    <row r="43700">
      <c r="S43700" s="27"/>
      <c r="T43700" s="27"/>
      <c r="U43700" s="27"/>
    </row>
    <row r="43702">
      <c r="T43702" s="27"/>
      <c r="U43702" s="27"/>
    </row>
    <row r="43703">
      <c r="S43703" s="26"/>
      <c r="T43703" s="26"/>
      <c r="U43703" s="26"/>
    </row>
    <row r="43705">
      <c r="S43705" s="27"/>
      <c r="T43705" s="27"/>
      <c r="U43705" s="27"/>
    </row>
    <row r="43706">
      <c r="S43706" s="27"/>
      <c r="T43706" s="27"/>
      <c r="U43706" s="27"/>
    </row>
    <row r="43708">
      <c r="S43708" s="27"/>
      <c r="T43708" s="27"/>
      <c r="U43708" s="27"/>
    </row>
    <row r="43709">
      <c r="S43709" s="27"/>
      <c r="T43709" s="27"/>
      <c r="U43709" s="27"/>
    </row>
    <row r="43711">
      <c r="S43711" s="27"/>
      <c r="T43711" s="27"/>
      <c r="U43711" s="27"/>
    </row>
    <row r="43712">
      <c r="S43712" s="27"/>
      <c r="T43712" s="27"/>
      <c r="U43712" s="27"/>
    </row>
    <row r="43714">
      <c r="S43714" s="27"/>
      <c r="T43714" s="27"/>
      <c r="U43714" s="27"/>
    </row>
    <row r="43715">
      <c r="S43715" s="27"/>
      <c r="T43715" s="27"/>
      <c r="U43715" s="27"/>
    </row>
    <row r="43717">
      <c r="U43717" s="26"/>
    </row>
    <row r="43720">
      <c r="S43720" s="27"/>
      <c r="T43720" s="27"/>
      <c r="U43720" s="27"/>
    </row>
    <row r="43721">
      <c r="S43721" s="27"/>
      <c r="T43721" s="27"/>
      <c r="U43721" s="27"/>
    </row>
    <row r="43723">
      <c r="S43723" s="27"/>
      <c r="T43723" s="27"/>
      <c r="U43723" s="27"/>
    </row>
    <row r="43724">
      <c r="S43724" s="27"/>
      <c r="T43724" s="27"/>
      <c r="U43724" s="27"/>
    </row>
    <row r="43726">
      <c r="S43726" s="27"/>
      <c r="T43726" s="27"/>
    </row>
    <row r="43729">
      <c r="S43729" s="27"/>
      <c r="T43729" s="27"/>
      <c r="U43729" s="27"/>
    </row>
    <row r="43730">
      <c r="S43730" s="27"/>
      <c r="U43730" s="27"/>
    </row>
    <row r="43732">
      <c r="S43732" s="27"/>
      <c r="T43732" s="27"/>
    </row>
    <row r="43733">
      <c r="S43733" s="27"/>
      <c r="T43733" s="27"/>
    </row>
    <row r="43735">
      <c r="S43735" s="27"/>
      <c r="T43735" s="27"/>
      <c r="U43735" s="27"/>
    </row>
    <row r="43736">
      <c r="S43736" s="27"/>
      <c r="T43736" s="27"/>
      <c r="U43736" s="27"/>
    </row>
    <row r="43738">
      <c r="S43738" s="34"/>
      <c r="T43738" s="34"/>
      <c r="U43738" s="34"/>
    </row>
    <row r="43741">
      <c r="S43741" s="27"/>
      <c r="T43741" s="27"/>
      <c r="U43741" s="27"/>
    </row>
    <row r="43742">
      <c r="S43742" s="27"/>
      <c r="T43742" s="27"/>
      <c r="U43742" s="27"/>
    </row>
    <row r="43747">
      <c r="S43747" s="27"/>
      <c r="T43747" s="27"/>
      <c r="U43747" s="27"/>
    </row>
    <row r="43750">
      <c r="S43750" s="27"/>
      <c r="T43750" s="27"/>
      <c r="U43750" s="27"/>
    </row>
    <row r="43751">
      <c r="S43751" s="27"/>
      <c r="T43751" s="27"/>
      <c r="U43751" s="27"/>
    </row>
    <row r="43753">
      <c r="S43753" s="27"/>
      <c r="T43753" s="27"/>
      <c r="U43753" s="27"/>
    </row>
    <row r="43754">
      <c r="S43754" s="27"/>
      <c r="T43754" s="27"/>
      <c r="U43754" s="27"/>
    </row>
    <row r="43756">
      <c r="S43756" s="27"/>
      <c r="T43756" s="27"/>
      <c r="U43756" s="27"/>
    </row>
    <row r="43757">
      <c r="S43757" s="27"/>
      <c r="T43757" s="27"/>
      <c r="U43757" s="27"/>
    </row>
    <row r="43759">
      <c r="S43759" s="27"/>
    </row>
    <row r="43760">
      <c r="T43760" s="26"/>
      <c r="U43760" s="26"/>
    </row>
    <row r="43762">
      <c r="S43762" s="27"/>
      <c r="T43762" s="27"/>
      <c r="U43762" s="27"/>
    </row>
    <row r="43763">
      <c r="S43763" s="27"/>
      <c r="T43763" s="27"/>
      <c r="U43763" s="27"/>
    </row>
    <row r="43765">
      <c r="S43765" s="27"/>
      <c r="T43765" s="27"/>
      <c r="U43765" s="27"/>
    </row>
    <row r="43766">
      <c r="S43766" s="27"/>
      <c r="T43766" s="27"/>
      <c r="U43766" s="27"/>
    </row>
    <row r="43768">
      <c r="S43768" s="27"/>
      <c r="T43768" s="27"/>
      <c r="U43768" s="27"/>
    </row>
    <row r="43771">
      <c r="S43771" s="27"/>
      <c r="T43771" s="27"/>
      <c r="U43771" s="27"/>
    </row>
    <row r="43772">
      <c r="S43772" s="27"/>
      <c r="T43772" s="27"/>
      <c r="U43772" s="27"/>
    </row>
    <row r="43774">
      <c r="S43774" s="27"/>
      <c r="T43774" s="27"/>
      <c r="U43774" s="27"/>
    </row>
    <row r="43775">
      <c r="S43775" s="27"/>
      <c r="T43775" s="27"/>
      <c r="U43775" s="27"/>
    </row>
    <row r="43777">
      <c r="S43777" s="27"/>
      <c r="T43777" s="27"/>
      <c r="U43777" s="27"/>
    </row>
    <row r="43778">
      <c r="S43778" s="27"/>
      <c r="T43778" s="27"/>
      <c r="U43778" s="27"/>
    </row>
    <row r="43780">
      <c r="S43780" s="27"/>
      <c r="T43780" s="27"/>
      <c r="U43780" s="27"/>
    </row>
    <row r="43781">
      <c r="S43781" s="27"/>
      <c r="T43781" s="27"/>
      <c r="U43781" s="27"/>
    </row>
    <row r="43783">
      <c r="S43783" s="27"/>
      <c r="T43783" s="27"/>
      <c r="U43783" s="27"/>
    </row>
    <row r="43784">
      <c r="S43784" s="27"/>
      <c r="T43784" s="27"/>
      <c r="U43784" s="27"/>
    </row>
    <row r="43786">
      <c r="S43786" s="27"/>
      <c r="T43786" s="27"/>
      <c r="U43786" s="27"/>
    </row>
    <row r="43787">
      <c r="S43787" s="27"/>
      <c r="T43787" s="27"/>
      <c r="U43787" s="27"/>
    </row>
    <row r="43789">
      <c r="S43789" s="27"/>
      <c r="T43789" s="27"/>
      <c r="U43789" s="27"/>
    </row>
    <row r="43790">
      <c r="S43790" s="27"/>
      <c r="T43790" s="27"/>
      <c r="U43790" s="27"/>
    </row>
    <row r="43792">
      <c r="S43792" s="27"/>
      <c r="T43792" s="27"/>
      <c r="U43792" s="27"/>
    </row>
    <row r="43793">
      <c r="S43793" s="27"/>
      <c r="T43793" s="27"/>
      <c r="U43793" s="27"/>
    </row>
    <row r="43795">
      <c r="S43795" s="27"/>
      <c r="T43795" s="27"/>
      <c r="U43795" s="27"/>
    </row>
    <row r="43796">
      <c r="S43796" s="27"/>
      <c r="T43796" s="27"/>
      <c r="U43796" s="27"/>
    </row>
    <row r="43798">
      <c r="S43798" s="27"/>
      <c r="T43798" s="27"/>
      <c r="U43798" s="27"/>
    </row>
    <row r="43799">
      <c r="S43799" s="27"/>
      <c r="T43799" s="27"/>
      <c r="U43799" s="27"/>
    </row>
    <row r="43801">
      <c r="S43801" s="27"/>
      <c r="T43801" s="27"/>
      <c r="U43801" s="27"/>
    </row>
    <row r="43802">
      <c r="S43802" s="27"/>
      <c r="T43802" s="27"/>
      <c r="U43802" s="27"/>
    </row>
    <row r="43804">
      <c r="S43804" s="27"/>
      <c r="T43804" s="27"/>
      <c r="U43804" s="27"/>
    </row>
    <row r="43805">
      <c r="S43805" s="27"/>
      <c r="T43805" s="27"/>
      <c r="U43805" s="27"/>
    </row>
    <row r="43807">
      <c r="S43807" s="27"/>
      <c r="T43807" s="27"/>
      <c r="U43807" s="27"/>
    </row>
    <row r="43808">
      <c r="S43808" s="27"/>
      <c r="T43808" s="27"/>
      <c r="U43808" s="27"/>
    </row>
    <row r="43810">
      <c r="S43810" s="27"/>
      <c r="T43810" s="27"/>
      <c r="U43810" s="27"/>
    </row>
    <row r="43811">
      <c r="S43811" s="27"/>
      <c r="T43811" s="27"/>
      <c r="U43811" s="27"/>
    </row>
    <row r="43813">
      <c r="S43813" s="27"/>
      <c r="T43813" s="27"/>
      <c r="U43813" s="27"/>
    </row>
    <row r="43814">
      <c r="S43814" s="27"/>
      <c r="T43814" s="27"/>
      <c r="U43814" s="27"/>
    </row>
    <row r="43816">
      <c r="S43816" s="27"/>
      <c r="T43816" s="27"/>
      <c r="U43816" s="27"/>
    </row>
    <row r="43817">
      <c r="S43817" s="27"/>
      <c r="T43817" s="27"/>
      <c r="U43817" s="27"/>
    </row>
    <row r="43819">
      <c r="S43819" s="27"/>
      <c r="T43819" s="27"/>
      <c r="U43819" s="27"/>
    </row>
    <row r="43820">
      <c r="S43820" s="27"/>
      <c r="T43820" s="27"/>
      <c r="U43820" s="27"/>
    </row>
    <row r="43822">
      <c r="S43822" s="27"/>
      <c r="T43822" s="27"/>
      <c r="U43822" s="27"/>
    </row>
    <row r="43823">
      <c r="S43823" s="27"/>
      <c r="T43823" s="27"/>
      <c r="U43823" s="27"/>
    </row>
    <row r="43825">
      <c r="S43825" s="27"/>
      <c r="T43825" s="27"/>
      <c r="U43825" s="27"/>
    </row>
    <row r="43826">
      <c r="S43826" s="27"/>
      <c r="T43826" s="27"/>
      <c r="U43826" s="27"/>
    </row>
    <row r="43828">
      <c r="S43828" s="27"/>
      <c r="T43828" s="27"/>
      <c r="U43828" s="27"/>
    </row>
    <row r="43829">
      <c r="S43829" s="27"/>
      <c r="T43829" s="27"/>
      <c r="U43829" s="27"/>
    </row>
    <row r="43831">
      <c r="S43831" s="27"/>
      <c r="T43831" s="27"/>
      <c r="U43831" s="27"/>
    </row>
    <row r="43832">
      <c r="S43832" s="27"/>
      <c r="T43832" s="27"/>
      <c r="U43832" s="27"/>
    </row>
    <row r="43834">
      <c r="S43834" s="27"/>
      <c r="T43834" s="27"/>
      <c r="U43834" s="27"/>
    </row>
    <row r="43835">
      <c r="S43835" s="27"/>
      <c r="T43835" s="27"/>
      <c r="U43835" s="27"/>
    </row>
    <row r="43837">
      <c r="S43837" s="27"/>
      <c r="T43837" s="27"/>
      <c r="U43837" s="27"/>
    </row>
    <row r="43838">
      <c r="S43838" s="27"/>
      <c r="T43838" s="27"/>
      <c r="U43838" s="27"/>
    </row>
    <row r="43840">
      <c r="S43840" s="27"/>
      <c r="T43840" s="27"/>
      <c r="U43840" s="27"/>
    </row>
    <row r="43841">
      <c r="S43841" s="27"/>
      <c r="T43841" s="27"/>
      <c r="U43841" s="27"/>
    </row>
    <row r="43843">
      <c r="S43843" s="27"/>
      <c r="T43843" s="27"/>
      <c r="U43843" s="27"/>
    </row>
    <row r="43844">
      <c r="S43844" s="27"/>
      <c r="T43844" s="27"/>
      <c r="U43844" s="27"/>
    </row>
    <row r="43846">
      <c r="S43846" s="27"/>
      <c r="T43846" s="27"/>
      <c r="U43846" s="27"/>
    </row>
    <row r="43847">
      <c r="S43847" s="27"/>
      <c r="T43847" s="27"/>
      <c r="U43847" s="27"/>
    </row>
    <row r="43849">
      <c r="S43849" s="27"/>
      <c r="T43849" s="27"/>
      <c r="U43849" s="27"/>
    </row>
    <row r="43850">
      <c r="S43850" s="27"/>
      <c r="T43850" s="27"/>
      <c r="U43850" s="27"/>
    </row>
    <row r="43852">
      <c r="S43852" s="27"/>
      <c r="T43852" s="27"/>
      <c r="U43852" s="27"/>
    </row>
    <row r="43853">
      <c r="S43853" s="27"/>
      <c r="T43853" s="27"/>
      <c r="U43853" s="27"/>
    </row>
    <row r="43855">
      <c r="S43855" s="27"/>
      <c r="T43855" s="27"/>
      <c r="U43855" s="27"/>
    </row>
    <row r="43856">
      <c r="S43856" s="27"/>
      <c r="T43856" s="27"/>
      <c r="U43856" s="27"/>
    </row>
    <row r="43858">
      <c r="S43858" s="27"/>
      <c r="T43858" s="27"/>
      <c r="U43858" s="27"/>
    </row>
    <row r="43860">
      <c r="S43860" s="27"/>
      <c r="T43860" s="27"/>
    </row>
    <row r="43861">
      <c r="S43861" s="27"/>
      <c r="T43861" s="27"/>
      <c r="U43861" s="27"/>
    </row>
    <row r="43863">
      <c r="S43863" s="27"/>
      <c r="T43863" s="27"/>
      <c r="U43863" s="27"/>
    </row>
    <row r="43864">
      <c r="S43864" s="27"/>
      <c r="T43864" s="27"/>
      <c r="U43864" s="27"/>
    </row>
    <row r="43866">
      <c r="S43866" s="27"/>
      <c r="T43866" s="27"/>
      <c r="U43866" s="27"/>
    </row>
    <row r="43867">
      <c r="S43867" s="27"/>
      <c r="T43867" s="27"/>
      <c r="U43867" s="27"/>
    </row>
    <row r="43869">
      <c r="S43869" s="27"/>
      <c r="T43869" s="27"/>
      <c r="U43869" s="27"/>
    </row>
    <row r="43870">
      <c r="S43870" s="27"/>
      <c r="T43870" s="27"/>
      <c r="U43870" s="27"/>
    </row>
    <row r="43872">
      <c r="S43872" s="27"/>
      <c r="T43872" s="27"/>
      <c r="U43872" s="27"/>
    </row>
    <row r="43873">
      <c r="S43873" s="27"/>
      <c r="T43873" s="27"/>
      <c r="U43873" s="27"/>
    </row>
    <row r="43875">
      <c r="S43875" s="27"/>
      <c r="T43875" s="27"/>
      <c r="U43875" s="27"/>
    </row>
    <row r="43876">
      <c r="S43876" s="27"/>
      <c r="T43876" s="27"/>
      <c r="U43876" s="27"/>
    </row>
    <row r="43878">
      <c r="S43878" s="27"/>
      <c r="T43878" s="27"/>
      <c r="U43878" s="27"/>
    </row>
    <row r="43879">
      <c r="S43879" s="27"/>
      <c r="T43879" s="27"/>
      <c r="U43879" s="27"/>
    </row>
    <row r="43881">
      <c r="T43881" s="27"/>
      <c r="U43881" s="27"/>
    </row>
    <row r="43883">
      <c r="S43883" s="27"/>
      <c r="T43883" s="27"/>
      <c r="U43883" s="27"/>
    </row>
    <row r="43885">
      <c r="S43885" s="27"/>
      <c r="T43885" s="27"/>
      <c r="U43885" s="27"/>
    </row>
    <row r="43887">
      <c r="S43887" s="27"/>
      <c r="T43887" s="27"/>
      <c r="U43887" s="27"/>
    </row>
    <row r="43889">
      <c r="S43889" s="27"/>
      <c r="T43889" s="27"/>
      <c r="U43889" s="27"/>
    </row>
    <row r="43890">
      <c r="S43890" s="27"/>
      <c r="T43890" s="27"/>
      <c r="U43890" s="27"/>
    </row>
    <row r="43892">
      <c r="S43892" s="27"/>
      <c r="T43892" s="27"/>
      <c r="U43892" s="27"/>
    </row>
    <row r="43893">
      <c r="S43893" s="27"/>
      <c r="T43893" s="27"/>
      <c r="U43893" s="27"/>
    </row>
    <row r="43895">
      <c r="S43895" s="27"/>
      <c r="T43895" s="27"/>
      <c r="U43895" s="27"/>
    </row>
    <row r="43896">
      <c r="S43896" s="27"/>
      <c r="T43896" s="27"/>
      <c r="U43896" s="33"/>
    </row>
    <row r="43898">
      <c r="S43898" s="27"/>
      <c r="T43898" s="27"/>
      <c r="U43898" s="27"/>
    </row>
    <row r="43899">
      <c r="S43899" s="27"/>
      <c r="T43899" s="27"/>
      <c r="U43899" s="27"/>
    </row>
    <row r="43901">
      <c r="S43901" s="27"/>
      <c r="T43901" s="27"/>
      <c r="U43901" s="27"/>
    </row>
    <row r="43902">
      <c r="S43902" s="27"/>
      <c r="T43902" s="27"/>
      <c r="U43902" s="27"/>
    </row>
    <row r="43904">
      <c r="S43904" s="27"/>
      <c r="T43904" s="27"/>
      <c r="U43904" s="27"/>
    </row>
    <row r="43905">
      <c r="S43905" s="27"/>
      <c r="T43905" s="27"/>
      <c r="U43905" s="27"/>
    </row>
    <row r="43913">
      <c r="S43913" s="27"/>
      <c r="T43913" s="27"/>
      <c r="U43913" s="27"/>
    </row>
    <row r="43916">
      <c r="S43916" s="27"/>
      <c r="T43916" s="27"/>
      <c r="U43916" s="27"/>
    </row>
    <row r="43917">
      <c r="S43917" s="27"/>
      <c r="T43917" s="27"/>
      <c r="U43917" s="27"/>
    </row>
    <row r="43919">
      <c r="S43919" s="27"/>
      <c r="T43919" s="27"/>
      <c r="U43919" s="27"/>
    </row>
    <row r="43920">
      <c r="S43920" s="27"/>
      <c r="T43920" s="27"/>
      <c r="U43920" s="27"/>
    </row>
    <row r="43922">
      <c r="S43922" s="27"/>
      <c r="T43922" s="27"/>
      <c r="U43922" s="27"/>
    </row>
    <row r="43923">
      <c r="S43923" s="27"/>
      <c r="T43923" s="27"/>
      <c r="U43923" s="27"/>
    </row>
    <row r="43925">
      <c r="U43925" s="26"/>
    </row>
    <row r="43928">
      <c r="S43928" s="27"/>
      <c r="T43928" s="27"/>
      <c r="U43928" s="27"/>
    </row>
    <row r="43929">
      <c r="S43929" s="27"/>
      <c r="T43929" s="27"/>
      <c r="U43929" s="27"/>
    </row>
    <row r="43931">
      <c r="S43931" s="27"/>
      <c r="T43931" s="27"/>
      <c r="U43931" s="27"/>
    </row>
    <row r="43932">
      <c r="S43932" s="27"/>
      <c r="T43932" s="27"/>
      <c r="U43932" s="27"/>
    </row>
    <row r="43934">
      <c r="S43934" s="27"/>
      <c r="T43934" s="26"/>
      <c r="U43934" s="26"/>
    </row>
    <row r="43940">
      <c r="S43940" s="26"/>
      <c r="T43940" s="26"/>
      <c r="U43940" s="26"/>
    </row>
    <row r="43943">
      <c r="S43943" s="27"/>
      <c r="T43943" s="27"/>
      <c r="U43943" s="27"/>
    </row>
    <row r="43944">
      <c r="S43944" s="27"/>
      <c r="T43944" s="27"/>
      <c r="U43944" s="27"/>
    </row>
    <row r="43946">
      <c r="S43946" s="27"/>
      <c r="T43946" s="27"/>
      <c r="U43946" s="27"/>
    </row>
    <row r="43947">
      <c r="S43947" s="27"/>
      <c r="T43947" s="27"/>
      <c r="U43947" s="27"/>
    </row>
    <row r="43949">
      <c r="S43949" s="26"/>
      <c r="T43949" s="26"/>
      <c r="U43949" s="26"/>
    </row>
    <row r="43952">
      <c r="S43952" s="26"/>
    </row>
    <row r="43955">
      <c r="S43955" s="27"/>
      <c r="T43955" s="27"/>
      <c r="U43955" s="27"/>
    </row>
    <row r="43958">
      <c r="S43958" s="27"/>
      <c r="T43958" s="27"/>
      <c r="U43958" s="27"/>
    </row>
    <row r="43959">
      <c r="S43959" s="27"/>
      <c r="T43959" s="27"/>
      <c r="U43959" s="27"/>
    </row>
    <row r="43961">
      <c r="S43961" s="27"/>
      <c r="T43961" s="27"/>
      <c r="U43961" s="27"/>
    </row>
    <row r="43962">
      <c r="S43962" s="27"/>
      <c r="T43962" s="27"/>
      <c r="U43962" s="27"/>
    </row>
    <row r="43964">
      <c r="S43964" s="27"/>
      <c r="T43964" s="27"/>
      <c r="U43964" s="27"/>
    </row>
    <row r="43965">
      <c r="S43965" s="27"/>
      <c r="T43965" s="27"/>
      <c r="U43965" s="27"/>
    </row>
    <row r="43967">
      <c r="S43967" s="27"/>
      <c r="T43967" s="27"/>
      <c r="U43967" s="27"/>
    </row>
    <row r="43968">
      <c r="S43968" s="27"/>
      <c r="T43968" s="27"/>
      <c r="U43968" s="27"/>
    </row>
    <row r="43970">
      <c r="S43970" s="27"/>
      <c r="T43970" s="27"/>
      <c r="U43970" s="27"/>
    </row>
    <row r="43971">
      <c r="S43971" s="27"/>
      <c r="T43971" s="27"/>
      <c r="U43971" s="27"/>
    </row>
    <row r="43973">
      <c r="S43973" s="27"/>
      <c r="T43973" s="27"/>
      <c r="U43973" s="27"/>
    </row>
    <row r="43974">
      <c r="S43974" s="27"/>
      <c r="T43974" s="27"/>
      <c r="U43974" s="27"/>
    </row>
    <row r="43976">
      <c r="S43976" s="27"/>
      <c r="T43976" s="27"/>
      <c r="U43976" s="27"/>
    </row>
    <row r="43977">
      <c r="S43977" s="27"/>
      <c r="T43977" s="27"/>
      <c r="U43977" s="27"/>
    </row>
    <row r="43979">
      <c r="S43979" s="27"/>
      <c r="T43979" s="27"/>
      <c r="U43979" s="27"/>
    </row>
    <row r="43980">
      <c r="S43980" s="27"/>
      <c r="T43980" s="27"/>
      <c r="U43980" s="27"/>
    </row>
    <row r="43982">
      <c r="S43982" s="27"/>
      <c r="T43982" s="27"/>
      <c r="U43982" s="27"/>
    </row>
    <row r="43983">
      <c r="S43983" s="27"/>
      <c r="T43983" s="27"/>
      <c r="U43983" s="27"/>
    </row>
    <row r="43985">
      <c r="S43985" s="27"/>
      <c r="T43985" s="27"/>
      <c r="U43985" s="27"/>
    </row>
    <row r="43986">
      <c r="S43986" s="27"/>
      <c r="T43986" s="27"/>
      <c r="U43986" s="27"/>
    </row>
    <row r="43988">
      <c r="S43988" s="27"/>
      <c r="T43988" s="27"/>
      <c r="U43988" s="27"/>
    </row>
    <row r="43989">
      <c r="S43989" s="27"/>
      <c r="T43989" s="27"/>
      <c r="U43989" s="27"/>
    </row>
    <row r="43991">
      <c r="S43991" s="27"/>
      <c r="T43991" s="27"/>
      <c r="U43991" s="27"/>
    </row>
    <row r="43992">
      <c r="S43992" s="27"/>
      <c r="T43992" s="27"/>
      <c r="U43992" s="27"/>
    </row>
    <row r="43994">
      <c r="S43994" s="27"/>
      <c r="T43994" s="27"/>
      <c r="U43994" s="27"/>
    </row>
    <row r="43995">
      <c r="S43995" s="27"/>
      <c r="T43995" s="27"/>
      <c r="U43995" s="27"/>
    </row>
    <row r="43997">
      <c r="S43997" s="27"/>
      <c r="T43997" s="27"/>
      <c r="U43997" s="27"/>
    </row>
    <row r="43998">
      <c r="S43998" s="27"/>
      <c r="T43998" s="27"/>
      <c r="U43998" s="27"/>
    </row>
    <row r="44000">
      <c r="S44000" s="27"/>
      <c r="T44000" s="27"/>
      <c r="U44000" s="27"/>
    </row>
    <row r="44001">
      <c r="S44001" s="27"/>
      <c r="T44001" s="27"/>
      <c r="U44001" s="27"/>
    </row>
    <row r="44003">
      <c r="S44003" s="27"/>
      <c r="T44003" s="27"/>
      <c r="U44003" s="27"/>
    </row>
    <row r="44004">
      <c r="S44004" s="27"/>
      <c r="T44004" s="27"/>
      <c r="U44004" s="27"/>
    </row>
    <row r="44006">
      <c r="S44006" s="27"/>
      <c r="T44006" s="27"/>
      <c r="U44006" s="27"/>
    </row>
    <row r="44007">
      <c r="S44007" s="27"/>
      <c r="T44007" s="27"/>
      <c r="U44007" s="27"/>
    </row>
    <row r="44009">
      <c r="S44009" s="27"/>
      <c r="T44009" s="27"/>
      <c r="U44009" s="27"/>
    </row>
    <row r="44010">
      <c r="S44010" s="27"/>
      <c r="T44010" s="27"/>
      <c r="U44010" s="27"/>
    </row>
    <row r="44012">
      <c r="S44012" s="27"/>
      <c r="T44012" s="27"/>
      <c r="U44012" s="27"/>
    </row>
    <row r="44013">
      <c r="S44013" s="27"/>
      <c r="T44013" s="27"/>
      <c r="U44013" s="27"/>
    </row>
    <row r="44015">
      <c r="S44015" s="27"/>
      <c r="T44015" s="27"/>
      <c r="U44015" s="27"/>
    </row>
    <row r="44016">
      <c r="S44016" s="27"/>
      <c r="T44016" s="27"/>
      <c r="U44016" s="27"/>
    </row>
    <row r="44018">
      <c r="S44018" s="27"/>
      <c r="T44018" s="27"/>
      <c r="U44018" s="27"/>
    </row>
    <row r="44019">
      <c r="S44019" s="27"/>
      <c r="T44019" s="27"/>
      <c r="U44019" s="27"/>
    </row>
    <row r="44021">
      <c r="S44021" s="27"/>
      <c r="T44021" s="27"/>
      <c r="U44021" s="27"/>
    </row>
    <row r="44022">
      <c r="S44022" s="27"/>
      <c r="T44022" s="27"/>
      <c r="U44022" s="27"/>
    </row>
    <row r="44024">
      <c r="S44024" s="27"/>
      <c r="T44024" s="27"/>
      <c r="U44024" s="27"/>
    </row>
    <row r="44025">
      <c r="S44025" s="27"/>
      <c r="T44025" s="27"/>
      <c r="U44025" s="27"/>
    </row>
    <row r="44027">
      <c r="S44027" s="27"/>
      <c r="T44027" s="27"/>
      <c r="U44027" s="27"/>
    </row>
    <row r="44028">
      <c r="S44028" s="27"/>
      <c r="T44028" s="27"/>
      <c r="U44028" s="27"/>
    </row>
    <row r="44033">
      <c r="S44033" s="27"/>
      <c r="T44033" s="27"/>
      <c r="U44033" s="27"/>
    </row>
    <row r="44036">
      <c r="S44036" s="27"/>
      <c r="T44036" s="27"/>
      <c r="U44036" s="27"/>
    </row>
    <row r="44039">
      <c r="S44039" s="33"/>
      <c r="T44039" s="27"/>
      <c r="U44039" s="33"/>
    </row>
    <row r="44040">
      <c r="S44040" s="27"/>
      <c r="U44040" s="27"/>
    </row>
    <row r="44042">
      <c r="S44042" s="27"/>
      <c r="T44042" s="27"/>
      <c r="U44042" s="27"/>
    </row>
    <row r="44043">
      <c r="S44043" s="27"/>
      <c r="T44043" s="27"/>
      <c r="U44043" s="27"/>
    </row>
    <row r="44045">
      <c r="S44045" s="27"/>
      <c r="T44045" s="27"/>
      <c r="U44045" s="27"/>
    </row>
    <row r="44049">
      <c r="S44049" s="27"/>
      <c r="T44049" s="27"/>
      <c r="U44049" s="27"/>
    </row>
    <row r="44050">
      <c r="S44050" s="27"/>
      <c r="T44050" s="27"/>
      <c r="U44050" s="27"/>
    </row>
    <row r="44052">
      <c r="S44052" s="27"/>
      <c r="T44052" s="27"/>
      <c r="U44052" s="27"/>
    </row>
    <row r="44053">
      <c r="S44053" s="27"/>
      <c r="T44053" s="27"/>
      <c r="U44053" s="27"/>
    </row>
    <row r="44055">
      <c r="S44055" s="26"/>
      <c r="T44055" s="26"/>
      <c r="U44055" s="26"/>
    </row>
    <row r="44058">
      <c r="S44058" s="26"/>
      <c r="T44058" s="26"/>
      <c r="U44058" s="26"/>
    </row>
    <row r="44063">
      <c r="S44063" s="27"/>
      <c r="T44063" s="27"/>
      <c r="U44063" s="27"/>
    </row>
    <row r="44070">
      <c r="S44070" s="27"/>
      <c r="T44070" s="27"/>
      <c r="U44070" s="27"/>
    </row>
    <row r="44071">
      <c r="S44071" s="27"/>
      <c r="T44071" s="27"/>
      <c r="U44071" s="27"/>
    </row>
    <row r="44073">
      <c r="S44073" s="33"/>
      <c r="T44073" s="27"/>
      <c r="U44073" s="27"/>
    </row>
    <row r="44074">
      <c r="S44074" s="27"/>
      <c r="T44074" s="27"/>
      <c r="U44074" s="27"/>
    </row>
    <row r="44076">
      <c r="S44076" s="27"/>
      <c r="T44076" s="27"/>
      <c r="U44076" s="27"/>
    </row>
    <row r="44079">
      <c r="S44079" s="27"/>
      <c r="T44079" s="27"/>
      <c r="U44079" s="27"/>
    </row>
    <row r="44080">
      <c r="S44080" s="27"/>
      <c r="T44080" s="27"/>
      <c r="U44080" s="27"/>
    </row>
    <row r="44085">
      <c r="S44085" s="27"/>
      <c r="T44085" s="27"/>
      <c r="U44085" s="27"/>
    </row>
    <row r="44086">
      <c r="S44086" s="27"/>
      <c r="T44086" s="27"/>
      <c r="U44086" s="27"/>
    </row>
    <row r="44088">
      <c r="S44088" s="33"/>
      <c r="T44088" s="33"/>
      <c r="U44088" s="33"/>
    </row>
    <row r="44091">
      <c r="S44091" s="27"/>
      <c r="T44091" s="27"/>
      <c r="U44091" s="27"/>
    </row>
    <row r="44092">
      <c r="S44092" s="27"/>
      <c r="T44092" s="27"/>
      <c r="U44092" s="27"/>
    </row>
    <row r="44094">
      <c r="S44094" s="27"/>
      <c r="T44094" s="27"/>
      <c r="U44094" s="27"/>
    </row>
    <row r="44095">
      <c r="S44095" s="27"/>
      <c r="T44095" s="27"/>
      <c r="U44095" s="27"/>
    </row>
    <row r="44097">
      <c r="S44097" s="27"/>
      <c r="T44097" s="27"/>
      <c r="U44097" s="27"/>
    </row>
    <row r="44100">
      <c r="S44100" s="27"/>
      <c r="T44100" s="27"/>
      <c r="U44100" s="27"/>
    </row>
    <row r="44101">
      <c r="S44101" s="27"/>
      <c r="T44101" s="27"/>
      <c r="U44101" s="27"/>
    </row>
    <row r="44106">
      <c r="S44106" s="27"/>
      <c r="T44106" s="27"/>
      <c r="U44106" s="27"/>
    </row>
    <row r="44107">
      <c r="S44107" s="27"/>
      <c r="T44107" s="27"/>
      <c r="U44107" s="27"/>
    </row>
    <row r="44109">
      <c r="S44109" s="27"/>
    </row>
    <row r="44110">
      <c r="S44110" s="27"/>
      <c r="T44110" s="27"/>
      <c r="U44110" s="27"/>
    </row>
    <row r="44112">
      <c r="S44112" s="27"/>
      <c r="T44112" s="27"/>
      <c r="U44112" s="27"/>
    </row>
    <row r="44113">
      <c r="S44113" s="27"/>
      <c r="T44113" s="27"/>
      <c r="U44113" s="27"/>
    </row>
    <row r="44115">
      <c r="S44115" s="27"/>
      <c r="T44115" s="27"/>
      <c r="U44115" s="27"/>
    </row>
    <row r="44116">
      <c r="S44116" s="27"/>
      <c r="T44116" s="27"/>
      <c r="U44116" s="27"/>
    </row>
    <row r="44121">
      <c r="S44121" s="27"/>
      <c r="T44121" s="27"/>
      <c r="U44121" s="27"/>
    </row>
    <row r="44122">
      <c r="S44122" s="27"/>
      <c r="T44122" s="27"/>
      <c r="U44122" s="27"/>
    </row>
    <row r="44124">
      <c r="S44124" s="27"/>
      <c r="T44124" s="27"/>
      <c r="U44124" s="27"/>
    </row>
    <row r="44125">
      <c r="S44125" s="27"/>
      <c r="T44125" s="27"/>
      <c r="U44125" s="27"/>
    </row>
    <row r="44127">
      <c r="S44127" s="27"/>
      <c r="T44127" s="27"/>
    </row>
    <row r="44128">
      <c r="U44128" s="26"/>
    </row>
    <row r="44130">
      <c r="S44130" s="26"/>
      <c r="U44130" s="27"/>
    </row>
    <row r="44131">
      <c r="T44131" s="27"/>
      <c r="U44131" s="27"/>
    </row>
    <row r="44133">
      <c r="S44133" s="27"/>
      <c r="T44133" s="27"/>
      <c r="U44133" s="27"/>
    </row>
    <row r="44134">
      <c r="S44134" s="27"/>
      <c r="T44134" s="27"/>
      <c r="U44134" s="27"/>
    </row>
    <row r="44136">
      <c r="S44136" s="27"/>
      <c r="T44136" s="27"/>
      <c r="U44136" s="27"/>
    </row>
    <row r="44137">
      <c r="S44137" s="27"/>
      <c r="T44137" s="27"/>
      <c r="U44137" s="27"/>
    </row>
    <row r="44139">
      <c r="S44139" s="27"/>
      <c r="T44139" s="27"/>
      <c r="U44139" s="27"/>
    </row>
    <row r="44140">
      <c r="S44140" s="26"/>
      <c r="T44140" s="26"/>
      <c r="U44140" s="26"/>
    </row>
    <row r="44145">
      <c r="S44145" s="26"/>
      <c r="T44145" s="26"/>
      <c r="U44145" s="26"/>
    </row>
    <row r="44148">
      <c r="S44148" s="27"/>
      <c r="T44148" s="27"/>
      <c r="U44148" s="27"/>
    </row>
    <row r="44151">
      <c r="S44151" s="27"/>
      <c r="T44151" s="27"/>
      <c r="U44151" s="27"/>
    </row>
    <row r="44152">
      <c r="S44152" s="27"/>
      <c r="T44152" s="27"/>
      <c r="U44152" s="27"/>
    </row>
    <row r="44154">
      <c r="S44154" s="33"/>
      <c r="T44154" s="27"/>
      <c r="U44154" s="27"/>
    </row>
    <row r="44155">
      <c r="T44155" s="27"/>
      <c r="U44155" s="27"/>
    </row>
    <row r="44157">
      <c r="S44157" s="27"/>
    </row>
    <row r="44158">
      <c r="S44158" s="27"/>
    </row>
    <row r="44164">
      <c r="S44164" s="27"/>
      <c r="T44164" s="27"/>
      <c r="U44164" s="27"/>
    </row>
    <row r="44165">
      <c r="S44165" s="27"/>
      <c r="T44165" s="27"/>
      <c r="U44165" s="27"/>
    </row>
    <row r="44167">
      <c r="S44167" s="27"/>
      <c r="T44167" s="27"/>
      <c r="U44167" s="27"/>
    </row>
    <row r="44168">
      <c r="S44168" s="27"/>
      <c r="T44168" s="27"/>
      <c r="U44168" s="27"/>
    </row>
    <row r="44170">
      <c r="S44170" s="27"/>
      <c r="T44170" s="27"/>
      <c r="U44170" s="27"/>
    </row>
    <row r="44171">
      <c r="S44171" s="27"/>
      <c r="T44171" s="27"/>
      <c r="U44171" s="27"/>
    </row>
    <row r="44173">
      <c r="S44173" s="27"/>
      <c r="T44173" s="27"/>
      <c r="U44173" s="27"/>
    </row>
    <row r="44174">
      <c r="S44174" s="27"/>
      <c r="T44174" s="27"/>
      <c r="U44174" s="27"/>
    </row>
    <row r="44176">
      <c r="S44176" s="27"/>
      <c r="T44176" s="27"/>
      <c r="U44176" s="27"/>
    </row>
    <row r="44177">
      <c r="S44177" s="27"/>
      <c r="T44177" s="27"/>
      <c r="U44177" s="27"/>
    </row>
    <row r="44179">
      <c r="S44179" s="27"/>
      <c r="T44179" s="27"/>
      <c r="U44179" s="27"/>
    </row>
    <row r="44180">
      <c r="S44180" s="27"/>
      <c r="T44180" s="27"/>
      <c r="U44180" s="27"/>
    </row>
    <row r="44182">
      <c r="S44182" s="27"/>
      <c r="T44182" s="27"/>
      <c r="U44182" s="27"/>
    </row>
    <row r="44183">
      <c r="S44183" s="27"/>
      <c r="T44183" s="27"/>
      <c r="U44183" s="27"/>
    </row>
    <row r="44185">
      <c r="S44185" s="27"/>
      <c r="T44185" s="27"/>
      <c r="U44185" s="27"/>
    </row>
    <row r="44186">
      <c r="S44186" s="27"/>
      <c r="T44186" s="27"/>
      <c r="U44186" s="27"/>
    </row>
    <row r="44188">
      <c r="S44188" s="27"/>
      <c r="T44188" s="27"/>
      <c r="U44188" s="27"/>
    </row>
    <row r="44189">
      <c r="S44189" s="27"/>
      <c r="T44189" s="27"/>
      <c r="U44189" s="27"/>
    </row>
    <row r="44191">
      <c r="S44191" s="27"/>
      <c r="T44191" s="27"/>
      <c r="U44191" s="27"/>
    </row>
    <row r="44192">
      <c r="S44192" s="27"/>
      <c r="T44192" s="27"/>
      <c r="U44192" s="27"/>
    </row>
    <row r="44194">
      <c r="S44194" s="27"/>
      <c r="T44194" s="27"/>
      <c r="U44194" s="27"/>
    </row>
    <row r="44195">
      <c r="S44195" s="27"/>
      <c r="T44195" s="27"/>
      <c r="U44195" s="27"/>
    </row>
    <row r="44197">
      <c r="S44197" s="27"/>
      <c r="T44197" s="27"/>
      <c r="U44197" s="27"/>
    </row>
    <row r="44198">
      <c r="S44198" s="27"/>
      <c r="T44198" s="27"/>
      <c r="U44198" s="27"/>
    </row>
    <row r="44200">
      <c r="S44200" s="27"/>
      <c r="T44200" s="27"/>
      <c r="U44200" s="27"/>
    </row>
    <row r="44201">
      <c r="S44201" s="27"/>
      <c r="T44201" s="27"/>
      <c r="U44201" s="27"/>
    </row>
    <row r="44203">
      <c r="S44203" s="27"/>
      <c r="T44203" s="27"/>
      <c r="U44203" s="27"/>
    </row>
    <row r="44204">
      <c r="S44204" s="27"/>
      <c r="T44204" s="27"/>
      <c r="U44204" s="27"/>
    </row>
    <row r="44206">
      <c r="S44206" s="27"/>
      <c r="T44206" s="27"/>
      <c r="U44206" s="27"/>
    </row>
    <row r="44207">
      <c r="S44207" s="27"/>
      <c r="T44207" s="27"/>
      <c r="U44207" s="27"/>
    </row>
    <row r="44209">
      <c r="S44209" s="27"/>
      <c r="T44209" s="27"/>
      <c r="U44209" s="27"/>
    </row>
    <row r="44210">
      <c r="S44210" s="27"/>
      <c r="T44210" s="27"/>
      <c r="U44210" s="27"/>
    </row>
    <row r="44212">
      <c r="S44212" s="27"/>
      <c r="T44212" s="27"/>
      <c r="U44212" s="27"/>
    </row>
    <row r="44213">
      <c r="S44213" s="27"/>
      <c r="T44213" s="27"/>
      <c r="U44213" s="27"/>
    </row>
    <row r="44215">
      <c r="S44215" s="27"/>
      <c r="T44215" s="27"/>
      <c r="U44215" s="27"/>
    </row>
    <row r="44216">
      <c r="S44216" s="27"/>
      <c r="T44216" s="27"/>
      <c r="U44216" s="27"/>
    </row>
    <row r="44218">
      <c r="S44218" s="27"/>
      <c r="T44218" s="27"/>
      <c r="U44218" s="27"/>
    </row>
    <row r="44219">
      <c r="S44219" s="27"/>
      <c r="T44219" s="27"/>
      <c r="U44219" s="27"/>
    </row>
    <row r="44221">
      <c r="S44221" s="27"/>
      <c r="T44221" s="27"/>
      <c r="U44221" s="27"/>
    </row>
    <row r="44222">
      <c r="S44222" s="27"/>
      <c r="T44222" s="27"/>
      <c r="U44222" s="27"/>
    </row>
    <row r="44224">
      <c r="S44224" s="27"/>
      <c r="T44224" s="27"/>
      <c r="U44224" s="27"/>
    </row>
    <row r="44225">
      <c r="S44225" s="27"/>
      <c r="T44225" s="27"/>
      <c r="U44225" s="27"/>
    </row>
    <row r="44227">
      <c r="S44227" s="27"/>
      <c r="T44227" s="27"/>
      <c r="U44227" s="27"/>
    </row>
    <row r="44228">
      <c r="S44228" s="27"/>
      <c r="T44228" s="27"/>
      <c r="U44228" s="27"/>
    </row>
    <row r="44230">
      <c r="S44230" s="27"/>
      <c r="T44230" s="27"/>
      <c r="U44230" s="27"/>
    </row>
    <row r="44231">
      <c r="S44231" s="27"/>
      <c r="T44231" s="27"/>
      <c r="U44231" s="27"/>
    </row>
    <row r="44233">
      <c r="S44233" s="27"/>
      <c r="T44233" s="27"/>
      <c r="U44233" s="27"/>
    </row>
    <row r="44234">
      <c r="S44234" s="27"/>
      <c r="T44234" s="27"/>
      <c r="U44234" s="27"/>
    </row>
    <row r="44236">
      <c r="S44236" s="27"/>
      <c r="T44236" s="27"/>
      <c r="U44236" s="27"/>
    </row>
    <row r="44237">
      <c r="S44237" s="27"/>
      <c r="T44237" s="27"/>
      <c r="U44237" s="27"/>
    </row>
    <row r="44239">
      <c r="S44239" s="27"/>
      <c r="T44239" s="27"/>
      <c r="U44239" s="27"/>
    </row>
    <row r="44240">
      <c r="S44240" s="27"/>
      <c r="T44240" s="27"/>
      <c r="U44240" s="27"/>
    </row>
    <row r="44242">
      <c r="S44242" s="27"/>
      <c r="T44242" s="27"/>
      <c r="U44242" s="27"/>
    </row>
    <row r="44243">
      <c r="S44243" s="27"/>
      <c r="T44243" s="27"/>
      <c r="U44243" s="27"/>
    </row>
    <row r="44245">
      <c r="S44245" s="27"/>
      <c r="T44245" s="27"/>
      <c r="U44245" s="27"/>
    </row>
    <row r="44246">
      <c r="S44246" s="27"/>
      <c r="T44246" s="27"/>
      <c r="U44246" s="27"/>
    </row>
    <row r="44248">
      <c r="S44248" s="27"/>
      <c r="T44248" s="27"/>
      <c r="U44248" s="27"/>
    </row>
    <row r="44249">
      <c r="S44249" s="27"/>
      <c r="T44249" s="27"/>
      <c r="U44249" s="27"/>
    </row>
    <row r="44251">
      <c r="S44251" s="27"/>
      <c r="T44251" s="27"/>
      <c r="U44251" s="27"/>
    </row>
    <row r="44252">
      <c r="S44252" s="27"/>
      <c r="T44252" s="27"/>
      <c r="U44252" s="27"/>
    </row>
    <row r="44254">
      <c r="S44254" s="27"/>
      <c r="T44254" s="27"/>
      <c r="U44254" s="27"/>
    </row>
    <row r="44256">
      <c r="S44256" s="27"/>
      <c r="T44256" s="27"/>
      <c r="U44256" s="27"/>
    </row>
    <row r="44257">
      <c r="S44257" s="27"/>
      <c r="T44257" s="27"/>
      <c r="U44257" s="27"/>
    </row>
    <row r="44259">
      <c r="S44259" s="27"/>
      <c r="T44259" s="27"/>
      <c r="U44259" s="27"/>
    </row>
    <row r="44260">
      <c r="S44260" s="27"/>
      <c r="T44260" s="27"/>
      <c r="U44260" s="27"/>
    </row>
    <row r="44262">
      <c r="S44262" s="27"/>
      <c r="T44262" s="27"/>
      <c r="U44262" s="27"/>
    </row>
    <row r="44263">
      <c r="S44263" s="27"/>
      <c r="T44263" s="27"/>
      <c r="U44263" s="27"/>
    </row>
    <row r="44265">
      <c r="S44265" s="27"/>
      <c r="T44265" s="27"/>
      <c r="U44265" s="27"/>
    </row>
    <row r="44266">
      <c r="S44266" s="27"/>
      <c r="T44266" s="27"/>
      <c r="U44266" s="27"/>
    </row>
    <row r="44268">
      <c r="S44268" s="27"/>
      <c r="T44268" s="27"/>
      <c r="U44268" s="27"/>
    </row>
    <row r="44269">
      <c r="S44269" s="27"/>
      <c r="T44269" s="27"/>
      <c r="U44269" s="27"/>
    </row>
    <row r="44271">
      <c r="S44271" s="27"/>
      <c r="T44271" s="27"/>
      <c r="U44271" s="27"/>
    </row>
    <row r="44272">
      <c r="S44272" s="27"/>
      <c r="T44272" s="27"/>
      <c r="U44272" s="27"/>
    </row>
    <row r="44274">
      <c r="S44274" s="27"/>
      <c r="T44274" s="27"/>
      <c r="U44274" s="27"/>
    </row>
    <row r="44275">
      <c r="S44275" s="27"/>
      <c r="T44275" s="27"/>
      <c r="U44275" s="27"/>
    </row>
    <row r="44277">
      <c r="S44277" s="27"/>
      <c r="T44277" s="27"/>
      <c r="U44277" s="27"/>
    </row>
    <row r="44279">
      <c r="S44279" s="27"/>
      <c r="T44279" s="27"/>
      <c r="U44279" s="27"/>
    </row>
    <row r="44281">
      <c r="S44281" s="27"/>
      <c r="T44281" s="27"/>
      <c r="U44281" s="27"/>
    </row>
    <row r="44283">
      <c r="S44283" s="27"/>
      <c r="T44283" s="27"/>
      <c r="U44283" s="27"/>
    </row>
    <row r="44285">
      <c r="S44285" s="27"/>
      <c r="T44285" s="27"/>
      <c r="U44285" s="27"/>
    </row>
    <row r="44286">
      <c r="S44286" s="27"/>
      <c r="T44286" s="27"/>
      <c r="U44286" s="27"/>
    </row>
    <row r="44289">
      <c r="S44289" s="27"/>
      <c r="T44289" s="27"/>
      <c r="U44289" s="27"/>
    </row>
    <row r="44291">
      <c r="S44291" s="27"/>
      <c r="T44291" s="27"/>
      <c r="U44291" s="27"/>
    </row>
    <row r="44292">
      <c r="S44292" s="27"/>
      <c r="T44292" s="27"/>
    </row>
    <row r="44294">
      <c r="S44294" s="27"/>
      <c r="T44294" s="27"/>
      <c r="U44294" s="27"/>
    </row>
    <row r="44295">
      <c r="S44295" s="27"/>
      <c r="T44295" s="27"/>
      <c r="U44295" s="27"/>
    </row>
    <row r="44297">
      <c r="S44297" s="27"/>
      <c r="T44297" s="27"/>
      <c r="U44297" s="27"/>
    </row>
    <row r="44298">
      <c r="S44298" s="27"/>
      <c r="T44298" s="27"/>
      <c r="U44298" s="27"/>
    </row>
    <row r="44301">
      <c r="S44301" s="27"/>
      <c r="T44301" s="27"/>
      <c r="U44301" s="27"/>
    </row>
    <row r="44302">
      <c r="S44302" s="27"/>
      <c r="T44302" s="27"/>
      <c r="U44302" s="27"/>
    </row>
    <row r="44307">
      <c r="S44307" s="33"/>
      <c r="T44307" s="33"/>
      <c r="U44307" s="33"/>
    </row>
    <row r="44308">
      <c r="S44308" s="26"/>
      <c r="T44308" s="26"/>
      <c r="U44308" s="26"/>
    </row>
    <row r="44310">
      <c r="S44310" s="27"/>
      <c r="T44310" s="27"/>
      <c r="U44310" s="27"/>
    </row>
    <row r="44311">
      <c r="S44311" s="27"/>
      <c r="T44311" s="27"/>
      <c r="U44311" s="27"/>
    </row>
    <row r="44313">
      <c r="S44313" s="27"/>
      <c r="T44313" s="27"/>
      <c r="U44313" s="27"/>
    </row>
    <row r="44314">
      <c r="S44314" s="27"/>
      <c r="T44314" s="27"/>
      <c r="U44314" s="27"/>
    </row>
    <row r="44316">
      <c r="S44316" s="27"/>
      <c r="T44316" s="27"/>
      <c r="U44316" s="27"/>
    </row>
    <row r="44317">
      <c r="S44317" s="27"/>
      <c r="T44317" s="27"/>
      <c r="U44317" s="27"/>
    </row>
    <row r="44319">
      <c r="S44319" s="27"/>
      <c r="T44319" s="27"/>
      <c r="U44319" s="26"/>
    </row>
    <row r="44322">
      <c r="S44322" s="27"/>
      <c r="T44322" s="27"/>
      <c r="U44322" s="27"/>
    </row>
    <row r="44323">
      <c r="S44323" s="27"/>
      <c r="T44323" s="27"/>
      <c r="U44323" s="27"/>
    </row>
    <row r="44325">
      <c r="S44325" s="27"/>
      <c r="T44325" s="27"/>
      <c r="U44325" s="27"/>
    </row>
    <row r="44326">
      <c r="S44326" s="27"/>
      <c r="T44326" s="27"/>
      <c r="U44326" s="27"/>
    </row>
    <row r="44328">
      <c r="S44328" s="27"/>
      <c r="T44328" s="27"/>
      <c r="U44328" s="27"/>
    </row>
    <row r="44329">
      <c r="S44329" s="27"/>
      <c r="T44329" s="27"/>
      <c r="U44329" s="27"/>
    </row>
    <row r="44331">
      <c r="T44331" s="27"/>
      <c r="U44331" s="27"/>
    </row>
    <row r="44337">
      <c r="S44337" s="27"/>
      <c r="T44337" s="27"/>
      <c r="U44337" s="27"/>
    </row>
    <row r="44338">
      <c r="S44338" s="27"/>
      <c r="T44338" s="27"/>
      <c r="U44338" s="27"/>
    </row>
    <row r="44340">
      <c r="S44340" s="27"/>
      <c r="T44340" s="27"/>
      <c r="U44340" s="27"/>
    </row>
    <row r="44341">
      <c r="S44341" s="27"/>
      <c r="T44341" s="27"/>
      <c r="U44341" s="27"/>
    </row>
    <row r="44343">
      <c r="S44343" s="26"/>
      <c r="T44343" s="26"/>
      <c r="U44343" s="26"/>
    </row>
    <row r="44346">
      <c r="S44346" s="27"/>
      <c r="T44346" s="27"/>
      <c r="U44346" s="27"/>
    </row>
    <row r="44349">
      <c r="S44349" s="27"/>
      <c r="T44349" s="27"/>
      <c r="U44349" s="27"/>
    </row>
    <row r="44350">
      <c r="S44350" s="27"/>
      <c r="T44350" s="27"/>
      <c r="U44350" s="27"/>
    </row>
    <row r="44352">
      <c r="S44352" s="27"/>
      <c r="T44352" s="27"/>
      <c r="U44352" s="27"/>
    </row>
    <row r="44353">
      <c r="S44353" s="27"/>
      <c r="T44353" s="27"/>
      <c r="U44353" s="27"/>
    </row>
    <row r="44355">
      <c r="S44355" s="27"/>
      <c r="T44355" s="27"/>
      <c r="U44355" s="27"/>
    </row>
    <row r="44356">
      <c r="S44356" s="27"/>
      <c r="T44356" s="27"/>
      <c r="U44356" s="27"/>
    </row>
    <row r="44358">
      <c r="S44358" s="27"/>
      <c r="T44358" s="27"/>
      <c r="U44358" s="27"/>
    </row>
    <row r="44359">
      <c r="S44359" s="27"/>
      <c r="T44359" s="27"/>
      <c r="U44359" s="27"/>
    </row>
    <row r="44361">
      <c r="S44361" s="27"/>
      <c r="T44361" s="27"/>
      <c r="U44361" s="27"/>
    </row>
    <row r="44362">
      <c r="S44362" s="27"/>
      <c r="T44362" s="27"/>
      <c r="U44362" s="27"/>
    </row>
    <row r="44364">
      <c r="S44364" s="27"/>
      <c r="T44364" s="27"/>
      <c r="U44364" s="27"/>
    </row>
    <row r="44365">
      <c r="S44365" s="27"/>
      <c r="T44365" s="27"/>
      <c r="U44365" s="27"/>
    </row>
    <row r="44367">
      <c r="S44367" s="27"/>
      <c r="T44367" s="27"/>
      <c r="U44367" s="27"/>
    </row>
    <row r="44368">
      <c r="S44368" s="27"/>
      <c r="T44368" s="27"/>
      <c r="U44368" s="27"/>
    </row>
    <row r="44370">
      <c r="S44370" s="27"/>
      <c r="T44370" s="27"/>
      <c r="U44370" s="27"/>
    </row>
    <row r="44371">
      <c r="S44371" s="27"/>
      <c r="T44371" s="27"/>
      <c r="U44371" s="27"/>
    </row>
    <row r="44373">
      <c r="S44373" s="27"/>
      <c r="T44373" s="27"/>
      <c r="U44373" s="27"/>
    </row>
    <row r="44374">
      <c r="S44374" s="27"/>
      <c r="T44374" s="27"/>
      <c r="U44374" s="27"/>
    </row>
    <row r="44376">
      <c r="S44376" s="27"/>
      <c r="T44376" s="27"/>
      <c r="U44376" s="27"/>
    </row>
    <row r="44377">
      <c r="S44377" s="27"/>
      <c r="T44377" s="27"/>
      <c r="U44377" s="27"/>
    </row>
    <row r="44379">
      <c r="S44379" s="27"/>
      <c r="T44379" s="27"/>
      <c r="U44379" s="27"/>
    </row>
    <row r="44380">
      <c r="S44380" s="27"/>
      <c r="T44380" s="27"/>
      <c r="U44380" s="27"/>
    </row>
    <row r="44382">
      <c r="S44382" s="27"/>
      <c r="T44382" s="27"/>
      <c r="U44382" s="27"/>
    </row>
    <row r="44383">
      <c r="S44383" s="27"/>
      <c r="T44383" s="27"/>
      <c r="U44383" s="27"/>
    </row>
    <row r="44385">
      <c r="S44385" s="27"/>
      <c r="T44385" s="27"/>
      <c r="U44385" s="27"/>
    </row>
    <row r="44386">
      <c r="S44386" s="27"/>
      <c r="T44386" s="27"/>
      <c r="U44386" s="27"/>
    </row>
    <row r="44388">
      <c r="S44388" s="27"/>
      <c r="T44388" s="27"/>
      <c r="U44388" s="27"/>
    </row>
    <row r="44389">
      <c r="S44389" s="27"/>
      <c r="T44389" s="27"/>
      <c r="U44389" s="27"/>
    </row>
    <row r="44391">
      <c r="S44391" s="27"/>
      <c r="T44391" s="27"/>
      <c r="U44391" s="27"/>
    </row>
    <row r="44392">
      <c r="S44392" s="27"/>
      <c r="T44392" s="27"/>
      <c r="U44392" s="27"/>
    </row>
    <row r="44394">
      <c r="S44394" s="27"/>
      <c r="T44394" s="27"/>
      <c r="U44394" s="27"/>
    </row>
    <row r="44395">
      <c r="S44395" s="27"/>
      <c r="T44395" s="27"/>
      <c r="U44395" s="27"/>
    </row>
    <row r="44397">
      <c r="S44397" s="27"/>
      <c r="T44397" s="27"/>
      <c r="U44397" s="27"/>
    </row>
    <row r="44398">
      <c r="S44398" s="27"/>
      <c r="T44398" s="27"/>
      <c r="U44398" s="27"/>
    </row>
    <row r="44400">
      <c r="S44400" s="27"/>
      <c r="T44400" s="27"/>
      <c r="U44400" s="27"/>
    </row>
    <row r="44401">
      <c r="S44401" s="27"/>
      <c r="T44401" s="27"/>
      <c r="U44401" s="27"/>
    </row>
    <row r="44403">
      <c r="S44403" s="27"/>
      <c r="T44403" s="27"/>
      <c r="U44403" s="27"/>
    </row>
    <row r="44404">
      <c r="S44404" s="27"/>
      <c r="T44404" s="27"/>
      <c r="U44404" s="27"/>
    </row>
    <row r="44406">
      <c r="S44406" s="27"/>
      <c r="T44406" s="27"/>
      <c r="U44406" s="27"/>
    </row>
    <row r="44407">
      <c r="S44407" s="27"/>
      <c r="T44407" s="27"/>
      <c r="U44407" s="27"/>
    </row>
    <row r="44409">
      <c r="S44409" s="27"/>
      <c r="T44409" s="27"/>
      <c r="U44409" s="27"/>
    </row>
    <row r="44410">
      <c r="S44410" s="27"/>
      <c r="T44410" s="27"/>
      <c r="U44410" s="27"/>
    </row>
    <row r="44412">
      <c r="S44412" s="27"/>
      <c r="T44412" s="27"/>
      <c r="U44412" s="27"/>
    </row>
    <row r="44413">
      <c r="S44413" s="27"/>
      <c r="T44413" s="27"/>
      <c r="U44413" s="27"/>
    </row>
    <row r="44415">
      <c r="S44415" s="27"/>
      <c r="T44415" s="27"/>
      <c r="U44415" s="27"/>
    </row>
    <row r="44416">
      <c r="S44416" s="27"/>
      <c r="T44416" s="27"/>
      <c r="U44416" s="27"/>
    </row>
    <row r="44421">
      <c r="S44421" s="27"/>
      <c r="T44421" s="27"/>
      <c r="U44421" s="27"/>
    </row>
    <row r="44422">
      <c r="U44422" s="27"/>
    </row>
    <row r="44424">
      <c r="S44424" s="27"/>
      <c r="T44424" s="27"/>
      <c r="U44424" s="27"/>
    </row>
    <row r="44427">
      <c r="S44427" s="33"/>
      <c r="T44427" s="33"/>
    </row>
    <row r="44428">
      <c r="S44428" s="27"/>
      <c r="T44428" s="27"/>
    </row>
    <row r="44430">
      <c r="U44430" s="27"/>
    </row>
    <row r="44431">
      <c r="S44431" s="27"/>
      <c r="T44431" s="27"/>
      <c r="U44431" s="27"/>
    </row>
    <row r="44433">
      <c r="S44433" s="27"/>
      <c r="T44433" s="27"/>
      <c r="U44433" s="27"/>
    </row>
    <row r="44434">
      <c r="S44434" s="26"/>
    </row>
    <row r="44436">
      <c r="S44436" s="27"/>
      <c r="T44436" s="27"/>
      <c r="U44436" s="27"/>
    </row>
    <row r="44437">
      <c r="S44437" s="27"/>
      <c r="T44437" s="27"/>
      <c r="U44437" s="27"/>
    </row>
    <row r="44439">
      <c r="S44439" s="27"/>
      <c r="T44439" s="27"/>
      <c r="U44439" s="27"/>
    </row>
    <row r="44440">
      <c r="S44440" s="27"/>
      <c r="T44440" s="27"/>
      <c r="U44440" s="27"/>
    </row>
    <row r="44442">
      <c r="S44442" s="27"/>
      <c r="T44442" s="27"/>
      <c r="U44442" s="27"/>
    </row>
    <row r="44443">
      <c r="S44443" s="27"/>
      <c r="T44443" s="27"/>
      <c r="U44443" s="27"/>
    </row>
    <row r="44445">
      <c r="T44445" s="26"/>
    </row>
    <row r="44451">
      <c r="S44451" s="27"/>
      <c r="T44451" s="27"/>
      <c r="U44451" s="27"/>
    </row>
    <row r="44453">
      <c r="S44453" s="27"/>
      <c r="T44453" s="27"/>
      <c r="U44453" s="27"/>
    </row>
    <row r="44455">
      <c r="S44455" s="27"/>
      <c r="T44455" s="27"/>
      <c r="U44455" s="27"/>
    </row>
    <row r="44458">
      <c r="S44458" s="27"/>
      <c r="T44458" s="27"/>
      <c r="U44458" s="27"/>
    </row>
    <row r="44461">
      <c r="S44461" s="27"/>
      <c r="T44461" s="27"/>
      <c r="U44461" s="27"/>
    </row>
    <row r="44462">
      <c r="S44462" s="27"/>
      <c r="T44462" s="27"/>
      <c r="U44462" s="27"/>
    </row>
    <row r="44464">
      <c r="T44464" s="27"/>
      <c r="U44464" s="27"/>
    </row>
    <row r="44465">
      <c r="T44465" s="27"/>
      <c r="U44465" s="27"/>
    </row>
    <row r="44467">
      <c r="S44467" s="27"/>
      <c r="T44467" s="27"/>
      <c r="U44467" s="27"/>
    </row>
    <row r="44468">
      <c r="S44468" s="27"/>
    </row>
    <row r="44470">
      <c r="T44470" s="27"/>
      <c r="U44470" s="26"/>
    </row>
    <row r="44471">
      <c r="T44471" s="27"/>
      <c r="U44471" s="26"/>
    </row>
    <row r="44473">
      <c r="S44473" s="27"/>
      <c r="T44473" s="27"/>
      <c r="U44473" s="27"/>
    </row>
    <row r="44474">
      <c r="S44474" s="27"/>
      <c r="T44474" s="27"/>
      <c r="U44474" s="27"/>
    </row>
    <row r="44479">
      <c r="S44479" s="27"/>
      <c r="T44479" s="27"/>
      <c r="U44479" s="27"/>
    </row>
    <row r="44480">
      <c r="S44480" s="27"/>
      <c r="T44480" s="27"/>
      <c r="U44480" s="27"/>
    </row>
    <row r="44482">
      <c r="S44482" s="27"/>
      <c r="T44482" s="27"/>
    </row>
    <row r="44485">
      <c r="S44485" s="27"/>
      <c r="T44485" s="27"/>
      <c r="U44485" s="27"/>
    </row>
    <row r="44486">
      <c r="S44486" s="27"/>
      <c r="T44486" s="27"/>
      <c r="U44486" s="27"/>
    </row>
    <row r="44488">
      <c r="S44488" s="27"/>
      <c r="T44488" s="33"/>
      <c r="U44488" s="27"/>
    </row>
    <row r="44494">
      <c r="S44494" s="27"/>
      <c r="T44494" s="27"/>
      <c r="U44494" s="27"/>
    </row>
    <row r="44497">
      <c r="S44497" s="27"/>
      <c r="T44497" s="27"/>
      <c r="U44497" s="33"/>
    </row>
    <row r="44498">
      <c r="S44498" s="33"/>
      <c r="T44498" s="33"/>
      <c r="U44498" s="33"/>
    </row>
    <row r="44500">
      <c r="T44500" s="26"/>
      <c r="U44500" s="26"/>
    </row>
    <row r="44501">
      <c r="S44501" s="26"/>
    </row>
    <row r="44503">
      <c r="S44503" s="27"/>
      <c r="T44503" s="27"/>
      <c r="U44503" s="27"/>
    </row>
    <row r="44504">
      <c r="S44504" s="27"/>
      <c r="T44504" s="27"/>
      <c r="U44504" s="27"/>
    </row>
    <row r="44506">
      <c r="S44506" s="27"/>
      <c r="T44506" s="27"/>
      <c r="U44506" s="27"/>
    </row>
    <row r="44507">
      <c r="S44507" s="27"/>
      <c r="T44507" s="27"/>
      <c r="U44507" s="27"/>
    </row>
    <row r="44509">
      <c r="S44509" s="27"/>
      <c r="T44509" s="27"/>
      <c r="U44509" s="27"/>
    </row>
    <row r="44510">
      <c r="S44510" s="27"/>
      <c r="T44510" s="27"/>
      <c r="U44510" s="27"/>
    </row>
    <row r="44515">
      <c r="S44515" s="27"/>
      <c r="T44515" s="27"/>
      <c r="U44515" s="27"/>
    </row>
    <row r="44516">
      <c r="S44516" s="27"/>
      <c r="T44516" s="27"/>
      <c r="U44516" s="27"/>
    </row>
    <row r="44518">
      <c r="S44518" s="27"/>
      <c r="T44518" s="27"/>
      <c r="U44518" s="27"/>
    </row>
    <row r="44519">
      <c r="S44519" s="27"/>
      <c r="T44519" s="27"/>
      <c r="U44519" s="27"/>
    </row>
    <row r="44521">
      <c r="S44521" s="27"/>
      <c r="T44521" s="27"/>
      <c r="U44521" s="27"/>
    </row>
    <row r="44524">
      <c r="S44524" s="27"/>
      <c r="T44524" s="27"/>
      <c r="U44524" s="27"/>
    </row>
    <row r="44527">
      <c r="S44527" s="27"/>
      <c r="T44527" s="27"/>
      <c r="U44527" s="27"/>
    </row>
    <row r="44528">
      <c r="S44528" s="27"/>
      <c r="T44528" s="27"/>
      <c r="U44528" s="27"/>
    </row>
    <row r="44530">
      <c r="S44530" s="27"/>
      <c r="T44530" s="27"/>
      <c r="U44530" s="27"/>
    </row>
    <row r="44531">
      <c r="S44531" s="27"/>
      <c r="T44531" s="27"/>
      <c r="U44531" s="27"/>
    </row>
    <row r="44533">
      <c r="S44533" s="27"/>
      <c r="T44533" s="27"/>
      <c r="U44533" s="27"/>
    </row>
    <row r="44536">
      <c r="S44536" s="27"/>
      <c r="T44536" s="27"/>
      <c r="U44536" s="27"/>
    </row>
    <row r="44537">
      <c r="S44537" s="27"/>
      <c r="T44537" s="27"/>
      <c r="U44537" s="27"/>
    </row>
    <row r="44539">
      <c r="S44539" s="26"/>
      <c r="T44539" s="26"/>
      <c r="U44539" s="26"/>
    </row>
    <row r="44542">
      <c r="S44542" s="27"/>
      <c r="T44542" s="27"/>
      <c r="U44542" s="27"/>
    </row>
    <row r="44545">
      <c r="S44545" s="27"/>
      <c r="T44545" s="27"/>
      <c r="U44545" s="27"/>
    </row>
    <row r="44546">
      <c r="S44546" s="27"/>
      <c r="T44546" s="27"/>
      <c r="U44546" s="27"/>
    </row>
    <row r="44548">
      <c r="S44548" s="27"/>
      <c r="T44548" s="27"/>
      <c r="U44548" s="27"/>
    </row>
    <row r="44549">
      <c r="S44549" s="27"/>
      <c r="T44549" s="27"/>
      <c r="U44549" s="27"/>
    </row>
    <row r="44551">
      <c r="S44551" s="27"/>
      <c r="T44551" s="27"/>
      <c r="U44551" s="27"/>
    </row>
    <row r="44552">
      <c r="S44552" s="27"/>
      <c r="T44552" s="27"/>
      <c r="U44552" s="27"/>
    </row>
    <row r="44554">
      <c r="S44554" s="27"/>
      <c r="T44554" s="27"/>
    </row>
    <row r="44555">
      <c r="S44555" s="26"/>
      <c r="T44555" s="26"/>
      <c r="U44555" s="26"/>
    </row>
    <row r="44558">
      <c r="S44558" s="27"/>
      <c r="T44558" s="27"/>
      <c r="U44558" s="27"/>
    </row>
    <row r="44559">
      <c r="S44559" s="27"/>
      <c r="T44559" s="27"/>
      <c r="U44559" s="27"/>
    </row>
    <row r="44561">
      <c r="S44561" s="27"/>
      <c r="T44561" s="27"/>
      <c r="U44561" s="27"/>
    </row>
    <row r="44564">
      <c r="S44564" s="27"/>
      <c r="T44564" s="27"/>
      <c r="U44564" s="27"/>
    </row>
    <row r="44565">
      <c r="S44565" s="27"/>
      <c r="T44565" s="27"/>
      <c r="U44565" s="27"/>
    </row>
    <row r="44567">
      <c r="S44567" s="27"/>
      <c r="T44567" s="27"/>
      <c r="U44567" s="27"/>
    </row>
    <row r="44568">
      <c r="S44568" s="27"/>
      <c r="T44568" s="27"/>
      <c r="U44568" s="27"/>
    </row>
    <row r="44570">
      <c r="S44570" s="27"/>
      <c r="T44570" s="27"/>
      <c r="U44570" s="27"/>
    </row>
    <row r="44571">
      <c r="S44571" s="27"/>
      <c r="T44571" s="27"/>
      <c r="U44571" s="27"/>
    </row>
    <row r="44573">
      <c r="S44573" s="27"/>
      <c r="T44573" s="27"/>
      <c r="U44573" s="27"/>
    </row>
    <row r="44574">
      <c r="S44574" s="27"/>
      <c r="T44574" s="27"/>
      <c r="U44574" s="27"/>
    </row>
    <row r="44576">
      <c r="S44576" s="27"/>
      <c r="T44576" s="27"/>
      <c r="U44576" s="27"/>
    </row>
    <row r="44577">
      <c r="S44577" s="27"/>
      <c r="T44577" s="27"/>
      <c r="U44577" s="27"/>
    </row>
    <row r="44579">
      <c r="S44579" s="27"/>
      <c r="T44579" s="27"/>
      <c r="U44579" s="27"/>
    </row>
    <row r="44580">
      <c r="S44580" s="27"/>
      <c r="T44580" s="27"/>
      <c r="U44580" s="27"/>
    </row>
    <row r="44582">
      <c r="S44582" s="27"/>
      <c r="T44582" s="27"/>
      <c r="U44582" s="27"/>
    </row>
    <row r="44583">
      <c r="S44583" s="27"/>
      <c r="T44583" s="27"/>
      <c r="U44583" s="27"/>
    </row>
    <row r="44585">
      <c r="S44585" s="27"/>
      <c r="T44585" s="27"/>
      <c r="U44585" s="27"/>
    </row>
    <row r="44586">
      <c r="S44586" s="27"/>
      <c r="T44586" s="27"/>
      <c r="U44586" s="27"/>
    </row>
    <row r="44588">
      <c r="S44588" s="27"/>
      <c r="T44588" s="27"/>
      <c r="U44588" s="27"/>
    </row>
    <row r="44589">
      <c r="S44589" s="27"/>
      <c r="T44589" s="27"/>
      <c r="U44589" s="27"/>
    </row>
    <row r="44591">
      <c r="S44591" s="27"/>
      <c r="T44591" s="27"/>
      <c r="U44591" s="27"/>
    </row>
    <row r="44592">
      <c r="S44592" s="27"/>
      <c r="T44592" s="27"/>
      <c r="U44592" s="27"/>
    </row>
    <row r="44594">
      <c r="S44594" s="27"/>
      <c r="T44594" s="27"/>
      <c r="U44594" s="27"/>
    </row>
    <row r="44595">
      <c r="S44595" s="27"/>
      <c r="T44595" s="27"/>
      <c r="U44595" s="27"/>
    </row>
    <row r="44597">
      <c r="S44597" s="27"/>
      <c r="T44597" s="27"/>
      <c r="U44597" s="27"/>
    </row>
    <row r="44598">
      <c r="S44598" s="27"/>
      <c r="T44598" s="27"/>
      <c r="U44598" s="27"/>
    </row>
    <row r="44600">
      <c r="S44600" s="27"/>
      <c r="T44600" s="27"/>
      <c r="U44600" s="27"/>
    </row>
    <row r="44601">
      <c r="S44601" s="27"/>
      <c r="T44601" s="27"/>
      <c r="U44601" s="27"/>
    </row>
    <row r="44603">
      <c r="S44603" s="27"/>
      <c r="T44603" s="27"/>
      <c r="U44603" s="27"/>
    </row>
    <row r="44604">
      <c r="S44604" s="27"/>
      <c r="T44604" s="27"/>
      <c r="U44604" s="27"/>
    </row>
    <row r="44606">
      <c r="S44606" s="27"/>
      <c r="T44606" s="27"/>
      <c r="U44606" s="27"/>
    </row>
    <row r="44607">
      <c r="S44607" s="27"/>
      <c r="T44607" s="27"/>
      <c r="U44607" s="27"/>
    </row>
    <row r="44609">
      <c r="S44609" s="27"/>
      <c r="T44609" s="27"/>
      <c r="U44609" s="27"/>
    </row>
    <row r="44610">
      <c r="S44610" s="27"/>
      <c r="T44610" s="27"/>
      <c r="U44610" s="27"/>
    </row>
    <row r="44612">
      <c r="S44612" s="27"/>
      <c r="T44612" s="27"/>
      <c r="U44612" s="27"/>
    </row>
    <row r="44613">
      <c r="S44613" s="27"/>
      <c r="T44613" s="27"/>
      <c r="U44613" s="27"/>
    </row>
    <row r="44615">
      <c r="S44615" s="27"/>
      <c r="T44615" s="27"/>
      <c r="U44615" s="27"/>
    </row>
    <row r="44616">
      <c r="S44616" s="27"/>
      <c r="T44616" s="27"/>
      <c r="U44616" s="27"/>
    </row>
    <row r="44618">
      <c r="S44618" s="27"/>
      <c r="T44618" s="27"/>
      <c r="U44618" s="27"/>
    </row>
    <row r="44619">
      <c r="S44619" s="27"/>
      <c r="T44619" s="27"/>
      <c r="U44619" s="27"/>
    </row>
    <row r="44621">
      <c r="S44621" s="27"/>
      <c r="T44621" s="27"/>
      <c r="U44621" s="27"/>
    </row>
    <row r="44622">
      <c r="S44622" s="27"/>
      <c r="T44622" s="27"/>
      <c r="U44622" s="27"/>
    </row>
    <row r="44624">
      <c r="S44624" s="27"/>
      <c r="T44624" s="27"/>
      <c r="U44624" s="27"/>
    </row>
    <row r="44625">
      <c r="S44625" s="27"/>
      <c r="T44625" s="27"/>
      <c r="U44625" s="27"/>
    </row>
    <row r="44627">
      <c r="S44627" s="27"/>
      <c r="T44627" s="27"/>
      <c r="U44627" s="27"/>
    </row>
    <row r="44628">
      <c r="S44628" s="27"/>
      <c r="T44628" s="27"/>
      <c r="U44628" s="27"/>
    </row>
    <row r="44630">
      <c r="S44630" s="27"/>
      <c r="T44630" s="27"/>
      <c r="U44630" s="27"/>
    </row>
    <row r="44631">
      <c r="S44631" s="27"/>
      <c r="T44631" s="27"/>
      <c r="U44631" s="27"/>
    </row>
    <row r="44633">
      <c r="S44633" s="27"/>
      <c r="T44633" s="27"/>
      <c r="U44633" s="27"/>
    </row>
    <row r="44634">
      <c r="S44634" s="27"/>
      <c r="T44634" s="27"/>
      <c r="U44634" s="27"/>
    </row>
    <row r="44636">
      <c r="S44636" s="27"/>
      <c r="T44636" s="27"/>
      <c r="U44636" s="27"/>
    </row>
    <row r="44637">
      <c r="S44637" s="27"/>
      <c r="T44637" s="27"/>
      <c r="U44637" s="27"/>
    </row>
    <row r="44639">
      <c r="S44639" s="27"/>
      <c r="T44639" s="27"/>
      <c r="U44639" s="27"/>
    </row>
    <row r="44640">
      <c r="S44640" s="27"/>
      <c r="T44640" s="27"/>
      <c r="U44640" s="27"/>
    </row>
    <row r="44642">
      <c r="S44642" s="27"/>
      <c r="T44642" s="27"/>
      <c r="U44642" s="27"/>
    </row>
    <row r="44643">
      <c r="S44643" s="27"/>
      <c r="T44643" s="27"/>
      <c r="U44643" s="27"/>
    </row>
    <row r="44645">
      <c r="S44645" s="27"/>
      <c r="T44645" s="27"/>
      <c r="U44645" s="27"/>
    </row>
    <row r="44646">
      <c r="S44646" s="27"/>
      <c r="T44646" s="27"/>
      <c r="U44646" s="27"/>
    </row>
    <row r="44648">
      <c r="S44648" s="27"/>
      <c r="T44648" s="27"/>
      <c r="U44648" s="27"/>
    </row>
    <row r="44649">
      <c r="S44649" s="27"/>
      <c r="T44649" s="27"/>
      <c r="U44649" s="27"/>
    </row>
    <row r="44651">
      <c r="S44651" s="27"/>
      <c r="T44651" s="27"/>
      <c r="U44651" s="27"/>
    </row>
    <row r="44653">
      <c r="S44653" s="27"/>
      <c r="T44653" s="27"/>
      <c r="U44653" s="27"/>
    </row>
    <row r="44654">
      <c r="S44654" s="27"/>
      <c r="T44654" s="27"/>
      <c r="U44654" s="27"/>
    </row>
    <row r="44656">
      <c r="S44656" s="27"/>
      <c r="T44656" s="27"/>
      <c r="U44656" s="27"/>
    </row>
    <row r="44657">
      <c r="S44657" s="27"/>
      <c r="T44657" s="27"/>
      <c r="U44657" s="27"/>
    </row>
    <row r="44659">
      <c r="S44659" s="27"/>
      <c r="T44659" s="27"/>
      <c r="U44659" s="27"/>
    </row>
    <row r="44660">
      <c r="S44660" s="27"/>
      <c r="T44660" s="27"/>
      <c r="U44660" s="27"/>
    </row>
    <row r="44662">
      <c r="S44662" s="27"/>
      <c r="T44662" s="27"/>
      <c r="U44662" s="27"/>
    </row>
    <row r="44663">
      <c r="S44663" s="27"/>
      <c r="T44663" s="27"/>
      <c r="U44663" s="27"/>
    </row>
    <row r="44665">
      <c r="S44665" s="27"/>
      <c r="T44665" s="27"/>
      <c r="U44665" s="27"/>
    </row>
    <row r="44666">
      <c r="S44666" s="27"/>
      <c r="T44666" s="27"/>
      <c r="U44666" s="27"/>
    </row>
    <row r="44668">
      <c r="S44668" s="27"/>
      <c r="T44668" s="27"/>
      <c r="U44668" s="27"/>
    </row>
    <row r="44669">
      <c r="S44669" s="27"/>
      <c r="T44669" s="27"/>
      <c r="U44669" s="27"/>
    </row>
    <row r="44671">
      <c r="S44671" s="27"/>
      <c r="T44671" s="27"/>
      <c r="U44671" s="27"/>
    </row>
    <row r="44672">
      <c r="S44672" s="27"/>
      <c r="T44672" s="27"/>
      <c r="U44672" s="27"/>
    </row>
    <row r="44674">
      <c r="S44674" s="27"/>
      <c r="T44674" s="27"/>
      <c r="U44674" s="27"/>
    </row>
    <row r="44676">
      <c r="S44676" s="27"/>
      <c r="T44676" s="27"/>
      <c r="U44676" s="27"/>
    </row>
    <row r="44678">
      <c r="S44678" s="27"/>
      <c r="T44678" s="27"/>
      <c r="U44678" s="27"/>
    </row>
    <row r="44680">
      <c r="S44680" s="27"/>
      <c r="T44680" s="27"/>
      <c r="U44680" s="27"/>
    </row>
    <row r="44682">
      <c r="S44682" s="27"/>
      <c r="T44682" s="27"/>
      <c r="U44682" s="27"/>
    </row>
    <row r="44683">
      <c r="S44683" s="27"/>
      <c r="T44683" s="27"/>
      <c r="U44683" s="27"/>
    </row>
    <row r="44685">
      <c r="S44685" s="27"/>
      <c r="T44685" s="27"/>
      <c r="U44685" s="27"/>
    </row>
    <row r="44686">
      <c r="S44686" s="27"/>
      <c r="T44686" s="27"/>
      <c r="U44686" s="27"/>
    </row>
    <row r="44688">
      <c r="S44688" s="27"/>
      <c r="T44688" s="27"/>
      <c r="U44688" s="27"/>
    </row>
    <row r="44689">
      <c r="U44689" s="27"/>
    </row>
    <row r="44691">
      <c r="S44691" s="27"/>
      <c r="T44691" s="27"/>
      <c r="U44691" s="27"/>
    </row>
    <row r="44692">
      <c r="S44692" s="27"/>
      <c r="T44692" s="27"/>
      <c r="U44692" s="27"/>
    </row>
    <row r="44694">
      <c r="S44694" s="27"/>
      <c r="T44694" s="27"/>
      <c r="U44694" s="27"/>
    </row>
    <row r="44695">
      <c r="S44695" s="27"/>
      <c r="T44695" s="27"/>
      <c r="U44695" s="27"/>
    </row>
    <row r="44698">
      <c r="S44698" s="27"/>
      <c r="T44698" s="27"/>
      <c r="U44698" s="27"/>
    </row>
    <row r="44699">
      <c r="S44699" s="27"/>
      <c r="T44699" s="27"/>
      <c r="U44699" s="27"/>
    </row>
    <row r="44701">
      <c r="S44701" s="26"/>
      <c r="T44701" s="26"/>
      <c r="U44701" s="26"/>
    </row>
    <row r="44704">
      <c r="S44704" s="27"/>
      <c r="T44704" s="27"/>
      <c r="U44704" s="27"/>
    </row>
    <row r="44707">
      <c r="S44707" s="27"/>
      <c r="T44707" s="27"/>
      <c r="U44707" s="27"/>
    </row>
    <row r="44708">
      <c r="S44708" s="27"/>
      <c r="T44708" s="27"/>
      <c r="U44708" s="27"/>
    </row>
    <row r="44710">
      <c r="S44710" s="27"/>
      <c r="T44710" s="27"/>
      <c r="U44710" s="27"/>
    </row>
    <row r="44711">
      <c r="S44711" s="27"/>
      <c r="T44711" s="27"/>
      <c r="U44711" s="27"/>
    </row>
    <row r="44713">
      <c r="S44713" s="27"/>
      <c r="T44713" s="27"/>
      <c r="U44713" s="27"/>
    </row>
    <row r="44714">
      <c r="S44714" s="27"/>
      <c r="T44714" s="27"/>
      <c r="U44714" s="27"/>
    </row>
    <row r="44716">
      <c r="S44716" s="34"/>
      <c r="T44716" s="34"/>
      <c r="U44716" s="26"/>
    </row>
    <row r="44719">
      <c r="S44719" s="27"/>
      <c r="T44719" s="27"/>
      <c r="U44719" s="27"/>
    </row>
    <row r="44720">
      <c r="S44720" s="27"/>
      <c r="T44720" s="27"/>
      <c r="U44720" s="27"/>
    </row>
    <row r="44722">
      <c r="S44722" s="27"/>
      <c r="T44722" s="27"/>
      <c r="U44722" s="27"/>
    </row>
    <row r="44723">
      <c r="S44723" s="27"/>
      <c r="T44723" s="27"/>
      <c r="U44723" s="27"/>
    </row>
    <row r="44725">
      <c r="S44725" s="27"/>
      <c r="T44725" s="27"/>
    </row>
    <row r="44726">
      <c r="S44726" s="27"/>
      <c r="T44726" s="27"/>
    </row>
    <row r="44728">
      <c r="S44728" s="27"/>
      <c r="T44728" s="27"/>
      <c r="U44728" s="27"/>
    </row>
    <row r="44731">
      <c r="S44731" s="26"/>
      <c r="T44731" s="26"/>
      <c r="U44731" s="26"/>
    </row>
    <row r="44734">
      <c r="S44734" s="27"/>
      <c r="T44734" s="27"/>
      <c r="U44734" s="27"/>
    </row>
    <row r="44735">
      <c r="S44735" s="27"/>
      <c r="T44735" s="27"/>
      <c r="U44735" s="27"/>
    </row>
    <row r="44737">
      <c r="S44737" s="27"/>
      <c r="T44737" s="27"/>
      <c r="U44737" s="27"/>
    </row>
    <row r="44738">
      <c r="S44738" s="27"/>
      <c r="T44738" s="27"/>
      <c r="U44738" s="27"/>
    </row>
    <row r="44740">
      <c r="S44740" s="34"/>
      <c r="T44740" s="34"/>
      <c r="U44740" s="34"/>
    </row>
    <row r="44746">
      <c r="S44746" s="27"/>
      <c r="T44746" s="27"/>
      <c r="U44746" s="27"/>
    </row>
    <row r="44749">
      <c r="S44749" s="27"/>
      <c r="T44749" s="27"/>
      <c r="U44749" s="27"/>
    </row>
    <row r="44750">
      <c r="S44750" s="27"/>
      <c r="T44750" s="27"/>
      <c r="U44750" s="27"/>
    </row>
    <row r="44752">
      <c r="S44752" s="27"/>
      <c r="T44752" s="27"/>
      <c r="U44752" s="27"/>
    </row>
    <row r="44753">
      <c r="S44753" s="27"/>
      <c r="T44753" s="27"/>
      <c r="U44753" s="27"/>
    </row>
    <row r="44755">
      <c r="S44755" s="27"/>
      <c r="T44755" s="27"/>
      <c r="U44755" s="27"/>
    </row>
    <row r="44756">
      <c r="S44756" s="27"/>
      <c r="T44756" s="27"/>
      <c r="U44756" s="27"/>
    </row>
    <row r="44758">
      <c r="S44758" s="27"/>
      <c r="T44758" s="27"/>
      <c r="U44758" s="27"/>
    </row>
    <row r="44759">
      <c r="S44759" s="27"/>
      <c r="T44759" s="27"/>
      <c r="U44759" s="27"/>
    </row>
    <row r="44761">
      <c r="S44761" s="27"/>
      <c r="T44761" s="27"/>
      <c r="U44761" s="27"/>
    </row>
    <row r="44762">
      <c r="S44762" s="27"/>
      <c r="T44762" s="27"/>
      <c r="U44762" s="27"/>
    </row>
    <row r="44764">
      <c r="S44764" s="27"/>
      <c r="T44764" s="27"/>
      <c r="U44764" s="27"/>
    </row>
    <row r="44765">
      <c r="S44765" s="27"/>
      <c r="T44765" s="27"/>
      <c r="U44765" s="27"/>
    </row>
    <row r="44767">
      <c r="S44767" s="27"/>
      <c r="T44767" s="27"/>
      <c r="U44767" s="27"/>
    </row>
    <row r="44768">
      <c r="S44768" s="27"/>
      <c r="T44768" s="27"/>
      <c r="U44768" s="27"/>
    </row>
    <row r="44770">
      <c r="S44770" s="27"/>
      <c r="T44770" s="27"/>
      <c r="U44770" s="27"/>
    </row>
    <row r="44771">
      <c r="S44771" s="27"/>
      <c r="T44771" s="27"/>
      <c r="U44771" s="27"/>
    </row>
    <row r="44773">
      <c r="S44773" s="27"/>
      <c r="T44773" s="27"/>
      <c r="U44773" s="27"/>
    </row>
    <row r="44774">
      <c r="S44774" s="27"/>
      <c r="T44774" s="27"/>
      <c r="U44774" s="27"/>
    </row>
    <row r="44776">
      <c r="S44776" s="27"/>
      <c r="T44776" s="27"/>
      <c r="U44776" s="27"/>
    </row>
    <row r="44777">
      <c r="S44777" s="27"/>
      <c r="T44777" s="27"/>
      <c r="U44777" s="27"/>
    </row>
    <row r="44779">
      <c r="S44779" s="27"/>
      <c r="T44779" s="27"/>
      <c r="U44779" s="27"/>
    </row>
    <row r="44780">
      <c r="S44780" s="27"/>
      <c r="T44780" s="27"/>
      <c r="U44780" s="27"/>
    </row>
    <row r="44782">
      <c r="S44782" s="27"/>
      <c r="T44782" s="27"/>
      <c r="U44782" s="27"/>
    </row>
    <row r="44783">
      <c r="S44783" s="27"/>
      <c r="T44783" s="27"/>
      <c r="U44783" s="27"/>
    </row>
    <row r="44785">
      <c r="S44785" s="27"/>
      <c r="T44785" s="27"/>
      <c r="U44785" s="27"/>
    </row>
    <row r="44786">
      <c r="S44786" s="27"/>
      <c r="T44786" s="27"/>
      <c r="U44786" s="27"/>
    </row>
    <row r="44788">
      <c r="S44788" s="27"/>
      <c r="T44788" s="27"/>
      <c r="U44788" s="27"/>
    </row>
    <row r="44789">
      <c r="S44789" s="27"/>
      <c r="T44789" s="27"/>
      <c r="U44789" s="27"/>
    </row>
    <row r="44791">
      <c r="S44791" s="27"/>
      <c r="T44791" s="27"/>
      <c r="U44791" s="27"/>
    </row>
    <row r="44792">
      <c r="S44792" s="27"/>
      <c r="T44792" s="27"/>
      <c r="U44792" s="27"/>
    </row>
    <row r="44794">
      <c r="S44794" s="27"/>
      <c r="T44794" s="27"/>
      <c r="U44794" s="27"/>
    </row>
    <row r="44795">
      <c r="S44795" s="27"/>
      <c r="T44795" s="27"/>
      <c r="U44795" s="27"/>
    </row>
    <row r="44797">
      <c r="S44797" s="27"/>
      <c r="T44797" s="27"/>
      <c r="U44797" s="27"/>
    </row>
    <row r="44798">
      <c r="S44798" s="27"/>
      <c r="T44798" s="27"/>
      <c r="U44798" s="27"/>
    </row>
    <row r="44800">
      <c r="S44800" s="27"/>
      <c r="T44800" s="27"/>
      <c r="U44800" s="27"/>
    </row>
    <row r="44801">
      <c r="S44801" s="27"/>
      <c r="T44801" s="27"/>
      <c r="U44801" s="27"/>
    </row>
    <row r="44803">
      <c r="S44803" s="27"/>
      <c r="T44803" s="27"/>
      <c r="U44803" s="27"/>
    </row>
    <row r="44804">
      <c r="S44804" s="27"/>
      <c r="T44804" s="27"/>
      <c r="U44804" s="27"/>
    </row>
    <row r="44806">
      <c r="S44806" s="27"/>
      <c r="T44806" s="27"/>
      <c r="U44806" s="27"/>
    </row>
    <row r="44807">
      <c r="S44807" s="27"/>
      <c r="T44807" s="27"/>
      <c r="U44807" s="27"/>
    </row>
    <row r="44809">
      <c r="S44809" s="27"/>
      <c r="T44809" s="27"/>
      <c r="U44809" s="27"/>
    </row>
    <row r="44810">
      <c r="S44810" s="27"/>
      <c r="T44810" s="27"/>
      <c r="U44810" s="27"/>
    </row>
    <row r="44812">
      <c r="S44812" s="27"/>
      <c r="T44812" s="27"/>
      <c r="U44812" s="27"/>
    </row>
    <row r="44813">
      <c r="S44813" s="27"/>
      <c r="T44813" s="27"/>
      <c r="U44813" s="27"/>
    </row>
    <row r="44815">
      <c r="S44815" s="27"/>
      <c r="T44815" s="27"/>
      <c r="U44815" s="27"/>
    </row>
    <row r="44816">
      <c r="S44816" s="27"/>
      <c r="T44816" s="27"/>
      <c r="U44816" s="27"/>
    </row>
    <row r="44818">
      <c r="S44818" s="27"/>
      <c r="T44818" s="27"/>
      <c r="U44818" s="27"/>
    </row>
    <row r="44819">
      <c r="S44819" s="27"/>
      <c r="T44819" s="27"/>
      <c r="U44819" s="27"/>
    </row>
    <row r="44824">
      <c r="S44824" s="27"/>
      <c r="T44824" s="27"/>
      <c r="U44824" s="27"/>
    </row>
    <row r="44825">
      <c r="S44825" s="27"/>
      <c r="T44825" s="27"/>
      <c r="U44825" s="27"/>
    </row>
    <row r="44827">
      <c r="S44827" s="27"/>
      <c r="T44827" s="27"/>
      <c r="U44827" s="27"/>
    </row>
    <row r="44830">
      <c r="S44830" s="33"/>
      <c r="T44830" s="33"/>
      <c r="U44830" s="33"/>
    </row>
    <row r="44831">
      <c r="S44831" s="27"/>
      <c r="T44831" s="27"/>
      <c r="U44831" s="27"/>
    </row>
    <row r="44833">
      <c r="S44833" s="27"/>
      <c r="T44833" s="27"/>
      <c r="U44833" s="27"/>
    </row>
    <row r="44834">
      <c r="S44834" s="27"/>
      <c r="T44834" s="27"/>
      <c r="U44834" s="27"/>
    </row>
    <row r="44836">
      <c r="S44836" s="27"/>
      <c r="T44836" s="27"/>
      <c r="U44836" s="27"/>
    </row>
    <row r="44837">
      <c r="S44837" s="26"/>
      <c r="T44837" s="26"/>
      <c r="U44837" s="26"/>
    </row>
    <row r="44839">
      <c r="T44839" s="27"/>
      <c r="U44839" s="27"/>
    </row>
    <row r="44840">
      <c r="S44840" s="27"/>
      <c r="T44840" s="27"/>
      <c r="U44840" s="27"/>
    </row>
    <row r="44842">
      <c r="S44842" s="27"/>
      <c r="T44842" s="27"/>
      <c r="U44842" s="27"/>
    </row>
    <row r="44843">
      <c r="S44843" s="27"/>
      <c r="T44843" s="27"/>
      <c r="U44843" s="27"/>
    </row>
    <row r="44845">
      <c r="S44845" s="27"/>
      <c r="T44845" s="27"/>
      <c r="U44845" s="27"/>
    </row>
    <row r="44846">
      <c r="S44846" s="27"/>
      <c r="T44846" s="27"/>
      <c r="U44846" s="27"/>
    </row>
    <row r="44851">
      <c r="S44851" s="26"/>
      <c r="T44851" s="26"/>
      <c r="U44851" s="27"/>
    </row>
    <row r="44854">
      <c r="S44854" s="37"/>
      <c r="T44854" s="27"/>
      <c r="U44854" s="27"/>
    </row>
    <row r="44856">
      <c r="S44856" s="27"/>
      <c r="T44856" s="27"/>
      <c r="U44856" s="27"/>
    </row>
    <row r="44858">
      <c r="S44858" s="27"/>
      <c r="T44858" s="27"/>
      <c r="U44858" s="26"/>
    </row>
    <row r="44861">
      <c r="S44861" s="27"/>
      <c r="T44861" s="27"/>
      <c r="U44861" s="27"/>
    </row>
    <row r="44864">
      <c r="S44864" s="27"/>
      <c r="T44864" s="27"/>
      <c r="U44864" s="27"/>
    </row>
    <row r="44865">
      <c r="S44865" s="27"/>
      <c r="T44865" s="27"/>
      <c r="U44865" s="27"/>
    </row>
    <row r="44867">
      <c r="S44867" s="27"/>
      <c r="T44867" s="27"/>
      <c r="U44867" s="27"/>
    </row>
    <row r="44868">
      <c r="S44868" s="27"/>
      <c r="T44868" s="27"/>
      <c r="U44868" s="27"/>
    </row>
    <row r="44870">
      <c r="S44870" s="27"/>
      <c r="T44870" s="27"/>
      <c r="U44870" s="27"/>
    </row>
    <row r="44871">
      <c r="S44871" s="27"/>
      <c r="T44871" s="27"/>
      <c r="U44871" s="27"/>
    </row>
    <row r="44873">
      <c r="S44873" s="27"/>
      <c r="T44873" s="27"/>
      <c r="U44873" s="27"/>
    </row>
    <row r="44874">
      <c r="S44874" s="27"/>
      <c r="T44874" s="26"/>
      <c r="U44874" s="27"/>
    </row>
    <row r="44876">
      <c r="S44876" s="27"/>
      <c r="T44876" s="27"/>
      <c r="U44876" s="27"/>
    </row>
    <row r="44877">
      <c r="S44877" s="27"/>
      <c r="T44877" s="27"/>
      <c r="U44877" s="27"/>
    </row>
    <row r="44882">
      <c r="S44882" s="27"/>
      <c r="T44882" s="27"/>
      <c r="U44882" s="27"/>
    </row>
    <row r="44883">
      <c r="S44883" s="27"/>
      <c r="T44883" s="27"/>
      <c r="U44883" s="27"/>
    </row>
    <row r="44885">
      <c r="S44885" s="27"/>
      <c r="T44885" s="27"/>
      <c r="U44885" s="27"/>
    </row>
    <row r="44886">
      <c r="S44886" s="27"/>
      <c r="T44886" s="27"/>
      <c r="U44886" s="27"/>
    </row>
    <row r="44888">
      <c r="S44888" s="27"/>
      <c r="T44888" s="27"/>
      <c r="U44888" s="27"/>
    </row>
    <row r="44889">
      <c r="S44889" s="27"/>
      <c r="T44889" s="27"/>
      <c r="U44889" s="27"/>
    </row>
    <row r="44891">
      <c r="S44891" s="27"/>
      <c r="T44891" s="33"/>
      <c r="U44891" s="27"/>
    </row>
    <row r="44894">
      <c r="S44894" s="27"/>
      <c r="T44894" s="27"/>
      <c r="U44894" s="27"/>
    </row>
    <row r="44895">
      <c r="S44895" s="27"/>
      <c r="T44895" s="27"/>
      <c r="U44895" s="27"/>
    </row>
    <row r="44897">
      <c r="S44897" s="27"/>
      <c r="T44897" s="27"/>
      <c r="U44897" s="27"/>
    </row>
    <row r="44900">
      <c r="S44900" s="27"/>
      <c r="T44900" s="27"/>
      <c r="U44900" s="27"/>
    </row>
    <row r="44901">
      <c r="S44901" s="33"/>
      <c r="T44901" s="33"/>
      <c r="U44901" s="33"/>
    </row>
    <row r="44903">
      <c r="S44903" s="34"/>
      <c r="T44903" s="27"/>
      <c r="U44903" s="27"/>
    </row>
    <row r="44904">
      <c r="S44904" s="26"/>
      <c r="T44904" s="26"/>
      <c r="U44904" s="26"/>
    </row>
    <row r="44906">
      <c r="S44906" s="27"/>
      <c r="T44906" s="27"/>
      <c r="U44906" s="27"/>
    </row>
    <row r="44907">
      <c r="S44907" s="27"/>
      <c r="T44907" s="27"/>
      <c r="U44907" s="27"/>
    </row>
    <row r="44909">
      <c r="S44909" s="27"/>
      <c r="T44909" s="27"/>
      <c r="U44909" s="27"/>
    </row>
    <row r="44910">
      <c r="S44910" s="27"/>
      <c r="T44910" s="27"/>
      <c r="U44910" s="27"/>
    </row>
    <row r="44912">
      <c r="S44912" s="27"/>
      <c r="T44912" s="27"/>
      <c r="U44912" s="27"/>
    </row>
    <row r="44913">
      <c r="S44913" s="27"/>
      <c r="T44913" s="27"/>
      <c r="U44913" s="27"/>
    </row>
    <row r="44915">
      <c r="S44915" s="27"/>
      <c r="T44915" s="27"/>
      <c r="U44915" s="27"/>
    </row>
    <row r="44916">
      <c r="S44916" s="27"/>
      <c r="T44916" s="27"/>
      <c r="U44916" s="27"/>
    </row>
    <row r="44918">
      <c r="S44918" s="27"/>
    </row>
    <row r="44921">
      <c r="S44921" s="27"/>
      <c r="T44921" s="27"/>
      <c r="U44921" s="27"/>
    </row>
    <row r="44922">
      <c r="S44922" s="27"/>
      <c r="T44922" s="27"/>
      <c r="U44922" s="27"/>
    </row>
    <row r="44924">
      <c r="S44924" s="27"/>
      <c r="T44924" s="27"/>
      <c r="U44924" s="27"/>
    </row>
    <row r="44925">
      <c r="S44925" s="27"/>
      <c r="T44925" s="27"/>
      <c r="U44925" s="27"/>
    </row>
    <row r="44927">
      <c r="S44927" s="27"/>
      <c r="T44927" s="27"/>
    </row>
    <row r="44930">
      <c r="S44930" s="27"/>
      <c r="U44930" s="27"/>
    </row>
    <row r="44931">
      <c r="S44931" s="27"/>
      <c r="T44931" s="27"/>
    </row>
    <row r="44933">
      <c r="S44933" s="27"/>
      <c r="T44933" s="27"/>
      <c r="U44933" s="27"/>
    </row>
    <row r="44934">
      <c r="S44934" s="27"/>
      <c r="T44934" s="27"/>
      <c r="U44934" s="27"/>
    </row>
    <row r="44936">
      <c r="S44936" s="27"/>
      <c r="T44936" s="27"/>
      <c r="U44936" s="27"/>
    </row>
    <row r="44937">
      <c r="S44937" s="27"/>
      <c r="T44937" s="27"/>
      <c r="U44937" s="27"/>
    </row>
    <row r="44939">
      <c r="S44939" s="27"/>
      <c r="T44939" s="27"/>
      <c r="U44939" s="27"/>
    </row>
    <row r="44942">
      <c r="S44942" s="27"/>
      <c r="T44942" s="27"/>
      <c r="U44942" s="27"/>
    </row>
    <row r="44943">
      <c r="S44943" s="27"/>
      <c r="T44943" s="27"/>
      <c r="U44943" s="27"/>
    </row>
    <row r="44945">
      <c r="S44945" s="26"/>
      <c r="T44945" s="26"/>
      <c r="U44945" s="26"/>
    </row>
    <row r="44948">
      <c r="S44948" s="27"/>
      <c r="T44948" s="27"/>
      <c r="U44948" s="27"/>
    </row>
    <row r="44951">
      <c r="S44951" s="27"/>
      <c r="T44951" s="27"/>
      <c r="U44951" s="27"/>
    </row>
    <row r="44952">
      <c r="S44952" s="27"/>
      <c r="T44952" s="27"/>
      <c r="U44952" s="27"/>
    </row>
    <row r="44954">
      <c r="S44954" s="27"/>
      <c r="T44954" s="27"/>
      <c r="U44954" s="27"/>
    </row>
    <row r="44955">
      <c r="S44955" s="27"/>
      <c r="T44955" s="27"/>
      <c r="U44955" s="27"/>
    </row>
    <row r="44957">
      <c r="S44957" s="27"/>
      <c r="T44957" s="27"/>
      <c r="U44957" s="27"/>
    </row>
    <row r="44958">
      <c r="S44958" s="27"/>
      <c r="T44958" s="27"/>
      <c r="U44958" s="27"/>
    </row>
    <row r="44960">
      <c r="S44960" s="26"/>
    </row>
    <row r="44961">
      <c r="T44961" s="26"/>
      <c r="U44961" s="26"/>
    </row>
    <row r="44963">
      <c r="S44963" s="27"/>
      <c r="T44963" s="27"/>
      <c r="U44963" s="27"/>
    </row>
    <row r="44964">
      <c r="S44964" s="27"/>
      <c r="T44964" s="27"/>
      <c r="U44964" s="27"/>
    </row>
    <row r="44966">
      <c r="S44966" s="27"/>
      <c r="T44966" s="27"/>
      <c r="U44966" s="27"/>
    </row>
    <row r="44967">
      <c r="S44967" s="27"/>
      <c r="T44967" s="27"/>
      <c r="U44967" s="27"/>
    </row>
    <row r="44969">
      <c r="S44969" s="27"/>
      <c r="T44969" s="27"/>
      <c r="U44969" s="27"/>
    </row>
    <row r="44972">
      <c r="S44972" s="27"/>
      <c r="T44972" s="27"/>
      <c r="U44972" s="27"/>
    </row>
    <row r="44973">
      <c r="S44973" s="27"/>
      <c r="T44973" s="27"/>
      <c r="U44973" s="27"/>
    </row>
    <row r="44975">
      <c r="S44975" s="27"/>
      <c r="T44975" s="27"/>
      <c r="U44975" s="27"/>
    </row>
    <row r="44976">
      <c r="S44976" s="27"/>
      <c r="T44976" s="27"/>
      <c r="U44976" s="27"/>
    </row>
    <row r="44978">
      <c r="S44978" s="27"/>
      <c r="T44978" s="27"/>
      <c r="U44978" s="27"/>
    </row>
    <row r="44979">
      <c r="S44979" s="27"/>
      <c r="T44979" s="27"/>
      <c r="U44979" s="27"/>
    </row>
    <row r="44981">
      <c r="S44981" s="27"/>
      <c r="T44981" s="27"/>
      <c r="U44981" s="27"/>
    </row>
    <row r="44982">
      <c r="S44982" s="27"/>
      <c r="T44982" s="27"/>
      <c r="U44982" s="27"/>
    </row>
    <row r="44984">
      <c r="S44984" s="27"/>
      <c r="T44984" s="27"/>
      <c r="U44984" s="27"/>
    </row>
    <row r="44985">
      <c r="S44985" s="27"/>
      <c r="T44985" s="27"/>
      <c r="U44985" s="27"/>
    </row>
    <row r="44987">
      <c r="S44987" s="27"/>
      <c r="T44987" s="27"/>
      <c r="U44987" s="27"/>
    </row>
    <row r="44988">
      <c r="S44988" s="27"/>
      <c r="T44988" s="27"/>
      <c r="U44988" s="27"/>
    </row>
    <row r="44990">
      <c r="S44990" s="27"/>
      <c r="T44990" s="27"/>
      <c r="U44990" s="27"/>
    </row>
    <row r="44991">
      <c r="S44991" s="27"/>
      <c r="T44991" s="27"/>
      <c r="U44991" s="27"/>
    </row>
    <row r="44993">
      <c r="S44993" s="27"/>
      <c r="T44993" s="27"/>
      <c r="U44993" s="27"/>
    </row>
    <row r="44994">
      <c r="S44994" s="27"/>
      <c r="T44994" s="27"/>
      <c r="U44994" s="27"/>
    </row>
    <row r="44996">
      <c r="S44996" s="27"/>
      <c r="T44996" s="27"/>
      <c r="U44996" s="27"/>
    </row>
    <row r="44997">
      <c r="S44997" s="27"/>
      <c r="T44997" s="27"/>
      <c r="U44997" s="27"/>
    </row>
    <row r="44999">
      <c r="S44999" s="27"/>
      <c r="T44999" s="27"/>
      <c r="U44999" s="27"/>
    </row>
    <row r="45000">
      <c r="S45000" s="27"/>
      <c r="T45000" s="27"/>
      <c r="U45000" s="27"/>
    </row>
    <row r="45002">
      <c r="S45002" s="27"/>
      <c r="T45002" s="27"/>
      <c r="U45002" s="27"/>
    </row>
    <row r="45003">
      <c r="S45003" s="27"/>
      <c r="T45003" s="27"/>
      <c r="U45003" s="27"/>
    </row>
    <row r="45005">
      <c r="S45005" s="27"/>
      <c r="T45005" s="27"/>
      <c r="U45005" s="27"/>
    </row>
    <row r="45006">
      <c r="S45006" s="27"/>
      <c r="T45006" s="27"/>
      <c r="U45006" s="27"/>
    </row>
    <row r="45008">
      <c r="S45008" s="27"/>
      <c r="T45008" s="27"/>
      <c r="U45008" s="27"/>
    </row>
    <row r="45009">
      <c r="S45009" s="27"/>
      <c r="T45009" s="27"/>
      <c r="U45009" s="27"/>
    </row>
    <row r="45011">
      <c r="S45011" s="27"/>
      <c r="T45011" s="27"/>
      <c r="U45011" s="27"/>
    </row>
    <row r="45012">
      <c r="S45012" s="27"/>
      <c r="T45012" s="27"/>
      <c r="U45012" s="27"/>
    </row>
    <row r="45014">
      <c r="S45014" s="27"/>
      <c r="T45014" s="27"/>
      <c r="U45014" s="27"/>
    </row>
    <row r="45015">
      <c r="S45015" s="27"/>
      <c r="T45015" s="27"/>
      <c r="U45015" s="27"/>
    </row>
    <row r="45017">
      <c r="S45017" s="27"/>
      <c r="T45017" s="27"/>
      <c r="U45017" s="27"/>
    </row>
    <row r="45018">
      <c r="S45018" s="27"/>
      <c r="T45018" s="27"/>
      <c r="U45018" s="27"/>
    </row>
    <row r="45020">
      <c r="S45020" s="27"/>
      <c r="T45020" s="27"/>
      <c r="U45020" s="27"/>
    </row>
    <row r="45021">
      <c r="S45021" s="27"/>
      <c r="T45021" s="27"/>
      <c r="U45021" s="27"/>
    </row>
    <row r="45023">
      <c r="S45023" s="27"/>
      <c r="T45023" s="27"/>
      <c r="U45023" s="27"/>
    </row>
    <row r="45024">
      <c r="S45024" s="27"/>
      <c r="T45024" s="27"/>
      <c r="U45024" s="27"/>
    </row>
    <row r="45026">
      <c r="S45026" s="27"/>
      <c r="T45026" s="27"/>
      <c r="U45026" s="27"/>
    </row>
    <row r="45027">
      <c r="S45027" s="27"/>
      <c r="T45027" s="27"/>
      <c r="U45027" s="27"/>
    </row>
    <row r="45029">
      <c r="S45029" s="27"/>
      <c r="T45029" s="27"/>
      <c r="U45029" s="27"/>
    </row>
    <row r="45030">
      <c r="S45030" s="27"/>
      <c r="T45030" s="27"/>
      <c r="U45030" s="27"/>
    </row>
    <row r="45032">
      <c r="S45032" s="27"/>
      <c r="T45032" s="27"/>
      <c r="U45032" s="27"/>
    </row>
    <row r="45033">
      <c r="S45033" s="27"/>
      <c r="T45033" s="27"/>
      <c r="U45033" s="27"/>
    </row>
    <row r="45035">
      <c r="S45035" s="27"/>
      <c r="T45035" s="27"/>
      <c r="U45035" s="27"/>
    </row>
    <row r="45036">
      <c r="S45036" s="27"/>
      <c r="T45036" s="27"/>
      <c r="U45036" s="27"/>
    </row>
    <row r="45038">
      <c r="S45038" s="27"/>
      <c r="T45038" s="27"/>
      <c r="U45038" s="27"/>
    </row>
    <row r="45039">
      <c r="S45039" s="27"/>
      <c r="T45039" s="27"/>
      <c r="U45039" s="27"/>
    </row>
    <row r="45041">
      <c r="S45041" s="27"/>
      <c r="T45041" s="27"/>
      <c r="U45041" s="27"/>
    </row>
    <row r="45042">
      <c r="S45042" s="27"/>
      <c r="T45042" s="27"/>
      <c r="U45042" s="27"/>
    </row>
    <row r="45044">
      <c r="S45044" s="27"/>
      <c r="T45044" s="27"/>
      <c r="U45044" s="27"/>
    </row>
    <row r="45045">
      <c r="S45045" s="27"/>
      <c r="T45045" s="27"/>
      <c r="U45045" s="27"/>
    </row>
    <row r="45047">
      <c r="S45047" s="27"/>
      <c r="T45047" s="27"/>
      <c r="U45047" s="27"/>
    </row>
    <row r="45048">
      <c r="S45048" s="27"/>
      <c r="T45048" s="27"/>
      <c r="U45048" s="27"/>
    </row>
    <row r="45050">
      <c r="S45050" s="27"/>
      <c r="T45050" s="27"/>
      <c r="U45050" s="27"/>
    </row>
    <row r="45051">
      <c r="S45051" s="27"/>
      <c r="T45051" s="27"/>
      <c r="U45051" s="27"/>
    </row>
    <row r="45053">
      <c r="S45053" s="27"/>
      <c r="T45053" s="27"/>
      <c r="U45053" s="27"/>
    </row>
    <row r="45054">
      <c r="S45054" s="27"/>
      <c r="T45054" s="27"/>
      <c r="U45054" s="27"/>
    </row>
    <row r="45056">
      <c r="S45056" s="27"/>
      <c r="T45056" s="27"/>
      <c r="U45056" s="27"/>
    </row>
    <row r="45057">
      <c r="S45057" s="27"/>
      <c r="T45057" s="27"/>
      <c r="U45057" s="27"/>
    </row>
    <row r="45059">
      <c r="S45059" s="27"/>
      <c r="T45059" s="27"/>
      <c r="U45059" s="27"/>
    </row>
    <row r="45061">
      <c r="S45061" s="27"/>
      <c r="T45061" s="27"/>
      <c r="U45061" s="27"/>
    </row>
    <row r="45062">
      <c r="S45062" s="27"/>
      <c r="T45062" s="27"/>
      <c r="U45062" s="27"/>
    </row>
    <row r="45064">
      <c r="S45064" s="27"/>
      <c r="T45064" s="27"/>
      <c r="U45064" s="27"/>
    </row>
    <row r="45065">
      <c r="S45065" s="27"/>
      <c r="T45065" s="27"/>
      <c r="U45065" s="27"/>
    </row>
    <row r="45067">
      <c r="S45067" s="27"/>
      <c r="T45067" s="27"/>
      <c r="U45067" s="27"/>
    </row>
    <row r="45068">
      <c r="S45068" s="27"/>
      <c r="T45068" s="27"/>
      <c r="U45068" s="27"/>
    </row>
    <row r="45070">
      <c r="S45070" s="27"/>
      <c r="T45070" s="27"/>
      <c r="U45070" s="27"/>
    </row>
    <row r="45071">
      <c r="S45071" s="27"/>
      <c r="T45071" s="27"/>
      <c r="U45071" s="27"/>
    </row>
    <row r="45073">
      <c r="S45073" s="27"/>
      <c r="T45073" s="27"/>
      <c r="U45073" s="27"/>
    </row>
    <row r="45074">
      <c r="S45074" s="27"/>
      <c r="T45074" s="27"/>
      <c r="U45074" s="27"/>
    </row>
    <row r="45076">
      <c r="S45076" s="27"/>
      <c r="T45076" s="27"/>
      <c r="U45076" s="27"/>
    </row>
    <row r="45077">
      <c r="S45077" s="27"/>
      <c r="T45077" s="27"/>
      <c r="U45077" s="27"/>
    </row>
    <row r="45079">
      <c r="S45079" s="27"/>
      <c r="T45079" s="27"/>
      <c r="U45079" s="27"/>
    </row>
    <row r="45080">
      <c r="S45080" s="27"/>
      <c r="T45080" s="27"/>
      <c r="U45080" s="27"/>
    </row>
    <row r="45082">
      <c r="S45082" s="27"/>
      <c r="T45082" s="27"/>
      <c r="U45082" s="27"/>
    </row>
    <row r="45084">
      <c r="S45084" s="27"/>
      <c r="T45084" s="27"/>
      <c r="U45084" s="27"/>
    </row>
    <row r="45086">
      <c r="S45086" s="27"/>
      <c r="T45086" s="27"/>
      <c r="U45086" s="27"/>
    </row>
    <row r="45088">
      <c r="S45088" s="27"/>
      <c r="T45088" s="27"/>
      <c r="U45088" s="27"/>
    </row>
    <row r="45090">
      <c r="S45090" s="27"/>
      <c r="T45090" s="27"/>
      <c r="U45090" s="27"/>
    </row>
    <row r="45091">
      <c r="S45091" s="27"/>
      <c r="T45091" s="27"/>
      <c r="U45091" s="27"/>
    </row>
    <row r="45093">
      <c r="S45093" s="27"/>
      <c r="T45093" s="27"/>
      <c r="U45093" s="27"/>
    </row>
    <row r="45094">
      <c r="S45094" s="27"/>
      <c r="T45094" s="27"/>
      <c r="U45094" s="27"/>
    </row>
    <row r="45096">
      <c r="S45096" s="27"/>
      <c r="T45096" s="27"/>
      <c r="U45096" s="27"/>
    </row>
    <row r="45097">
      <c r="S45097" s="33"/>
      <c r="T45097" s="33"/>
      <c r="U45097" s="26"/>
    </row>
    <row r="45099">
      <c r="S45099" s="27"/>
      <c r="T45099" s="27"/>
      <c r="U45099" s="27"/>
    </row>
    <row r="45100">
      <c r="S45100" s="27"/>
      <c r="T45100" s="27"/>
      <c r="U45100" s="27"/>
    </row>
    <row r="45102">
      <c r="S45102" s="27"/>
      <c r="T45102" s="27"/>
      <c r="U45102" s="27"/>
    </row>
    <row r="45103">
      <c r="S45103" s="27"/>
      <c r="T45103" s="27"/>
      <c r="U45103" s="27"/>
    </row>
    <row r="45105">
      <c r="S45105" s="27"/>
      <c r="T45105" s="27"/>
      <c r="U45105" s="27"/>
    </row>
    <row r="45106">
      <c r="S45106" s="27"/>
      <c r="T45106" s="27"/>
      <c r="U45106" s="27"/>
    </row>
    <row r="45108">
      <c r="S45108" s="27"/>
      <c r="T45108" s="27"/>
      <c r="U45108" s="27"/>
    </row>
    <row r="45109">
      <c r="S45109" s="27"/>
      <c r="T45109" s="27"/>
      <c r="U45109" s="27"/>
    </row>
    <row r="45111">
      <c r="S45111" s="27"/>
      <c r="T45111" s="27"/>
      <c r="U45111" s="27"/>
    </row>
    <row r="45114">
      <c r="S45114" s="33"/>
      <c r="T45114" s="33"/>
      <c r="U45114" s="27"/>
    </row>
    <row r="45117">
      <c r="S45117" s="27"/>
      <c r="T45117" s="27"/>
      <c r="U45117" s="27"/>
    </row>
    <row r="45118">
      <c r="S45118" s="27"/>
      <c r="T45118" s="27"/>
      <c r="U45118" s="27"/>
    </row>
    <row r="45120">
      <c r="S45120" s="27"/>
      <c r="T45120" s="27"/>
      <c r="U45120" s="27"/>
    </row>
    <row r="45121">
      <c r="S45121" s="27"/>
      <c r="T45121" s="27"/>
      <c r="U45121" s="27"/>
    </row>
    <row r="45123">
      <c r="S45123" s="27"/>
      <c r="T45123" s="27"/>
      <c r="U45123" s="27"/>
    </row>
    <row r="45124">
      <c r="S45124" s="27"/>
      <c r="T45124" s="27"/>
      <c r="U45124" s="27"/>
    </row>
    <row r="45126">
      <c r="S45126" s="26"/>
      <c r="T45126" s="26"/>
      <c r="U45126" s="26"/>
    </row>
    <row r="45129">
      <c r="S45129" s="27"/>
      <c r="T45129" s="27"/>
      <c r="U45129" s="27"/>
    </row>
    <row r="45130">
      <c r="S45130" s="27"/>
      <c r="T45130" s="27"/>
      <c r="U45130" s="27"/>
    </row>
    <row r="45132">
      <c r="S45132" s="27"/>
      <c r="T45132" s="27"/>
      <c r="U45132" s="27"/>
    </row>
    <row r="45133">
      <c r="S45133" s="27"/>
      <c r="T45133" s="27"/>
      <c r="U45133" s="27"/>
    </row>
    <row r="45135">
      <c r="S45135" s="27"/>
      <c r="T45135" s="27"/>
      <c r="U45135" s="27"/>
    </row>
    <row r="45136">
      <c r="S45136" s="27"/>
      <c r="T45136" s="27"/>
      <c r="U45136" s="27"/>
    </row>
    <row r="45138">
      <c r="S45138" s="27"/>
      <c r="U45138" s="27"/>
    </row>
    <row r="45141">
      <c r="S45141" s="26"/>
      <c r="T45141" s="26"/>
    </row>
    <row r="45144">
      <c r="S45144" s="27"/>
      <c r="T45144" s="27"/>
      <c r="U45144" s="27"/>
    </row>
    <row r="45145">
      <c r="S45145" s="27"/>
      <c r="T45145" s="27"/>
      <c r="U45145" s="27"/>
    </row>
    <row r="45147">
      <c r="S45147" s="27"/>
      <c r="T45147" s="27"/>
      <c r="U45147" s="27"/>
    </row>
    <row r="45148">
      <c r="S45148" s="27"/>
      <c r="T45148" s="27"/>
      <c r="U45148" s="27"/>
    </row>
    <row r="45150">
      <c r="S45150" s="27"/>
      <c r="T45150" s="27"/>
      <c r="U45150" s="27"/>
    </row>
    <row r="45153">
      <c r="S45153" s="27"/>
    </row>
    <row r="45156">
      <c r="S45156" s="27"/>
      <c r="T45156" s="27"/>
      <c r="U45156" s="27"/>
    </row>
    <row r="45159">
      <c r="S45159" s="27"/>
      <c r="T45159" s="27"/>
      <c r="U45159" s="27"/>
    </row>
    <row r="45160">
      <c r="S45160" s="27"/>
      <c r="T45160" s="27"/>
      <c r="U45160" s="27"/>
    </row>
    <row r="45162">
      <c r="S45162" s="27"/>
      <c r="T45162" s="27"/>
      <c r="U45162" s="27"/>
    </row>
    <row r="45163">
      <c r="S45163" s="27"/>
      <c r="T45163" s="27"/>
      <c r="U45163" s="27"/>
    </row>
    <row r="45165">
      <c r="S45165" s="27"/>
      <c r="T45165" s="27"/>
      <c r="U45165" s="27"/>
    </row>
    <row r="45166">
      <c r="S45166" s="27"/>
      <c r="T45166" s="27"/>
      <c r="U45166" s="27"/>
    </row>
    <row r="45168">
      <c r="S45168" s="27"/>
      <c r="T45168" s="27"/>
      <c r="U45168" s="27"/>
    </row>
    <row r="45169">
      <c r="S45169" s="27"/>
      <c r="T45169" s="27"/>
      <c r="U45169" s="27"/>
    </row>
    <row r="45171">
      <c r="S45171" s="27"/>
      <c r="T45171" s="27"/>
      <c r="U45171" s="27"/>
    </row>
    <row r="45172">
      <c r="S45172" s="27"/>
      <c r="T45172" s="27"/>
      <c r="U45172" s="27"/>
    </row>
    <row r="45174">
      <c r="S45174" s="27"/>
      <c r="T45174" s="27"/>
      <c r="U45174" s="27"/>
    </row>
    <row r="45175">
      <c r="S45175" s="27"/>
      <c r="T45175" s="27"/>
      <c r="U45175" s="27"/>
    </row>
    <row r="45177">
      <c r="S45177" s="27"/>
      <c r="T45177" s="27"/>
      <c r="U45177" s="27"/>
    </row>
    <row r="45178">
      <c r="S45178" s="27"/>
      <c r="T45178" s="27"/>
      <c r="U45178" s="27"/>
    </row>
    <row r="45180">
      <c r="S45180" s="27"/>
      <c r="T45180" s="27"/>
      <c r="U45180" s="27"/>
    </row>
    <row r="45181">
      <c r="S45181" s="27"/>
      <c r="T45181" s="27"/>
      <c r="U45181" s="27"/>
    </row>
    <row r="45183">
      <c r="S45183" s="27"/>
      <c r="T45183" s="27"/>
      <c r="U45183" s="27"/>
    </row>
    <row r="45184">
      <c r="S45184" s="27"/>
      <c r="T45184" s="27"/>
      <c r="U45184" s="27"/>
    </row>
    <row r="45186">
      <c r="S45186" s="27"/>
      <c r="T45186" s="27"/>
      <c r="U45186" s="27"/>
    </row>
    <row r="45187">
      <c r="S45187" s="27"/>
      <c r="T45187" s="27"/>
      <c r="U45187" s="27"/>
    </row>
    <row r="45189">
      <c r="S45189" s="27"/>
      <c r="T45189" s="27"/>
      <c r="U45189" s="27"/>
    </row>
    <row r="45190">
      <c r="S45190" s="27"/>
      <c r="T45190" s="27"/>
      <c r="U45190" s="27"/>
    </row>
    <row r="45192">
      <c r="S45192" s="27"/>
      <c r="T45192" s="27"/>
      <c r="U45192" s="27"/>
    </row>
    <row r="45193">
      <c r="S45193" s="27"/>
      <c r="T45193" s="27"/>
      <c r="U45193" s="27"/>
    </row>
    <row r="45195">
      <c r="S45195" s="27"/>
      <c r="T45195" s="27"/>
      <c r="U45195" s="27"/>
    </row>
    <row r="45196">
      <c r="S45196" s="27"/>
      <c r="T45196" s="27"/>
      <c r="U45196" s="27"/>
    </row>
    <row r="45198">
      <c r="S45198" s="27"/>
      <c r="T45198" s="27"/>
      <c r="U45198" s="27"/>
    </row>
    <row r="45199">
      <c r="S45199" s="27"/>
      <c r="T45199" s="27"/>
      <c r="U45199" s="27"/>
    </row>
    <row r="45201">
      <c r="S45201" s="27"/>
      <c r="T45201" s="27"/>
      <c r="U45201" s="27"/>
    </row>
    <row r="45202">
      <c r="S45202" s="27"/>
      <c r="T45202" s="27"/>
      <c r="U45202" s="27"/>
    </row>
    <row r="45204">
      <c r="S45204" s="27"/>
      <c r="T45204" s="27"/>
      <c r="U45204" s="27"/>
    </row>
    <row r="45205">
      <c r="S45205" s="27"/>
      <c r="T45205" s="27"/>
      <c r="U45205" s="27"/>
    </row>
    <row r="45207">
      <c r="S45207" s="27"/>
      <c r="T45207" s="27"/>
      <c r="U45207" s="27"/>
    </row>
    <row r="45208">
      <c r="S45208" s="27"/>
      <c r="T45208" s="27"/>
      <c r="U45208" s="27"/>
    </row>
    <row r="45210">
      <c r="S45210" s="27"/>
      <c r="T45210" s="27"/>
      <c r="U45210" s="27"/>
    </row>
    <row r="45211">
      <c r="S45211" s="27"/>
      <c r="T45211" s="27"/>
      <c r="U45211" s="27"/>
    </row>
    <row r="45213">
      <c r="S45213" s="27"/>
      <c r="T45213" s="27"/>
      <c r="U45213" s="27"/>
    </row>
    <row r="45214">
      <c r="S45214" s="27"/>
      <c r="T45214" s="27"/>
      <c r="U45214" s="27"/>
    </row>
    <row r="45216">
      <c r="S45216" s="27"/>
      <c r="T45216" s="27"/>
      <c r="U45216" s="27"/>
    </row>
    <row r="45217">
      <c r="S45217" s="27"/>
      <c r="T45217" s="27"/>
      <c r="U45217" s="27"/>
    </row>
    <row r="45219">
      <c r="S45219" s="27"/>
      <c r="T45219" s="27"/>
      <c r="U45219" s="27"/>
    </row>
    <row r="45220">
      <c r="S45220" s="27"/>
      <c r="T45220" s="27"/>
      <c r="U45220" s="27"/>
    </row>
    <row r="45222">
      <c r="S45222" s="27"/>
      <c r="T45222" s="27"/>
      <c r="U45222" s="27"/>
    </row>
    <row r="45223">
      <c r="S45223" s="27"/>
      <c r="T45223" s="27"/>
      <c r="U45223" s="27"/>
    </row>
    <row r="45225">
      <c r="S45225" s="27"/>
      <c r="T45225" s="27"/>
      <c r="U45225" s="27"/>
    </row>
    <row r="45226">
      <c r="S45226" s="27"/>
      <c r="T45226" s="27"/>
      <c r="U45226" s="27"/>
    </row>
    <row r="45228">
      <c r="S45228" s="27"/>
      <c r="T45228" s="27"/>
      <c r="U45228" s="27"/>
    </row>
    <row r="45229">
      <c r="S45229" s="27"/>
      <c r="T45229" s="27"/>
      <c r="U45229" s="27"/>
    </row>
    <row r="45231">
      <c r="S45231" s="27"/>
      <c r="T45231" s="27"/>
      <c r="U45231" s="27"/>
    </row>
    <row r="45232">
      <c r="S45232" s="27"/>
      <c r="T45232" s="27"/>
      <c r="U45232" s="27"/>
    </row>
    <row r="45234">
      <c r="S45234" s="27"/>
      <c r="T45234" s="27"/>
      <c r="U45234" s="27"/>
    </row>
    <row r="45235">
      <c r="S45235" s="27"/>
      <c r="T45235" s="27"/>
      <c r="U45235" s="27"/>
    </row>
    <row r="45237">
      <c r="S45237" s="27"/>
      <c r="T45237" s="27"/>
      <c r="U45237" s="27"/>
    </row>
    <row r="45238">
      <c r="T45238" s="27"/>
      <c r="U45238" s="27"/>
    </row>
    <row r="45240">
      <c r="S45240" s="27"/>
      <c r="T45240" s="27"/>
      <c r="U45240" s="27"/>
    </row>
    <row r="45241">
      <c r="S45241" s="27"/>
      <c r="T45241" s="26"/>
      <c r="U45241" s="26"/>
    </row>
    <row r="45243">
      <c r="S45243" s="27"/>
      <c r="T45243" s="27"/>
      <c r="U45243" s="27"/>
    </row>
    <row r="45244">
      <c r="S45244" s="27"/>
      <c r="T45244" s="27"/>
      <c r="U45244" s="27"/>
    </row>
    <row r="45246">
      <c r="S45246" s="27"/>
      <c r="T45246" s="27"/>
      <c r="U45246" s="27"/>
    </row>
    <row r="45247">
      <c r="S45247" s="26"/>
      <c r="T45247" s="26"/>
      <c r="U45247" s="26"/>
    </row>
    <row r="45249">
      <c r="T45249" s="27"/>
      <c r="U45249" s="27"/>
    </row>
    <row r="45250">
      <c r="S45250" s="27"/>
      <c r="T45250" s="27"/>
      <c r="U45250" s="27"/>
    </row>
    <row r="45252">
      <c r="S45252" s="27"/>
      <c r="T45252" s="27"/>
      <c r="U45252" s="27"/>
    </row>
    <row r="45253">
      <c r="S45253" s="27"/>
      <c r="T45253" s="27"/>
      <c r="U45253" s="27"/>
    </row>
    <row r="45255">
      <c r="S45255" s="27"/>
      <c r="T45255" s="27"/>
      <c r="U45255" s="27"/>
    </row>
    <row r="45256">
      <c r="S45256" s="27"/>
      <c r="T45256" s="27"/>
      <c r="U45256" s="27"/>
    </row>
    <row r="45258">
      <c r="T45258" s="26"/>
    </row>
    <row r="45264">
      <c r="S45264" s="27"/>
      <c r="T45264" s="27"/>
      <c r="U45264" s="27"/>
    </row>
    <row r="45268">
      <c r="S45268" s="26"/>
      <c r="T45268" s="26"/>
      <c r="U45268" s="26"/>
    </row>
    <row r="45271">
      <c r="S45271" s="27"/>
      <c r="T45271" s="27"/>
      <c r="U45271" s="27"/>
    </row>
    <row r="45274">
      <c r="S45274" s="27"/>
      <c r="T45274" s="27"/>
      <c r="U45274" s="27"/>
    </row>
    <row r="45275">
      <c r="S45275" s="27"/>
      <c r="T45275" s="27"/>
      <c r="U45275" s="27"/>
    </row>
    <row r="45277">
      <c r="S45277" s="27"/>
      <c r="T45277" s="27"/>
      <c r="U45277" s="27"/>
    </row>
    <row r="45278">
      <c r="S45278" s="27"/>
      <c r="T45278" s="27"/>
      <c r="U45278" s="27"/>
    </row>
    <row r="45280">
      <c r="S45280" s="27"/>
      <c r="U45280" s="27"/>
    </row>
    <row r="45283">
      <c r="S45283" s="27"/>
      <c r="T45283" s="27"/>
      <c r="U45283" s="27"/>
    </row>
    <row r="45284">
      <c r="S45284" s="26"/>
      <c r="T45284" s="27"/>
      <c r="U45284" s="27"/>
    </row>
    <row r="45286">
      <c r="S45286" s="27"/>
      <c r="T45286" s="27"/>
      <c r="U45286" s="27"/>
    </row>
    <row r="45287">
      <c r="S45287" s="27"/>
      <c r="T45287" s="27"/>
      <c r="U45287" s="27"/>
    </row>
    <row r="45292">
      <c r="S45292" s="27"/>
      <c r="T45292" s="27"/>
      <c r="U45292" s="27"/>
    </row>
    <row r="45293">
      <c r="S45293" s="27"/>
      <c r="T45293" s="27"/>
      <c r="U45293" s="27"/>
    </row>
    <row r="45295">
      <c r="S45295" s="27"/>
      <c r="T45295" s="27"/>
      <c r="U45295" s="27"/>
    </row>
    <row r="45296">
      <c r="S45296" s="27"/>
      <c r="T45296" s="27"/>
      <c r="U45296" s="27"/>
    </row>
    <row r="45298">
      <c r="S45298" s="27"/>
      <c r="T45298" s="27"/>
      <c r="U45298" s="27"/>
    </row>
    <row r="45299">
      <c r="S45299" s="27"/>
      <c r="T45299" s="27"/>
      <c r="U45299" s="27"/>
    </row>
    <row r="45301">
      <c r="S45301" s="33"/>
      <c r="T45301" s="33"/>
      <c r="U45301" s="27"/>
    </row>
    <row r="45304">
      <c r="S45304" s="27"/>
      <c r="T45304" s="27"/>
      <c r="U45304" s="27"/>
    </row>
    <row r="45305">
      <c r="S45305" s="27"/>
      <c r="T45305" s="27"/>
      <c r="U45305" s="27"/>
    </row>
    <row r="45307">
      <c r="S45307" s="27"/>
      <c r="T45307" s="27"/>
      <c r="U45307" s="27"/>
    </row>
    <row r="45310">
      <c r="S45310" s="27"/>
      <c r="T45310" s="27"/>
      <c r="U45310" s="33"/>
    </row>
    <row r="45311">
      <c r="S45311" s="33"/>
      <c r="T45311" s="33"/>
      <c r="U45311" s="33"/>
    </row>
    <row r="45313">
      <c r="T45313" s="27"/>
      <c r="U45313" s="27"/>
    </row>
    <row r="45314">
      <c r="S45314" s="26"/>
    </row>
    <row r="45316">
      <c r="S45316" s="27"/>
      <c r="T45316" s="27"/>
      <c r="U45316" s="27"/>
    </row>
    <row r="45317">
      <c r="S45317" s="27"/>
      <c r="T45317" s="27"/>
      <c r="U45317" s="27"/>
    </row>
    <row r="45319">
      <c r="S45319" s="27"/>
      <c r="T45319" s="27"/>
      <c r="U45319" s="27"/>
    </row>
    <row r="45320">
      <c r="S45320" s="27"/>
      <c r="T45320" s="27"/>
      <c r="U45320" s="27"/>
    </row>
    <row r="45322">
      <c r="S45322" s="27"/>
      <c r="T45322" s="27"/>
      <c r="U45322" s="27"/>
    </row>
    <row r="45323">
      <c r="S45323" s="27"/>
      <c r="T45323" s="27"/>
      <c r="U45323" s="27"/>
    </row>
    <row r="45325">
      <c r="S45325" s="27"/>
      <c r="T45325" s="27"/>
      <c r="U45325" s="27"/>
    </row>
    <row r="45326">
      <c r="S45326" s="27"/>
      <c r="T45326" s="27"/>
      <c r="U45326" s="27"/>
    </row>
    <row r="45328">
      <c r="S45328" s="26"/>
      <c r="T45328" s="26"/>
    </row>
    <row r="45331">
      <c r="S45331" s="27"/>
      <c r="T45331" s="27"/>
      <c r="U45331" s="27"/>
    </row>
    <row r="45332">
      <c r="S45332" s="27"/>
      <c r="T45332" s="27"/>
      <c r="U45332" s="27"/>
    </row>
    <row r="45334">
      <c r="S45334" s="27"/>
      <c r="T45334" s="27"/>
      <c r="U45334" s="27"/>
    </row>
    <row r="45335">
      <c r="S45335" s="27"/>
      <c r="T45335" s="27"/>
      <c r="U45335" s="27"/>
    </row>
    <row r="45337">
      <c r="S45337" s="27"/>
      <c r="T45337" s="27"/>
      <c r="U45337" s="34"/>
    </row>
    <row r="45340">
      <c r="T45340" s="27"/>
      <c r="U45340" s="27"/>
    </row>
    <row r="45341">
      <c r="S45341" s="27"/>
      <c r="T45341" s="27"/>
      <c r="U45341" s="27"/>
    </row>
    <row r="45343">
      <c r="S45343" s="27"/>
    </row>
    <row r="45344">
      <c r="S45344" s="27"/>
    </row>
    <row r="45346">
      <c r="S45346" s="27"/>
      <c r="T45346" s="27"/>
      <c r="U45346" s="27"/>
    </row>
    <row r="45347">
      <c r="S45347" s="27"/>
      <c r="T45347" s="27"/>
      <c r="U45347" s="27"/>
    </row>
    <row r="45349">
      <c r="S45349" s="27"/>
      <c r="T45349" s="27"/>
      <c r="U45349" s="27"/>
    </row>
    <row r="45352">
      <c r="S45352" s="27"/>
      <c r="T45352" s="27"/>
      <c r="U45352" s="27"/>
    </row>
    <row r="45353">
      <c r="S45353" s="27"/>
      <c r="T45353" s="27"/>
      <c r="U45353" s="27"/>
    </row>
    <row r="45355">
      <c r="S45355" s="27"/>
      <c r="T45355" s="27"/>
      <c r="U45355" s="27"/>
    </row>
    <row r="45358">
      <c r="S45358" s="27"/>
      <c r="T45358" s="27"/>
      <c r="U45358" s="27"/>
    </row>
    <row r="45361">
      <c r="S45361" s="27"/>
      <c r="T45361" s="27"/>
      <c r="U45361" s="27"/>
    </row>
    <row r="45362">
      <c r="S45362" s="27"/>
      <c r="T45362" s="27"/>
      <c r="U45362" s="27"/>
    </row>
    <row r="45364">
      <c r="S45364" s="27"/>
      <c r="T45364" s="27"/>
      <c r="U45364" s="27"/>
    </row>
    <row r="45365">
      <c r="S45365" s="27"/>
      <c r="T45365" s="27"/>
      <c r="U45365" s="27"/>
    </row>
    <row r="45367">
      <c r="S45367" s="27"/>
      <c r="T45367" s="27"/>
      <c r="U45367" s="27"/>
    </row>
    <row r="45368">
      <c r="S45368" s="27"/>
      <c r="T45368" s="27"/>
      <c r="U45368" s="27"/>
    </row>
    <row r="45370">
      <c r="S45370" s="26"/>
    </row>
    <row r="45371">
      <c r="T45371" s="26"/>
      <c r="U45371" s="26"/>
    </row>
    <row r="45373">
      <c r="S45373" s="27"/>
      <c r="T45373" s="27"/>
      <c r="U45373" s="27"/>
    </row>
    <row r="45374">
      <c r="S45374" s="27"/>
      <c r="T45374" s="27"/>
      <c r="U45374" s="27"/>
    </row>
    <row r="45376">
      <c r="S45376" s="27"/>
      <c r="T45376" s="27"/>
      <c r="U45376" s="27"/>
    </row>
    <row r="45377">
      <c r="S45377" s="27"/>
      <c r="T45377" s="27"/>
      <c r="U45377" s="27"/>
    </row>
    <row r="45379">
      <c r="S45379" s="27"/>
      <c r="T45379" s="27"/>
      <c r="U45379" s="27"/>
    </row>
    <row r="45380">
      <c r="S45380" s="27"/>
      <c r="T45380" s="27"/>
      <c r="U45380" s="27"/>
    </row>
    <row r="45382">
      <c r="S45382" s="27"/>
      <c r="T45382" s="27"/>
      <c r="U45382" s="27"/>
    </row>
    <row r="45383">
      <c r="S45383" s="27"/>
      <c r="T45383" s="27"/>
      <c r="U45383" s="27"/>
    </row>
    <row r="45385">
      <c r="S45385" s="27"/>
      <c r="T45385" s="27"/>
      <c r="U45385" s="27"/>
    </row>
    <row r="45386">
      <c r="S45386" s="27"/>
      <c r="T45386" s="27"/>
      <c r="U45386" s="27"/>
    </row>
    <row r="45388">
      <c r="S45388" s="27"/>
      <c r="T45388" s="27"/>
      <c r="U45388" s="27"/>
    </row>
    <row r="45389">
      <c r="S45389" s="27"/>
      <c r="T45389" s="27"/>
      <c r="U45389" s="27"/>
    </row>
    <row r="45391">
      <c r="S45391" s="27"/>
      <c r="T45391" s="27"/>
      <c r="U45391" s="27"/>
    </row>
    <row r="45392">
      <c r="S45392" s="27"/>
      <c r="T45392" s="27"/>
      <c r="U45392" s="27"/>
    </row>
    <row r="45394">
      <c r="S45394" s="27"/>
      <c r="T45394" s="27"/>
      <c r="U45394" s="27"/>
    </row>
    <row r="45395">
      <c r="S45395" s="27"/>
      <c r="T45395" s="27"/>
      <c r="U45395" s="27"/>
    </row>
    <row r="45397">
      <c r="S45397" s="27"/>
      <c r="T45397" s="27"/>
      <c r="U45397" s="27"/>
    </row>
    <row r="45398">
      <c r="S45398" s="27"/>
      <c r="T45398" s="27"/>
      <c r="U45398" s="27"/>
    </row>
    <row r="45400">
      <c r="S45400" s="27"/>
      <c r="T45400" s="27"/>
      <c r="U45400" s="27"/>
    </row>
    <row r="45401">
      <c r="S45401" s="27"/>
      <c r="T45401" s="27"/>
      <c r="U45401" s="27"/>
    </row>
    <row r="45403">
      <c r="S45403" s="27"/>
      <c r="T45403" s="27"/>
      <c r="U45403" s="27"/>
    </row>
    <row r="45404">
      <c r="S45404" s="27"/>
      <c r="T45404" s="27"/>
      <c r="U45404" s="27"/>
    </row>
    <row r="45406">
      <c r="S45406" s="27"/>
      <c r="T45406" s="27"/>
      <c r="U45406" s="27"/>
    </row>
    <row r="45407">
      <c r="S45407" s="27"/>
      <c r="T45407" s="27"/>
      <c r="U45407" s="27"/>
    </row>
    <row r="45409">
      <c r="S45409" s="27"/>
      <c r="T45409" s="27"/>
      <c r="U45409" s="27"/>
    </row>
    <row r="45410">
      <c r="S45410" s="27"/>
      <c r="T45410" s="27"/>
      <c r="U45410" s="27"/>
    </row>
    <row r="45412">
      <c r="S45412" s="27"/>
      <c r="T45412" s="27"/>
      <c r="U45412" s="27"/>
    </row>
    <row r="45413">
      <c r="S45413" s="27"/>
      <c r="T45413" s="27"/>
      <c r="U45413" s="27"/>
    </row>
    <row r="45415">
      <c r="S45415" s="27"/>
      <c r="T45415" s="27"/>
      <c r="U45415" s="27"/>
    </row>
    <row r="45416">
      <c r="S45416" s="27"/>
      <c r="T45416" s="27"/>
      <c r="U45416" s="27"/>
    </row>
    <row r="45418">
      <c r="S45418" s="27"/>
      <c r="T45418" s="27"/>
      <c r="U45418" s="27"/>
    </row>
    <row r="45419">
      <c r="S45419" s="27"/>
      <c r="T45419" s="27"/>
      <c r="U45419" s="27"/>
    </row>
    <row r="45421">
      <c r="S45421" s="27"/>
      <c r="T45421" s="27"/>
      <c r="U45421" s="27"/>
    </row>
    <row r="45422">
      <c r="S45422" s="27"/>
      <c r="T45422" s="27"/>
      <c r="U45422" s="27"/>
    </row>
    <row r="45424">
      <c r="S45424" s="27"/>
      <c r="T45424" s="27"/>
      <c r="U45424" s="27"/>
    </row>
    <row r="45425">
      <c r="S45425" s="27"/>
      <c r="T45425" s="27"/>
      <c r="U45425" s="27"/>
    </row>
    <row r="45427">
      <c r="S45427" s="27"/>
      <c r="T45427" s="27"/>
      <c r="U45427" s="27"/>
    </row>
    <row r="45428">
      <c r="S45428" s="27"/>
      <c r="T45428" s="27"/>
      <c r="U45428" s="27"/>
    </row>
    <row r="45430">
      <c r="S45430" s="27"/>
      <c r="T45430" s="27"/>
      <c r="U45430" s="27"/>
    </row>
    <row r="45431">
      <c r="S45431" s="27"/>
      <c r="T45431" s="27"/>
      <c r="U45431" s="27"/>
    </row>
    <row r="45433">
      <c r="S45433" s="27"/>
      <c r="T45433" s="27"/>
      <c r="U45433" s="27"/>
    </row>
    <row r="45434">
      <c r="S45434" s="27"/>
      <c r="T45434" s="27"/>
      <c r="U45434" s="27"/>
    </row>
    <row r="45436">
      <c r="S45436" s="27"/>
      <c r="T45436" s="27"/>
      <c r="U45436" s="27"/>
    </row>
    <row r="45437">
      <c r="S45437" s="27"/>
      <c r="T45437" s="27"/>
      <c r="U45437" s="27"/>
    </row>
    <row r="45439">
      <c r="S45439" s="27"/>
      <c r="T45439" s="27"/>
      <c r="U45439" s="27"/>
    </row>
    <row r="45440">
      <c r="S45440" s="27"/>
      <c r="T45440" s="27"/>
      <c r="U45440" s="27"/>
    </row>
    <row r="45442">
      <c r="S45442" s="27"/>
      <c r="T45442" s="27"/>
      <c r="U45442" s="27"/>
    </row>
    <row r="45443">
      <c r="S45443" s="27"/>
      <c r="T45443" s="27"/>
      <c r="U45443" s="27"/>
    </row>
    <row r="45445">
      <c r="S45445" s="27"/>
      <c r="T45445" s="27"/>
      <c r="U45445" s="27"/>
    </row>
    <row r="45446">
      <c r="S45446" s="27"/>
      <c r="T45446" s="27"/>
      <c r="U45446" s="27"/>
    </row>
    <row r="45448">
      <c r="S45448" s="27"/>
      <c r="T45448" s="27"/>
      <c r="U45448" s="27"/>
    </row>
    <row r="45449">
      <c r="S45449" s="27"/>
      <c r="T45449" s="27"/>
      <c r="U45449" s="27"/>
    </row>
    <row r="45451">
      <c r="S45451" s="27"/>
      <c r="T45451" s="27"/>
      <c r="U45451" s="27"/>
    </row>
    <row r="45452">
      <c r="S45452" s="27"/>
      <c r="T45452" s="27"/>
      <c r="U45452" s="27"/>
    </row>
    <row r="45454">
      <c r="S45454" s="27"/>
      <c r="T45454" s="27"/>
      <c r="U45454" s="27"/>
    </row>
    <row r="45455">
      <c r="S45455" s="27"/>
      <c r="T45455" s="27"/>
      <c r="U45455" s="27"/>
    </row>
    <row r="45457">
      <c r="S45457" s="27"/>
      <c r="T45457" s="27"/>
      <c r="U45457" s="27"/>
    </row>
    <row r="45458">
      <c r="S45458" s="27"/>
      <c r="T45458" s="27"/>
      <c r="U45458" s="27"/>
    </row>
    <row r="45460">
      <c r="S45460" s="27"/>
      <c r="T45460" s="27"/>
      <c r="U45460" s="27"/>
    </row>
    <row r="45461">
      <c r="S45461" s="27"/>
      <c r="T45461" s="27"/>
      <c r="U45461" s="27"/>
    </row>
    <row r="45463">
      <c r="S45463" s="27"/>
      <c r="T45463" s="27"/>
      <c r="U45463" s="27"/>
    </row>
    <row r="45464">
      <c r="S45464" s="27"/>
      <c r="T45464" s="27"/>
      <c r="U45464" s="27"/>
    </row>
    <row r="45466">
      <c r="S45466" s="27"/>
      <c r="T45466" s="27"/>
      <c r="U45466" s="27"/>
    </row>
    <row r="45467">
      <c r="S45467" s="27"/>
      <c r="T45467" s="27"/>
      <c r="U45467" s="27"/>
    </row>
    <row r="45469">
      <c r="S45469" s="27"/>
      <c r="T45469" s="27"/>
      <c r="U45469" s="27"/>
    </row>
    <row r="45471">
      <c r="T45471" s="27"/>
      <c r="U45471" s="27"/>
    </row>
    <row r="45472">
      <c r="S45472" s="27"/>
      <c r="T45472" s="27"/>
      <c r="U45472" s="27"/>
    </row>
    <row r="45474">
      <c r="S45474" s="27"/>
      <c r="T45474" s="27"/>
      <c r="U45474" s="27"/>
    </row>
    <row r="45475">
      <c r="S45475" s="27"/>
      <c r="T45475" s="27"/>
      <c r="U45475" s="27"/>
    </row>
    <row r="45477">
      <c r="S45477" s="27"/>
      <c r="T45477" s="27"/>
      <c r="U45477" s="27"/>
    </row>
    <row r="45478">
      <c r="S45478" s="27"/>
      <c r="T45478" s="27"/>
      <c r="U45478" s="27"/>
    </row>
    <row r="45480">
      <c r="S45480" s="27"/>
      <c r="T45480" s="27"/>
      <c r="U45480" s="27"/>
    </row>
    <row r="45481">
      <c r="S45481" s="27"/>
      <c r="T45481" s="27"/>
      <c r="U45481" s="27"/>
    </row>
    <row r="45483">
      <c r="S45483" s="27"/>
      <c r="T45483" s="27"/>
      <c r="U45483" s="27"/>
    </row>
    <row r="45484">
      <c r="S45484" s="27"/>
      <c r="T45484" s="27"/>
      <c r="U45484" s="27"/>
    </row>
    <row r="45486">
      <c r="S45486" s="27"/>
      <c r="T45486" s="27"/>
      <c r="U45486" s="27"/>
    </row>
    <row r="45487">
      <c r="S45487" s="27"/>
      <c r="T45487" s="27"/>
      <c r="U45487" s="27"/>
    </row>
    <row r="45489">
      <c r="S45489" s="27"/>
      <c r="T45489" s="27"/>
      <c r="U45489" s="27"/>
    </row>
    <row r="45490">
      <c r="S45490" s="27"/>
      <c r="T45490" s="27"/>
      <c r="U45490" s="27"/>
    </row>
    <row r="45492">
      <c r="S45492" s="27"/>
      <c r="T45492" s="27"/>
      <c r="U45492" s="27"/>
    </row>
    <row r="45494">
      <c r="S45494" s="27"/>
      <c r="T45494" s="27"/>
      <c r="U45494" s="27"/>
    </row>
    <row r="45496">
      <c r="T45496" s="27"/>
      <c r="U45496" s="27"/>
    </row>
    <row r="45498">
      <c r="S45498" s="27"/>
      <c r="T45498" s="27"/>
      <c r="U45498" s="27"/>
    </row>
    <row r="45500">
      <c r="T45500" s="27"/>
      <c r="U45500" s="27"/>
    </row>
    <row r="45501">
      <c r="S45501" s="27"/>
      <c r="T45501" s="27"/>
      <c r="U45501" s="27"/>
    </row>
    <row r="45503">
      <c r="S45503" s="27"/>
      <c r="T45503" s="27"/>
      <c r="U45503" s="27"/>
    </row>
    <row r="45504">
      <c r="S45504" s="27"/>
      <c r="T45504" s="27"/>
      <c r="U45504" s="27"/>
    </row>
    <row r="45506">
      <c r="S45506" s="27"/>
      <c r="T45506" s="27"/>
      <c r="U45506" s="27"/>
    </row>
    <row r="45507">
      <c r="S45507" s="27"/>
      <c r="T45507" s="27"/>
      <c r="U45507" s="27"/>
    </row>
    <row r="45509">
      <c r="S45509" s="27"/>
      <c r="T45509" s="27"/>
      <c r="U45509" s="27"/>
    </row>
    <row r="45510">
      <c r="S45510" s="27"/>
      <c r="T45510" s="27"/>
      <c r="U45510" s="27"/>
    </row>
    <row r="45512">
      <c r="S45512" s="27"/>
      <c r="T45512" s="27"/>
      <c r="U45512" s="27"/>
    </row>
    <row r="45513">
      <c r="S45513" s="27"/>
      <c r="T45513" s="27"/>
      <c r="U45513" s="27"/>
    </row>
    <row r="45515">
      <c r="S45515" s="27"/>
      <c r="T45515" s="27"/>
      <c r="U45515" s="27"/>
    </row>
    <row r="45516">
      <c r="S45516" s="27"/>
      <c r="T45516" s="27"/>
      <c r="U45516" s="27"/>
    </row>
    <row r="45518">
      <c r="S45518" s="27"/>
      <c r="T45518" s="27"/>
      <c r="U45518" s="27"/>
    </row>
    <row r="45519">
      <c r="S45519" s="27"/>
      <c r="T45519" s="27"/>
      <c r="U45519" s="27"/>
    </row>
    <row r="45521">
      <c r="S45521" s="26"/>
      <c r="T45521" s="26"/>
      <c r="U45521" s="26"/>
    </row>
    <row r="45524">
      <c r="S45524" s="33"/>
      <c r="T45524" s="33"/>
      <c r="U45524" s="33"/>
    </row>
    <row r="45525">
      <c r="S45525" s="26"/>
      <c r="T45525" s="26"/>
      <c r="U45525" s="26"/>
    </row>
    <row r="45527">
      <c r="S45527" s="27"/>
      <c r="T45527" s="27"/>
      <c r="U45527" s="27"/>
    </row>
    <row r="45528">
      <c r="S45528" s="27"/>
      <c r="T45528" s="27"/>
      <c r="U45528" s="27"/>
    </row>
    <row r="45530">
      <c r="S45530" s="27"/>
      <c r="T45530" s="27"/>
      <c r="U45530" s="27"/>
    </row>
    <row r="45531">
      <c r="S45531" s="27"/>
      <c r="T45531" s="27"/>
      <c r="U45531" s="27"/>
    </row>
    <row r="45533">
      <c r="S45533" s="27"/>
      <c r="T45533" s="27"/>
      <c r="U45533" s="27"/>
    </row>
    <row r="45534">
      <c r="S45534" s="27"/>
      <c r="T45534" s="27"/>
      <c r="U45534" s="27"/>
    </row>
    <row r="45539">
      <c r="S45539" s="27"/>
      <c r="T45539" s="27"/>
      <c r="U45539" s="27"/>
    </row>
    <row r="45540">
      <c r="S45540" s="27"/>
      <c r="T45540" s="27"/>
      <c r="U45540" s="27"/>
    </row>
    <row r="45542">
      <c r="S45542" s="27"/>
      <c r="T45542" s="27"/>
      <c r="U45542" s="27"/>
    </row>
    <row r="45543">
      <c r="S45543" s="27"/>
      <c r="T45543" s="27"/>
      <c r="U45543" s="27"/>
    </row>
    <row r="45545">
      <c r="S45545" s="27"/>
      <c r="T45545" s="27"/>
      <c r="U45545" s="27"/>
    </row>
    <row r="45546">
      <c r="S45546" s="27"/>
      <c r="T45546" s="27"/>
      <c r="U45546" s="27"/>
    </row>
    <row r="45551">
      <c r="S45551" s="26"/>
      <c r="T45551" s="26"/>
      <c r="U45551" s="26"/>
    </row>
    <row r="45552">
      <c r="S45552" s="26"/>
      <c r="T45552" s="26"/>
      <c r="U45552" s="26"/>
    </row>
    <row r="45554">
      <c r="S45554" s="27"/>
      <c r="T45554" s="27"/>
      <c r="U45554" s="27"/>
    </row>
    <row r="45555">
      <c r="S45555" s="27"/>
      <c r="T45555" s="27"/>
      <c r="U45555" s="27"/>
    </row>
    <row r="45557">
      <c r="S45557" s="27"/>
      <c r="T45557" s="27"/>
      <c r="U45557" s="27"/>
    </row>
    <row r="45558">
      <c r="S45558" s="27"/>
      <c r="T45558" s="27"/>
      <c r="U45558" s="27"/>
    </row>
    <row r="45560">
      <c r="S45560" s="27"/>
      <c r="T45560" s="27"/>
      <c r="U45560" s="27"/>
    </row>
    <row r="45563">
      <c r="T45563" s="34"/>
      <c r="U45563" s="34"/>
    </row>
    <row r="45566">
      <c r="S45566" s="27"/>
      <c r="T45566" s="27"/>
      <c r="U45566" s="27"/>
    </row>
    <row r="45569">
      <c r="S45569" s="27"/>
      <c r="T45569" s="27"/>
      <c r="U45569" s="27"/>
    </row>
    <row r="45570">
      <c r="S45570" s="27"/>
      <c r="T45570" s="27"/>
      <c r="U45570" s="27"/>
    </row>
    <row r="45572">
      <c r="S45572" s="27"/>
      <c r="T45572" s="27"/>
      <c r="U45572" s="33"/>
    </row>
    <row r="45573">
      <c r="S45573" s="27"/>
      <c r="T45573" s="27"/>
      <c r="U45573" s="33"/>
    </row>
    <row r="45575">
      <c r="S45575" s="27"/>
      <c r="T45575" s="27"/>
      <c r="U45575" s="27"/>
    </row>
    <row r="45576">
      <c r="S45576" s="27"/>
      <c r="T45576" s="27"/>
      <c r="U45576" s="27"/>
    </row>
    <row r="45578">
      <c r="S45578" s="27"/>
      <c r="T45578" s="27"/>
      <c r="U45578" s="27"/>
    </row>
    <row r="45579">
      <c r="S45579" s="27"/>
      <c r="T45579" s="27"/>
      <c r="U45579" s="27"/>
    </row>
    <row r="45581">
      <c r="S45581" s="27"/>
      <c r="T45581" s="27"/>
      <c r="U45581" s="27"/>
    </row>
    <row r="45582">
      <c r="S45582" s="27"/>
      <c r="T45582" s="27"/>
      <c r="U45582" s="27"/>
    </row>
    <row r="45584">
      <c r="S45584" s="27"/>
      <c r="T45584" s="27"/>
      <c r="U45584" s="27"/>
    </row>
    <row r="45585">
      <c r="S45585" s="27"/>
      <c r="T45585" s="27"/>
      <c r="U45585" s="27"/>
    </row>
    <row r="45587">
      <c r="S45587" s="27"/>
      <c r="T45587" s="27"/>
      <c r="U45587" s="33"/>
    </row>
    <row r="45588">
      <c r="S45588" s="27"/>
      <c r="T45588" s="27"/>
      <c r="U45588" s="33"/>
    </row>
    <row r="45590">
      <c r="S45590" s="27"/>
      <c r="T45590" s="27"/>
      <c r="U45590" s="27"/>
    </row>
    <row r="45591">
      <c r="S45591" s="27"/>
      <c r="T45591" s="27"/>
      <c r="U45591" s="27"/>
    </row>
    <row r="45593">
      <c r="S45593" s="27"/>
      <c r="T45593" s="27"/>
      <c r="U45593" s="27"/>
    </row>
    <row r="45594">
      <c r="S45594" s="27"/>
      <c r="T45594" s="27"/>
      <c r="U45594" s="27"/>
    </row>
    <row r="45596">
      <c r="S45596" s="27"/>
      <c r="T45596" s="27"/>
      <c r="U45596" s="33"/>
    </row>
    <row r="45597">
      <c r="S45597" s="27"/>
      <c r="T45597" s="27"/>
      <c r="U45597" s="33"/>
    </row>
    <row r="45599">
      <c r="S45599" s="27"/>
      <c r="T45599" s="27"/>
      <c r="U45599" s="27"/>
    </row>
    <row r="45600">
      <c r="S45600" s="27"/>
      <c r="T45600" s="27"/>
      <c r="U45600" s="27"/>
    </row>
    <row r="45602">
      <c r="S45602" s="27"/>
      <c r="T45602" s="27"/>
      <c r="U45602" s="27"/>
    </row>
    <row r="45603">
      <c r="S45603" s="27"/>
      <c r="T45603" s="27"/>
      <c r="U45603" s="27"/>
    </row>
    <row r="45605">
      <c r="S45605" s="27"/>
      <c r="T45605" s="27"/>
      <c r="U45605" s="27"/>
    </row>
    <row r="45606">
      <c r="S45606" s="27"/>
      <c r="T45606" s="27"/>
      <c r="U45606" s="27"/>
    </row>
    <row r="45608">
      <c r="S45608" s="27"/>
      <c r="T45608" s="27"/>
      <c r="U45608" s="27"/>
    </row>
    <row r="45609">
      <c r="S45609" s="27"/>
      <c r="T45609" s="27"/>
      <c r="U45609" s="27"/>
    </row>
    <row r="45611">
      <c r="S45611" s="27"/>
      <c r="T45611" s="27"/>
      <c r="U45611" s="27"/>
    </row>
    <row r="45612">
      <c r="S45612" s="27"/>
      <c r="T45612" s="27"/>
      <c r="U45612" s="27"/>
    </row>
    <row r="45614">
      <c r="S45614" s="27"/>
      <c r="T45614" s="27"/>
      <c r="U45614" s="27"/>
    </row>
    <row r="45615">
      <c r="S45615" s="27"/>
      <c r="T45615" s="27"/>
      <c r="U45615" s="27"/>
    </row>
    <row r="45617">
      <c r="S45617" s="27"/>
      <c r="T45617" s="27"/>
      <c r="U45617" s="27"/>
    </row>
    <row r="45618">
      <c r="S45618" s="27"/>
      <c r="T45618" s="27"/>
      <c r="U45618" s="27"/>
    </row>
    <row r="45620">
      <c r="S45620" s="27"/>
      <c r="T45620" s="27"/>
      <c r="U45620" s="27"/>
    </row>
    <row r="45621">
      <c r="S45621" s="27"/>
      <c r="T45621" s="27"/>
      <c r="U45621" s="27"/>
    </row>
    <row r="45623">
      <c r="S45623" s="27"/>
      <c r="T45623" s="27"/>
      <c r="U45623" s="27"/>
    </row>
    <row r="45624">
      <c r="S45624" s="27"/>
      <c r="T45624" s="27"/>
      <c r="U45624" s="27"/>
    </row>
    <row r="45626">
      <c r="S45626" s="27"/>
      <c r="T45626" s="27"/>
      <c r="U45626" s="27"/>
    </row>
    <row r="45627">
      <c r="S45627" s="27"/>
      <c r="T45627" s="27"/>
      <c r="U45627" s="27"/>
    </row>
    <row r="45629">
      <c r="S45629" s="27"/>
      <c r="T45629" s="27"/>
      <c r="U45629" s="26"/>
    </row>
    <row r="45630">
      <c r="S45630" s="27"/>
      <c r="T45630" s="27"/>
      <c r="U45630" s="26"/>
    </row>
    <row r="45632">
      <c r="S45632" s="27"/>
      <c r="T45632" s="27"/>
      <c r="U45632" s="27"/>
    </row>
    <row r="45633">
      <c r="S45633" s="27"/>
      <c r="T45633" s="27"/>
      <c r="U45633" s="27"/>
    </row>
    <row r="45635">
      <c r="S45635" s="27"/>
      <c r="T45635" s="27"/>
      <c r="U45635" s="27"/>
    </row>
    <row r="45636">
      <c r="S45636" s="27"/>
      <c r="T45636" s="27"/>
      <c r="U45636" s="27"/>
    </row>
    <row r="45638">
      <c r="S45638" s="27"/>
      <c r="T45638" s="27"/>
      <c r="U45638" s="27"/>
    </row>
    <row r="45639">
      <c r="S45639" s="27"/>
      <c r="T45639" s="27"/>
      <c r="U45639" s="27"/>
    </row>
    <row r="45644">
      <c r="S45644" s="27"/>
      <c r="T45644" s="27"/>
      <c r="U45644" s="27"/>
    </row>
    <row r="45645">
      <c r="S45645" s="27"/>
      <c r="T45645" s="27"/>
      <c r="U45645" s="27"/>
    </row>
    <row r="45647">
      <c r="S45647" s="27"/>
      <c r="T45647" s="27"/>
      <c r="U45647" s="27"/>
    </row>
    <row r="45650">
      <c r="S45650" s="27"/>
      <c r="T45650" s="33"/>
      <c r="U45650" s="27"/>
    </row>
    <row r="45651">
      <c r="S45651" s="27"/>
      <c r="T45651" s="27"/>
      <c r="U45651" s="27"/>
    </row>
    <row r="45653">
      <c r="S45653" s="27"/>
      <c r="T45653" s="27"/>
      <c r="U45653" s="27"/>
    </row>
    <row r="45654">
      <c r="S45654" s="27"/>
      <c r="T45654" s="27"/>
      <c r="U45654" s="27"/>
    </row>
    <row r="45656">
      <c r="S45656" s="27"/>
      <c r="T45656" s="27"/>
      <c r="U45656" s="27"/>
    </row>
    <row r="45659">
      <c r="S45659" s="27"/>
      <c r="T45659" s="27"/>
      <c r="U45659" s="27"/>
    </row>
    <row r="45660">
      <c r="S45660" s="27"/>
      <c r="T45660" s="27"/>
      <c r="U45660" s="27"/>
    </row>
    <row r="45662">
      <c r="S45662" s="27"/>
      <c r="T45662" s="27"/>
      <c r="U45662" s="27"/>
    </row>
    <row r="45663">
      <c r="S45663" s="27"/>
      <c r="T45663" s="27"/>
      <c r="U45663" s="27"/>
    </row>
    <row r="45665">
      <c r="S45665" s="27"/>
      <c r="T45665" s="27"/>
      <c r="U45665" s="27"/>
    </row>
    <row r="45666">
      <c r="S45666" s="27"/>
      <c r="T45666" s="27"/>
      <c r="U45666" s="27"/>
    </row>
    <row r="45668">
      <c r="T45668" s="26"/>
      <c r="U45668" s="26"/>
    </row>
    <row r="45676">
      <c r="S45676" s="35"/>
      <c r="T45676" s="27"/>
      <c r="U45676" s="27"/>
    </row>
    <row r="45678">
      <c r="S45678" s="27"/>
      <c r="T45678" s="27"/>
      <c r="U45678" s="27"/>
    </row>
    <row r="45681">
      <c r="S45681" s="27"/>
      <c r="T45681" s="27"/>
      <c r="U45681" s="27"/>
    </row>
    <row r="45684">
      <c r="S45684" s="27"/>
      <c r="T45684" s="27"/>
      <c r="U45684" s="27"/>
    </row>
    <row r="45685">
      <c r="S45685" s="27"/>
      <c r="T45685" s="27"/>
      <c r="U45685" s="27"/>
    </row>
    <row r="45687">
      <c r="S45687" s="27"/>
      <c r="T45687" s="27"/>
      <c r="U45687" s="27"/>
    </row>
    <row r="45688">
      <c r="S45688" s="27"/>
      <c r="T45688" s="27"/>
      <c r="U45688" s="27"/>
    </row>
    <row r="45690">
      <c r="S45690" s="33"/>
      <c r="T45690" s="27"/>
      <c r="U45690" s="27"/>
    </row>
    <row r="45691">
      <c r="S45691" s="27"/>
      <c r="U45691" s="27"/>
    </row>
    <row r="45693">
      <c r="S45693" s="27"/>
      <c r="T45693" s="27"/>
      <c r="U45693" s="27"/>
    </row>
    <row r="45694">
      <c r="S45694" s="27"/>
      <c r="T45694" s="26"/>
      <c r="U45694" s="26"/>
    </row>
    <row r="45696">
      <c r="S45696" s="27"/>
      <c r="T45696" s="27"/>
      <c r="U45696" s="27"/>
    </row>
    <row r="45697">
      <c r="S45697" s="27"/>
      <c r="T45697" s="27"/>
      <c r="U45697" s="27"/>
    </row>
    <row r="45699">
      <c r="S45699" s="26"/>
      <c r="T45699" s="26"/>
      <c r="U45699" s="26"/>
    </row>
    <row r="45700">
      <c r="S45700" s="26"/>
      <c r="T45700" s="26"/>
      <c r="U45700" s="26"/>
    </row>
    <row r="45702">
      <c r="S45702" s="27"/>
      <c r="T45702" s="27"/>
      <c r="U45702" s="27"/>
    </row>
    <row r="45703">
      <c r="S45703" s="27"/>
      <c r="T45703" s="27"/>
      <c r="U45703" s="27"/>
    </row>
    <row r="45705">
      <c r="S45705" s="27"/>
      <c r="T45705" s="27"/>
      <c r="U45705" s="27"/>
    </row>
    <row r="45706">
      <c r="S45706" s="27"/>
      <c r="T45706" s="27"/>
      <c r="U45706" s="27"/>
    </row>
    <row r="45708">
      <c r="S45708" s="27"/>
      <c r="T45708" s="27"/>
      <c r="U45708" s="27"/>
    </row>
    <row r="45709">
      <c r="S45709" s="27"/>
      <c r="T45709" s="27"/>
      <c r="U45709" s="27"/>
    </row>
    <row r="45711">
      <c r="S45711" s="27"/>
      <c r="T45711" s="33"/>
      <c r="U45711" s="33"/>
    </row>
    <row r="45714">
      <c r="S45714" s="27"/>
      <c r="T45714" s="27"/>
      <c r="U45714" s="27"/>
    </row>
    <row r="45715">
      <c r="S45715" s="27"/>
      <c r="T45715" s="27"/>
      <c r="U45715" s="27"/>
    </row>
    <row r="45717">
      <c r="S45717" s="27"/>
      <c r="T45717" s="27"/>
      <c r="U45717" s="27"/>
    </row>
    <row r="45720">
      <c r="S45720" s="27"/>
      <c r="T45720" s="27"/>
      <c r="U45720" s="27"/>
    </row>
    <row r="45721">
      <c r="S45721" s="27"/>
      <c r="T45721" s="27"/>
      <c r="U45721" s="27"/>
    </row>
    <row r="45723">
      <c r="S45723" s="27"/>
      <c r="T45723" s="27"/>
      <c r="U45723" s="27"/>
    </row>
    <row r="45724">
      <c r="S45724" s="26"/>
      <c r="T45724" s="26"/>
      <c r="U45724" s="26"/>
    </row>
    <row r="45726">
      <c r="S45726" s="27"/>
      <c r="T45726" s="27"/>
      <c r="U45726" s="27"/>
    </row>
    <row r="45727">
      <c r="S45727" s="27"/>
      <c r="T45727" s="27"/>
      <c r="U45727" s="27"/>
    </row>
    <row r="45729">
      <c r="S45729" s="27"/>
      <c r="T45729" s="27"/>
      <c r="U45729" s="27"/>
    </row>
    <row r="45730">
      <c r="S45730" s="27"/>
      <c r="T45730" s="27"/>
      <c r="U45730" s="27"/>
    </row>
    <row r="45732">
      <c r="S45732" s="27"/>
      <c r="T45732" s="27"/>
      <c r="U45732" s="27"/>
    </row>
    <row r="45733">
      <c r="S45733" s="27"/>
      <c r="T45733" s="27"/>
      <c r="U45733" s="27"/>
    </row>
    <row r="45735">
      <c r="S45735" s="27"/>
      <c r="T45735" s="27"/>
      <c r="U45735" s="27"/>
    </row>
    <row r="45736">
      <c r="S45736" s="27"/>
      <c r="T45736" s="27"/>
      <c r="U45736" s="27"/>
    </row>
    <row r="45738">
      <c r="S45738" s="26"/>
    </row>
    <row r="45741">
      <c r="S45741" s="33"/>
      <c r="T45741" s="27"/>
      <c r="U45741" s="27"/>
    </row>
    <row r="45742">
      <c r="S45742" s="27"/>
      <c r="T45742" s="27"/>
      <c r="U45742" s="27"/>
    </row>
    <row r="45744">
      <c r="S45744" s="27"/>
      <c r="T45744" s="27"/>
      <c r="U45744" s="27"/>
    </row>
    <row r="45745">
      <c r="S45745" s="27"/>
      <c r="T45745" s="27"/>
      <c r="U45745" s="27"/>
    </row>
    <row r="45747">
      <c r="S45747" s="27"/>
      <c r="T45747" s="27"/>
      <c r="U45747" s="27"/>
    </row>
    <row r="45750">
      <c r="S45750" s="27"/>
      <c r="T45750" s="27"/>
      <c r="U45750" s="27"/>
    </row>
    <row r="45751">
      <c r="S45751" s="27"/>
      <c r="T45751" s="27"/>
      <c r="U45751" s="27"/>
    </row>
    <row r="45753">
      <c r="S45753" s="27"/>
      <c r="T45753" s="27"/>
      <c r="U45753" s="27"/>
    </row>
    <row r="45754">
      <c r="S45754" s="27"/>
      <c r="T45754" s="27"/>
      <c r="U45754" s="27"/>
    </row>
    <row r="45756">
      <c r="S45756" s="27"/>
      <c r="T45756" s="27"/>
      <c r="U45756" s="27"/>
    </row>
    <row r="45757">
      <c r="S45757" s="27"/>
      <c r="T45757" s="27"/>
      <c r="U45757" s="27"/>
    </row>
    <row r="45762">
      <c r="S45762" s="27"/>
      <c r="T45762" s="27"/>
      <c r="U45762" s="27"/>
    </row>
    <row r="45763">
      <c r="S45763" s="27"/>
      <c r="T45763" s="27"/>
      <c r="U45763" s="27"/>
    </row>
    <row r="45768">
      <c r="S45768" s="27"/>
      <c r="T45768" s="27"/>
      <c r="U45768" s="27"/>
    </row>
    <row r="45771">
      <c r="S45771" s="27"/>
      <c r="T45771" s="27"/>
      <c r="U45771" s="27"/>
    </row>
    <row r="45772">
      <c r="S45772" s="27"/>
      <c r="T45772" s="27"/>
      <c r="U45772" s="27"/>
    </row>
    <row r="45774">
      <c r="S45774" s="27"/>
      <c r="T45774" s="27"/>
      <c r="U45774" s="27"/>
    </row>
    <row r="45775">
      <c r="S45775" s="27"/>
      <c r="T45775" s="27"/>
      <c r="U45775" s="27"/>
    </row>
    <row r="45777">
      <c r="S45777" s="27"/>
      <c r="T45777" s="27"/>
      <c r="U45777" s="27"/>
    </row>
    <row r="45778">
      <c r="S45778" s="27"/>
      <c r="T45778" s="27"/>
      <c r="U45778" s="27"/>
    </row>
    <row r="45780">
      <c r="S45780" s="26"/>
      <c r="T45780" s="26"/>
    </row>
    <row r="45781">
      <c r="S45781" s="26"/>
      <c r="T45781" s="26"/>
      <c r="U45781" s="26"/>
    </row>
    <row r="45783">
      <c r="S45783" s="27"/>
      <c r="T45783" s="27"/>
      <c r="U45783" s="27"/>
    </row>
    <row r="45784">
      <c r="S45784" s="27"/>
      <c r="T45784" s="27"/>
      <c r="U45784" s="27"/>
    </row>
    <row r="45786">
      <c r="S45786" s="27"/>
      <c r="T45786" s="27"/>
      <c r="U45786" s="27"/>
    </row>
    <row r="45787">
      <c r="S45787" s="27"/>
      <c r="T45787" s="27"/>
      <c r="U45787" s="27"/>
    </row>
    <row r="45789">
      <c r="S45789" s="27"/>
      <c r="T45789" s="27"/>
      <c r="U45789" s="27"/>
    </row>
    <row r="45792">
      <c r="S45792" s="27"/>
      <c r="T45792" s="27"/>
      <c r="U45792" s="27"/>
    </row>
    <row r="45793">
      <c r="S45793" s="27"/>
      <c r="T45793" s="27"/>
      <c r="U45793" s="27"/>
    </row>
    <row r="45795">
      <c r="S45795" s="27"/>
      <c r="T45795" s="27"/>
      <c r="U45795" s="27"/>
    </row>
    <row r="45796">
      <c r="S45796" s="27"/>
      <c r="T45796" s="27"/>
      <c r="U45796" s="27"/>
    </row>
    <row r="45798">
      <c r="S45798" s="27"/>
      <c r="T45798" s="27"/>
      <c r="U45798" s="27"/>
    </row>
    <row r="45799">
      <c r="S45799" s="27"/>
      <c r="T45799" s="27"/>
      <c r="U45799" s="27"/>
    </row>
    <row r="45801">
      <c r="S45801" s="27"/>
      <c r="T45801" s="27"/>
      <c r="U45801" s="27"/>
    </row>
    <row r="45802">
      <c r="S45802" s="27"/>
      <c r="T45802" s="27"/>
      <c r="U45802" s="27"/>
    </row>
    <row r="45804">
      <c r="S45804" s="27"/>
      <c r="T45804" s="27"/>
      <c r="U45804" s="27"/>
    </row>
    <row r="45805">
      <c r="S45805" s="27"/>
      <c r="T45805" s="27"/>
      <c r="U45805" s="27"/>
    </row>
    <row r="45807">
      <c r="S45807" s="27"/>
      <c r="T45807" s="27"/>
      <c r="U45807" s="27"/>
    </row>
    <row r="45808">
      <c r="S45808" s="27"/>
      <c r="T45808" s="27"/>
      <c r="U45808" s="27"/>
    </row>
    <row r="45810">
      <c r="S45810" s="27"/>
      <c r="T45810" s="27"/>
      <c r="U45810" s="27"/>
    </row>
    <row r="45811">
      <c r="S45811" s="27"/>
      <c r="T45811" s="27"/>
      <c r="U45811" s="27"/>
    </row>
    <row r="45813">
      <c r="S45813" s="27"/>
      <c r="T45813" s="27"/>
      <c r="U45813" s="27"/>
    </row>
    <row r="45814">
      <c r="S45814" s="27"/>
      <c r="T45814" s="27"/>
      <c r="U45814" s="27"/>
    </row>
    <row r="45816">
      <c r="S45816" s="27"/>
      <c r="T45816" s="27"/>
      <c r="U45816" s="27"/>
    </row>
    <row r="45817">
      <c r="S45817" s="27"/>
      <c r="T45817" s="27"/>
      <c r="U45817" s="27"/>
    </row>
    <row r="45819">
      <c r="S45819" s="27"/>
      <c r="T45819" s="27"/>
      <c r="U45819" s="27"/>
    </row>
    <row r="45820">
      <c r="S45820" s="27"/>
      <c r="T45820" s="27"/>
      <c r="U45820" s="27"/>
    </row>
    <row r="45822">
      <c r="S45822" s="27"/>
      <c r="T45822" s="27"/>
      <c r="U45822" s="27"/>
    </row>
    <row r="45823">
      <c r="S45823" s="27"/>
      <c r="T45823" s="27"/>
      <c r="U45823" s="27"/>
    </row>
    <row r="45825">
      <c r="S45825" s="27"/>
      <c r="T45825" s="27"/>
      <c r="U45825" s="27"/>
    </row>
    <row r="45826">
      <c r="S45826" s="27"/>
      <c r="T45826" s="27"/>
      <c r="U45826" s="27"/>
    </row>
    <row r="45828">
      <c r="S45828" s="27"/>
      <c r="T45828" s="27"/>
      <c r="U45828" s="27"/>
    </row>
    <row r="45829">
      <c r="S45829" s="27"/>
      <c r="T45829" s="27"/>
      <c r="U45829" s="27"/>
    </row>
    <row r="45831">
      <c r="S45831" s="27"/>
      <c r="T45831" s="27"/>
      <c r="U45831" s="27"/>
    </row>
    <row r="45832">
      <c r="S45832" s="27"/>
      <c r="T45832" s="27"/>
      <c r="U45832" s="27"/>
    </row>
    <row r="45834">
      <c r="S45834" s="27"/>
      <c r="T45834" s="27"/>
      <c r="U45834" s="27"/>
    </row>
    <row r="45835">
      <c r="S45835" s="27"/>
      <c r="T45835" s="27"/>
      <c r="U45835" s="27"/>
    </row>
    <row r="45837">
      <c r="S45837" s="27"/>
      <c r="T45837" s="27"/>
      <c r="U45837" s="27"/>
    </row>
    <row r="45838">
      <c r="S45838" s="27"/>
      <c r="T45838" s="27"/>
      <c r="U45838" s="27"/>
    </row>
    <row r="45840">
      <c r="S45840" s="27"/>
      <c r="T45840" s="27"/>
      <c r="U45840" s="27"/>
    </row>
    <row r="45841">
      <c r="S45841" s="27"/>
      <c r="T45841" s="27"/>
      <c r="U45841" s="27"/>
    </row>
    <row r="45843">
      <c r="S45843" s="27"/>
      <c r="T45843" s="27"/>
      <c r="U45843" s="27"/>
    </row>
    <row r="45844">
      <c r="S45844" s="27"/>
      <c r="T45844" s="27"/>
      <c r="U45844" s="27"/>
    </row>
    <row r="45846">
      <c r="S45846" s="27"/>
      <c r="T45846" s="27"/>
      <c r="U45846" s="27"/>
    </row>
    <row r="45847">
      <c r="S45847" s="27"/>
      <c r="T45847" s="27"/>
      <c r="U45847" s="27"/>
    </row>
    <row r="45849">
      <c r="S45849" s="27"/>
      <c r="T45849" s="27"/>
      <c r="U45849" s="27"/>
    </row>
    <row r="45850">
      <c r="S45850" s="27"/>
      <c r="T45850" s="27"/>
      <c r="U45850" s="27"/>
    </row>
    <row r="45852">
      <c r="S45852" s="27"/>
      <c r="T45852" s="27"/>
      <c r="U45852" s="27"/>
    </row>
    <row r="45853">
      <c r="S45853" s="27"/>
      <c r="T45853" s="27"/>
      <c r="U45853" s="27"/>
    </row>
    <row r="45855">
      <c r="S45855" s="27"/>
      <c r="T45855" s="27"/>
      <c r="U45855" s="27"/>
    </row>
    <row r="45856">
      <c r="S45856" s="27"/>
      <c r="T45856" s="27"/>
      <c r="U45856" s="27"/>
    </row>
    <row r="45858">
      <c r="S45858" s="27"/>
      <c r="T45858" s="27"/>
      <c r="U45858" s="27"/>
    </row>
    <row r="45859">
      <c r="S45859" s="27"/>
      <c r="T45859" s="27"/>
      <c r="U45859" s="27"/>
    </row>
    <row r="45861">
      <c r="S45861" s="27"/>
      <c r="T45861" s="27"/>
      <c r="U45861" s="27"/>
    </row>
    <row r="45862">
      <c r="S45862" s="27"/>
      <c r="T45862" s="27"/>
      <c r="U45862" s="27"/>
    </row>
    <row r="45864">
      <c r="S45864" s="27"/>
      <c r="T45864" s="27"/>
      <c r="U45864" s="27"/>
    </row>
    <row r="45865">
      <c r="S45865" s="27"/>
      <c r="T45865" s="27"/>
      <c r="U45865" s="27"/>
    </row>
    <row r="45867">
      <c r="S45867" s="27"/>
      <c r="T45867" s="27"/>
      <c r="U45867" s="27"/>
    </row>
    <row r="45868">
      <c r="S45868" s="27"/>
      <c r="T45868" s="27"/>
      <c r="U45868" s="27"/>
    </row>
    <row r="45870">
      <c r="S45870" s="27"/>
      <c r="T45870" s="27"/>
      <c r="U45870" s="27"/>
    </row>
    <row r="45871">
      <c r="S45871" s="27"/>
      <c r="T45871" s="27"/>
      <c r="U45871" s="27"/>
    </row>
    <row r="45873">
      <c r="S45873" s="27"/>
      <c r="T45873" s="27"/>
      <c r="U45873" s="27"/>
    </row>
    <row r="45874">
      <c r="S45874" s="27"/>
      <c r="T45874" s="27"/>
      <c r="U45874" s="27"/>
    </row>
    <row r="45876">
      <c r="S45876" s="27"/>
      <c r="T45876" s="27"/>
      <c r="U45876" s="27"/>
    </row>
    <row r="45877">
      <c r="S45877" s="27"/>
      <c r="T45877" s="27"/>
      <c r="U45877" s="27"/>
    </row>
    <row r="45879">
      <c r="S45879" s="27"/>
      <c r="T45879" s="27"/>
      <c r="U45879" s="27"/>
    </row>
    <row r="45881">
      <c r="S45881" s="27"/>
    </row>
    <row r="45882">
      <c r="S45882" s="27"/>
      <c r="T45882" s="27"/>
      <c r="U45882" s="27"/>
    </row>
    <row r="45884">
      <c r="S45884" s="27"/>
      <c r="T45884" s="27"/>
      <c r="U45884" s="27"/>
    </row>
    <row r="45885">
      <c r="S45885" s="27"/>
      <c r="T45885" s="27"/>
      <c r="U45885" s="27"/>
    </row>
    <row r="45887">
      <c r="S45887" s="27"/>
      <c r="T45887" s="27"/>
      <c r="U45887" s="27"/>
    </row>
    <row r="45888">
      <c r="S45888" s="27"/>
      <c r="T45888" s="27"/>
      <c r="U45888" s="27"/>
    </row>
    <row r="45890">
      <c r="S45890" s="27"/>
      <c r="T45890" s="27"/>
      <c r="U45890" s="27"/>
    </row>
    <row r="45891">
      <c r="S45891" s="27"/>
      <c r="T45891" s="27"/>
      <c r="U45891" s="27"/>
    </row>
    <row r="45893">
      <c r="S45893" s="27"/>
      <c r="T45893" s="27"/>
      <c r="U45893" s="27"/>
    </row>
    <row r="45894">
      <c r="S45894" s="27"/>
      <c r="T45894" s="27"/>
      <c r="U45894" s="27"/>
    </row>
    <row r="45896">
      <c r="S45896" s="27"/>
      <c r="T45896" s="27"/>
      <c r="U45896" s="27"/>
    </row>
    <row r="45897">
      <c r="S45897" s="27"/>
      <c r="T45897" s="27"/>
      <c r="U45897" s="27"/>
    </row>
    <row r="45899">
      <c r="S45899" s="27"/>
      <c r="T45899" s="27"/>
      <c r="U45899" s="27"/>
    </row>
    <row r="45900">
      <c r="S45900" s="27"/>
      <c r="T45900" s="27"/>
      <c r="U45900" s="27"/>
    </row>
    <row r="45902">
      <c r="S45902" s="27"/>
      <c r="T45902" s="27"/>
      <c r="U45902" s="27"/>
    </row>
    <row r="45904">
      <c r="S45904" s="27"/>
      <c r="T45904" s="27"/>
      <c r="U45904" s="27"/>
    </row>
    <row r="45906">
      <c r="S45906" s="27"/>
      <c r="T45906" s="27"/>
      <c r="U45906" s="27"/>
    </row>
    <row r="45908">
      <c r="S45908" s="27"/>
      <c r="T45908" s="27"/>
      <c r="U45908" s="27"/>
    </row>
    <row r="45910">
      <c r="S45910" s="27"/>
      <c r="T45910" s="27"/>
      <c r="U45910" s="27"/>
    </row>
    <row r="45911">
      <c r="S45911" s="27"/>
      <c r="T45911" s="27"/>
      <c r="U45911" s="27"/>
    </row>
    <row r="45913">
      <c r="S45913" s="27"/>
      <c r="T45913" s="27"/>
      <c r="U45913" s="27"/>
    </row>
    <row r="45914">
      <c r="S45914" s="27"/>
      <c r="T45914" s="27"/>
      <c r="U45914" s="27"/>
    </row>
    <row r="45916">
      <c r="S45916" s="27"/>
      <c r="T45916" s="27"/>
      <c r="U45916" s="27"/>
    </row>
    <row r="45917">
      <c r="S45917" s="27"/>
      <c r="T45917" s="27"/>
      <c r="U45917" s="33"/>
    </row>
    <row r="45919">
      <c r="S45919" s="27"/>
      <c r="T45919" s="27"/>
      <c r="U45919" s="27"/>
    </row>
    <row r="45920">
      <c r="S45920" s="27"/>
      <c r="T45920" s="27"/>
      <c r="U45920" s="27"/>
    </row>
    <row r="45922">
      <c r="S45922" s="27"/>
      <c r="T45922" s="27"/>
      <c r="U45922" s="27"/>
    </row>
    <row r="45923">
      <c r="S45923" s="27"/>
      <c r="T45923" s="27"/>
      <c r="U45923" s="27"/>
    </row>
    <row r="45925">
      <c r="S45925" s="27"/>
      <c r="T45925" s="27"/>
      <c r="U45925" s="27"/>
    </row>
    <row r="45926">
      <c r="S45926" s="27"/>
      <c r="T45926" s="27"/>
      <c r="U45926" s="27"/>
    </row>
    <row r="45928">
      <c r="S45928" s="27"/>
      <c r="T45928" s="27"/>
      <c r="U45928" s="27"/>
    </row>
    <row r="45929">
      <c r="S45929" s="27"/>
      <c r="T45929" s="27"/>
      <c r="U45929" s="27"/>
    </row>
    <row r="45930">
      <c r="S45930" s="27"/>
      <c r="T45930" s="27"/>
      <c r="U45930" s="27"/>
    </row>
    <row r="45931">
      <c r="S45931" s="27"/>
      <c r="T45931" s="27"/>
      <c r="U45931" s="27"/>
    </row>
    <row r="45932">
      <c r="S45932" s="27"/>
      <c r="T45932" s="27"/>
      <c r="U45932" s="27"/>
    </row>
    <row r="45933">
      <c r="S45933" s="27"/>
      <c r="T45933" s="27"/>
      <c r="U45933" s="27"/>
    </row>
    <row r="45934">
      <c r="S45934" s="27"/>
      <c r="T45934" s="27"/>
      <c r="U45934" s="27"/>
    </row>
    <row r="45935">
      <c r="S45935" s="27"/>
      <c r="T45935" s="27"/>
      <c r="U45935" s="27"/>
    </row>
    <row r="45936">
      <c r="S45936" s="27"/>
      <c r="T45936" s="27"/>
      <c r="U45936" s="27"/>
    </row>
    <row r="45937">
      <c r="S45937" s="27"/>
      <c r="T45937" s="27"/>
      <c r="U45937" s="27"/>
    </row>
    <row r="45938">
      <c r="S45938" s="27"/>
      <c r="T45938" s="27"/>
      <c r="U45938" s="27"/>
    </row>
    <row r="45939">
      <c r="S45939" s="27"/>
      <c r="T45939" s="27"/>
      <c r="U45939" s="27"/>
    </row>
    <row r="45940">
      <c r="S45940" s="27"/>
      <c r="T45940" s="27"/>
    </row>
    <row r="45941">
      <c r="S45941" s="27"/>
      <c r="T45941" s="27"/>
    </row>
    <row r="45942">
      <c r="S45942" s="27"/>
      <c r="T45942" s="27"/>
      <c r="U45942" s="27"/>
    </row>
    <row r="45943">
      <c r="S45943" s="27"/>
      <c r="T45943" s="27"/>
      <c r="U45943" s="27"/>
    </row>
    <row r="45944">
      <c r="S45944" s="27"/>
      <c r="T45944" s="27"/>
      <c r="U45944" s="27"/>
    </row>
    <row r="45945">
      <c r="S45945" s="27"/>
      <c r="T45945" s="27"/>
      <c r="U45945" s="27"/>
    </row>
    <row r="45946">
      <c r="S45946" s="27"/>
      <c r="T45946" s="27"/>
      <c r="U45946" s="27"/>
    </row>
    <row r="45947">
      <c r="S45947" s="27"/>
      <c r="T45947" s="27"/>
      <c r="U45947" s="27"/>
    </row>
    <row r="45948">
      <c r="S45948" s="27"/>
      <c r="T45948" s="27"/>
      <c r="U45948" s="27"/>
    </row>
    <row r="45949">
      <c r="S45949" s="27"/>
      <c r="T45949" s="27"/>
      <c r="U45949" s="26"/>
    </row>
    <row r="45950">
      <c r="S45950" s="27"/>
      <c r="T45950" s="27"/>
    </row>
    <row r="45951">
      <c r="S45951" s="26"/>
      <c r="T45951" s="27"/>
      <c r="U45951" s="27"/>
    </row>
    <row r="45952">
      <c r="S45952" s="27"/>
      <c r="T45952" s="27"/>
      <c r="U45952" s="27"/>
    </row>
    <row r="45953">
      <c r="S45953" s="27"/>
      <c r="T45953" s="27"/>
      <c r="U45953" s="27"/>
    </row>
    <row r="45954">
      <c r="S45954" s="27"/>
      <c r="T45954" s="27"/>
      <c r="U45954" s="27"/>
    </row>
    <row r="45955">
      <c r="S45955" s="27"/>
      <c r="T45955" s="27"/>
      <c r="U45955" s="27"/>
    </row>
    <row r="45956">
      <c r="S45956" s="27"/>
      <c r="T45956" s="27"/>
      <c r="U45956" s="27"/>
    </row>
    <row r="45957">
      <c r="S45957" s="27"/>
      <c r="T45957" s="27"/>
      <c r="U45957" s="27"/>
    </row>
    <row r="45958">
      <c r="S45958" s="27"/>
      <c r="T45958" s="33"/>
      <c r="U45958" s="27"/>
    </row>
    <row r="45959">
      <c r="S45959" s="27"/>
      <c r="T45959" s="27"/>
      <c r="U45959" s="27"/>
    </row>
    <row r="45960">
      <c r="S45960" s="27"/>
      <c r="T45960" s="27"/>
      <c r="U45960" s="27"/>
    </row>
    <row r="45961">
      <c r="S45961" s="27"/>
      <c r="T45961" s="27"/>
      <c r="U45961" s="27"/>
    </row>
    <row r="45962">
      <c r="S45962" s="27"/>
      <c r="T45962" s="27"/>
      <c r="U45962" s="27"/>
    </row>
    <row r="45963">
      <c r="S45963" s="27"/>
      <c r="T45963" s="27"/>
      <c r="U45963" s="27"/>
    </row>
    <row r="45964">
      <c r="S45964" s="27"/>
      <c r="T45964" s="27"/>
      <c r="U45964" s="27"/>
    </row>
    <row r="45965">
      <c r="S45965" s="27"/>
      <c r="T45965" s="27"/>
      <c r="U45965" s="27"/>
    </row>
    <row r="45966">
      <c r="S45966" s="27"/>
      <c r="T45966" s="27"/>
      <c r="U45966" s="27"/>
    </row>
    <row r="45967">
      <c r="S45967" s="27"/>
      <c r="T45967" s="27"/>
      <c r="U45967" s="27"/>
    </row>
    <row r="45968">
      <c r="S45968" s="27"/>
      <c r="T45968" s="27"/>
      <c r="U45968" s="27"/>
    </row>
    <row r="45969">
      <c r="S45969" s="27"/>
      <c r="T45969" s="27"/>
      <c r="U45969" s="27"/>
    </row>
    <row r="45970">
      <c r="S45970" s="27"/>
      <c r="T45970" s="27"/>
      <c r="U45970" s="27"/>
    </row>
    <row r="45971">
      <c r="S45971" s="27"/>
      <c r="T45971" s="27"/>
      <c r="U45971" s="27"/>
    </row>
    <row r="45972">
      <c r="S45972" s="27"/>
      <c r="T45972" s="27"/>
      <c r="U45972" s="27"/>
    </row>
    <row r="45973">
      <c r="S45973" s="27"/>
      <c r="T45973" s="27"/>
      <c r="U45973" s="27"/>
    </row>
    <row r="45974">
      <c r="S45974" s="27"/>
      <c r="T45974" s="27"/>
      <c r="U45974" s="27"/>
    </row>
    <row r="45975">
      <c r="S45975" s="27"/>
      <c r="T45975" s="27"/>
      <c r="U45975" s="27"/>
    </row>
    <row r="45976">
      <c r="S45976" s="27"/>
      <c r="T45976" s="27"/>
      <c r="U45976" s="27"/>
    </row>
    <row r="45977">
      <c r="S45977" s="27"/>
      <c r="T45977" s="27"/>
      <c r="U45977" s="27"/>
    </row>
    <row r="45978">
      <c r="S45978" s="27"/>
      <c r="T45978" s="27"/>
      <c r="U45978" s="27"/>
    </row>
    <row r="45979">
      <c r="S45979" s="27"/>
      <c r="T45979" s="27"/>
      <c r="U45979" s="27"/>
    </row>
    <row r="45980">
      <c r="S45980" s="27"/>
      <c r="T45980" s="27"/>
      <c r="U45980" s="27"/>
    </row>
    <row r="45981">
      <c r="S45981" s="27"/>
      <c r="T45981" s="27"/>
      <c r="U45981" s="27"/>
    </row>
    <row r="45982">
      <c r="S45982" s="27"/>
      <c r="T45982" s="27"/>
      <c r="U45982" s="27"/>
    </row>
    <row r="45983">
      <c r="S45983" s="27"/>
      <c r="T45983" s="27"/>
      <c r="U45983" s="27"/>
    </row>
    <row r="45984">
      <c r="S45984" s="27"/>
      <c r="T45984" s="27"/>
      <c r="U45984" s="27"/>
    </row>
    <row r="45985">
      <c r="S45985" s="27"/>
      <c r="T45985" s="27"/>
      <c r="U45985" s="27"/>
    </row>
    <row r="45986">
      <c r="S45986" s="27"/>
      <c r="T45986" s="27"/>
      <c r="U45986" s="27"/>
    </row>
    <row r="45987">
      <c r="S45987" s="27"/>
      <c r="T45987" s="27"/>
      <c r="U45987" s="27"/>
    </row>
    <row r="45988">
      <c r="S45988" s="27"/>
      <c r="T45988" s="27"/>
      <c r="U45988" s="27"/>
    </row>
    <row r="45989">
      <c r="S45989" s="27"/>
      <c r="T45989" s="27"/>
      <c r="U45989" s="27"/>
    </row>
    <row r="45990">
      <c r="S45990" s="27"/>
      <c r="T45990" s="27"/>
      <c r="U45990" s="27"/>
    </row>
    <row r="45991">
      <c r="S45991" s="27"/>
      <c r="T45991" s="27"/>
      <c r="U45991" s="27"/>
    </row>
    <row r="45992">
      <c r="S45992" s="27"/>
      <c r="T45992" s="27"/>
      <c r="U45992" s="27"/>
    </row>
    <row r="45993">
      <c r="S45993" s="27"/>
      <c r="T45993" s="27"/>
      <c r="U45993" s="27"/>
    </row>
    <row r="45994">
      <c r="S45994" s="27"/>
      <c r="T45994" s="27"/>
      <c r="U45994" s="27"/>
    </row>
    <row r="45995">
      <c r="S45995" s="27"/>
      <c r="T45995" s="27"/>
      <c r="U45995" s="27"/>
    </row>
    <row r="45996">
      <c r="S45996" s="27"/>
      <c r="T45996" s="27"/>
      <c r="U45996" s="27"/>
    </row>
    <row r="45997">
      <c r="S45997" s="27"/>
      <c r="T45997" s="27"/>
      <c r="U45997" s="27"/>
    </row>
    <row r="45998">
      <c r="S45998" s="27"/>
      <c r="T45998" s="27"/>
      <c r="U45998" s="27"/>
    </row>
    <row r="45999">
      <c r="S45999" s="27"/>
      <c r="T45999" s="27"/>
      <c r="U45999" s="27"/>
    </row>
    <row r="46000">
      <c r="S46000" s="27"/>
      <c r="T46000" s="27"/>
      <c r="U46000" s="27"/>
    </row>
    <row r="46001">
      <c r="S46001" s="27"/>
      <c r="T46001" s="27"/>
      <c r="U46001" s="27"/>
    </row>
    <row r="46002">
      <c r="S46002" s="27"/>
      <c r="T46002" s="27"/>
      <c r="U46002" s="27"/>
    </row>
    <row r="46003">
      <c r="S46003" s="27"/>
      <c r="T46003" s="27"/>
      <c r="U46003" s="27"/>
    </row>
    <row r="46004">
      <c r="S46004" s="27"/>
      <c r="T46004" s="27"/>
      <c r="U46004" s="27"/>
    </row>
    <row r="46005">
      <c r="S46005" s="27"/>
      <c r="T46005" s="27"/>
      <c r="U46005" s="27"/>
    </row>
    <row r="46006">
      <c r="S46006" s="27"/>
      <c r="T46006" s="27"/>
      <c r="U46006" s="27"/>
    </row>
    <row r="46007">
      <c r="S46007" s="27"/>
      <c r="T46007" s="27"/>
      <c r="U46007" s="27"/>
    </row>
    <row r="46008">
      <c r="S46008" s="27"/>
      <c r="T46008" s="27"/>
      <c r="U46008" s="27"/>
    </row>
    <row r="46009">
      <c r="S46009" s="27"/>
      <c r="T46009" s="27"/>
      <c r="U46009" s="27"/>
    </row>
    <row r="46010">
      <c r="S46010" s="27"/>
      <c r="T46010" s="27"/>
      <c r="U46010" s="27"/>
    </row>
    <row r="46011">
      <c r="S46011" s="27"/>
      <c r="T46011" s="27"/>
      <c r="U46011" s="27"/>
    </row>
    <row r="46012">
      <c r="S46012" s="27"/>
      <c r="T46012" s="27"/>
      <c r="U46012" s="27"/>
    </row>
    <row r="46013">
      <c r="S46013" s="27"/>
      <c r="T46013" s="27"/>
      <c r="U46013" s="27"/>
    </row>
    <row r="46014">
      <c r="S46014" s="27"/>
      <c r="T46014" s="27"/>
      <c r="U46014" s="27"/>
    </row>
    <row r="46015">
      <c r="S46015" s="27"/>
      <c r="T46015" s="27"/>
      <c r="U46015" s="27"/>
    </row>
    <row r="46016">
      <c r="S46016" s="27"/>
      <c r="T46016" s="27"/>
      <c r="U46016" s="27"/>
    </row>
    <row r="46017">
      <c r="S46017" s="27"/>
      <c r="T46017" s="27"/>
      <c r="U46017" s="27"/>
    </row>
    <row r="46018">
      <c r="S46018" s="27"/>
      <c r="T46018" s="27"/>
      <c r="U46018" s="27"/>
    </row>
    <row r="46019">
      <c r="S46019" s="27"/>
      <c r="T46019" s="27"/>
      <c r="U46019" s="27"/>
    </row>
    <row r="46020">
      <c r="S46020" s="27"/>
      <c r="T46020" s="27"/>
      <c r="U46020" s="27"/>
    </row>
    <row r="46021">
      <c r="S46021" s="26"/>
      <c r="T46021" s="27"/>
      <c r="U46021" s="27"/>
    </row>
    <row r="46022">
      <c r="S46022" s="27"/>
      <c r="T46022" s="27"/>
      <c r="U46022" s="27"/>
    </row>
    <row r="46023">
      <c r="S46023" s="27"/>
      <c r="T46023" s="27"/>
      <c r="U46023" s="27"/>
    </row>
    <row r="46024">
      <c r="S46024" s="27"/>
      <c r="T46024" s="27"/>
      <c r="U46024" s="27"/>
    </row>
    <row r="46025">
      <c r="S46025" s="27"/>
      <c r="T46025" s="27"/>
      <c r="U46025" s="27"/>
    </row>
    <row r="46026">
      <c r="S46026" s="27"/>
      <c r="T46026" s="27"/>
      <c r="U46026" s="27"/>
    </row>
    <row r="46027">
      <c r="S46027" s="27"/>
      <c r="T46027" s="27"/>
      <c r="U46027" s="27"/>
    </row>
    <row r="46028">
      <c r="S46028" s="27"/>
      <c r="T46028" s="27"/>
      <c r="U46028" s="27"/>
    </row>
    <row r="46029">
      <c r="S46029" s="27"/>
      <c r="T46029" s="27"/>
      <c r="U46029" s="27"/>
    </row>
    <row r="46030">
      <c r="S46030" s="27"/>
      <c r="U46030" s="27"/>
    </row>
    <row r="46031">
      <c r="S46031" s="27"/>
      <c r="T46031" s="27"/>
      <c r="U46031" s="27"/>
    </row>
    <row r="46032">
      <c r="S46032" s="27"/>
      <c r="T46032" s="27"/>
      <c r="U46032" s="27"/>
    </row>
    <row r="46033">
      <c r="S46033" s="27"/>
      <c r="T46033" s="27"/>
      <c r="U46033" s="27"/>
    </row>
    <row r="46034">
      <c r="S46034" s="27"/>
      <c r="T46034" s="27"/>
      <c r="U46034" s="27"/>
    </row>
    <row r="46035">
      <c r="S46035" s="27"/>
      <c r="T46035" s="27"/>
      <c r="U46035" s="27"/>
    </row>
    <row r="46036">
      <c r="S46036" s="27"/>
      <c r="T46036" s="27"/>
      <c r="U46036" s="27"/>
    </row>
    <row r="46037">
      <c r="S46037" s="27"/>
      <c r="T46037" s="27"/>
      <c r="U46037" s="27"/>
    </row>
    <row r="46038">
      <c r="S46038" s="27"/>
      <c r="T46038" s="27"/>
      <c r="U46038" s="27"/>
    </row>
    <row r="46039">
      <c r="S46039" s="27"/>
      <c r="T46039" s="27"/>
      <c r="U46039" s="27"/>
    </row>
    <row r="46040">
      <c r="S46040" s="27"/>
      <c r="T46040" s="27"/>
      <c r="U46040" s="27"/>
    </row>
    <row r="46041">
      <c r="S46041" s="27"/>
      <c r="T46041" s="27"/>
      <c r="U46041" s="27"/>
    </row>
    <row r="46042">
      <c r="S46042" s="27"/>
      <c r="T46042" s="27"/>
      <c r="U46042" s="27"/>
    </row>
    <row r="46043">
      <c r="S46043" s="27"/>
      <c r="T46043" s="27"/>
      <c r="U46043" s="27"/>
    </row>
    <row r="46044">
      <c r="S46044" s="27"/>
      <c r="T46044" s="27"/>
      <c r="U46044" s="27"/>
    </row>
    <row r="46045">
      <c r="S46045" s="27"/>
      <c r="T46045" s="27"/>
      <c r="U46045" s="27"/>
    </row>
    <row r="46046">
      <c r="S46046" s="27"/>
      <c r="T46046" s="27"/>
      <c r="U46046" s="27"/>
    </row>
    <row r="46047">
      <c r="S46047" s="27"/>
      <c r="T46047" s="27"/>
      <c r="U46047" s="27"/>
    </row>
    <row r="46048">
      <c r="S46048" s="27"/>
      <c r="T46048" s="27"/>
      <c r="U46048" s="27"/>
    </row>
    <row r="46049">
      <c r="S46049" s="26"/>
      <c r="T46049" s="27"/>
      <c r="U46049" s="27"/>
    </row>
    <row r="46050">
      <c r="S46050" s="27"/>
      <c r="T46050" s="27"/>
      <c r="U46050" s="27"/>
    </row>
    <row r="46051">
      <c r="S46051" s="27"/>
      <c r="T46051" s="27"/>
      <c r="U46051" s="27"/>
    </row>
    <row r="46052">
      <c r="S46052" s="27"/>
      <c r="T46052" s="27"/>
      <c r="U46052" s="27"/>
    </row>
    <row r="46053">
      <c r="S46053" s="27"/>
      <c r="T46053" s="27"/>
      <c r="U46053" s="27"/>
    </row>
    <row r="46054">
      <c r="S46054" s="27"/>
      <c r="T46054" s="27"/>
      <c r="U46054" s="27"/>
    </row>
    <row r="46055">
      <c r="S46055" s="27"/>
      <c r="T46055" s="27"/>
      <c r="U46055" s="27"/>
    </row>
    <row r="46056">
      <c r="S46056" s="27"/>
      <c r="T46056" s="27"/>
      <c r="U46056" s="27"/>
    </row>
    <row r="46057">
      <c r="S46057" s="27"/>
      <c r="T46057" s="27"/>
      <c r="U46057" s="27"/>
    </row>
    <row r="46058">
      <c r="S46058" s="27"/>
      <c r="T46058" s="27"/>
      <c r="U46058" s="27"/>
    </row>
    <row r="46059">
      <c r="S46059" s="27"/>
      <c r="T46059" s="27"/>
      <c r="U46059" s="27"/>
    </row>
    <row r="46060">
      <c r="S46060" s="27"/>
      <c r="T46060" s="27"/>
      <c r="U46060" s="27"/>
    </row>
    <row r="46061">
      <c r="S46061" s="27"/>
    </row>
    <row r="46062">
      <c r="S46062" s="27"/>
      <c r="T46062" s="27"/>
      <c r="U46062" s="27"/>
    </row>
    <row r="46063">
      <c r="S46063" s="27"/>
      <c r="T46063" s="27"/>
      <c r="U46063" s="27"/>
    </row>
    <row r="46064">
      <c r="S46064" s="27"/>
      <c r="T46064" s="27"/>
      <c r="U46064" s="27"/>
    </row>
    <row r="46065">
      <c r="S46065" s="27"/>
      <c r="T46065" s="27"/>
      <c r="U46065" s="27"/>
    </row>
    <row r="46066">
      <c r="S46066" s="27"/>
      <c r="T46066" s="27"/>
      <c r="U46066" s="27"/>
    </row>
    <row r="46067">
      <c r="S46067" s="27"/>
      <c r="T46067" s="27"/>
      <c r="U46067" s="27"/>
    </row>
    <row r="46068">
      <c r="S46068" s="27"/>
      <c r="T46068" s="27"/>
      <c r="U46068" s="27"/>
    </row>
    <row r="46069">
      <c r="S46069" s="27"/>
      <c r="T46069" s="27"/>
      <c r="U46069" s="27"/>
    </row>
    <row r="46070">
      <c r="S46070" s="27"/>
      <c r="T46070" s="27"/>
      <c r="U46070" s="27"/>
    </row>
    <row r="46071">
      <c r="S46071" s="27"/>
      <c r="T46071" s="27"/>
      <c r="U46071" s="27"/>
    </row>
    <row r="46072">
      <c r="S46072" s="27"/>
      <c r="T46072" s="27"/>
      <c r="U46072" s="27"/>
    </row>
    <row r="46073">
      <c r="S46073" s="27"/>
      <c r="T46073" s="27"/>
      <c r="U46073" s="27"/>
    </row>
    <row r="46074">
      <c r="S46074" s="27"/>
      <c r="T46074" s="27"/>
      <c r="U46074" s="27"/>
    </row>
    <row r="46075">
      <c r="T46075" s="27"/>
      <c r="U46075" s="27"/>
    </row>
    <row r="46076">
      <c r="S46076" s="27"/>
      <c r="T46076" s="27"/>
      <c r="U46076" s="27"/>
    </row>
    <row r="46077">
      <c r="S46077" s="27"/>
      <c r="T46077" s="27"/>
      <c r="U46077" s="27"/>
    </row>
    <row r="46078">
      <c r="S46078" s="27"/>
      <c r="T46078" s="27"/>
      <c r="U46078" s="27"/>
    </row>
    <row r="46079">
      <c r="S46079" s="27"/>
      <c r="T46079" s="27"/>
      <c r="U46079" s="27"/>
    </row>
    <row r="46080">
      <c r="S46080" s="27"/>
      <c r="T46080" s="27"/>
      <c r="U46080" s="27"/>
    </row>
    <row r="46081">
      <c r="S46081" s="27"/>
      <c r="T46081" s="27"/>
      <c r="U46081" s="27"/>
    </row>
    <row r="46082">
      <c r="S46082" s="27"/>
      <c r="T46082" s="27"/>
      <c r="U46082" s="27"/>
    </row>
    <row r="46083">
      <c r="S46083" s="27"/>
      <c r="T46083" s="27"/>
      <c r="U46083" s="27"/>
    </row>
    <row r="46084">
      <c r="S46084" s="27"/>
      <c r="T46084" s="27"/>
      <c r="U46084" s="27"/>
    </row>
    <row r="46085">
      <c r="S46085" s="27"/>
      <c r="T46085" s="27"/>
      <c r="U46085" s="27"/>
    </row>
    <row r="46086">
      <c r="S46086" s="27"/>
      <c r="T46086" s="27"/>
      <c r="U46086" s="27"/>
    </row>
    <row r="46087">
      <c r="S46087" s="27"/>
      <c r="T46087" s="27"/>
      <c r="U46087" s="27"/>
    </row>
    <row r="46088">
      <c r="S46088" s="27"/>
      <c r="T46088" s="27"/>
      <c r="U46088" s="27"/>
    </row>
    <row r="46089">
      <c r="S46089" s="27"/>
      <c r="T46089" s="27"/>
      <c r="U46089" s="27"/>
    </row>
    <row r="46090">
      <c r="S46090" s="27"/>
      <c r="T46090" s="27"/>
      <c r="U46090" s="27"/>
    </row>
    <row r="46091">
      <c r="S46091" s="27"/>
      <c r="T46091" s="27"/>
      <c r="U46091" s="27"/>
    </row>
    <row r="46093">
      <c r="S46093" s="27"/>
      <c r="T46093" s="27"/>
      <c r="U46093" s="27"/>
    </row>
    <row r="46094">
      <c r="S46094" s="27"/>
      <c r="T46094" s="27"/>
      <c r="U46094" s="27"/>
    </row>
    <row r="46095">
      <c r="S46095" s="27"/>
      <c r="T46095" s="27"/>
      <c r="U46095" s="27"/>
    </row>
    <row r="46096">
      <c r="S46096" s="27"/>
      <c r="T46096" s="27"/>
      <c r="U46096" s="27"/>
    </row>
    <row r="46097">
      <c r="S46097" s="27"/>
      <c r="T46097" s="27"/>
      <c r="U46097" s="27"/>
    </row>
    <row r="46098">
      <c r="S46098" s="27"/>
      <c r="T46098" s="27"/>
      <c r="U46098" s="27"/>
    </row>
    <row r="46099">
      <c r="S46099" s="27"/>
      <c r="T46099" s="27"/>
      <c r="U46099" s="27"/>
    </row>
    <row r="46100">
      <c r="S46100" s="27"/>
      <c r="T46100" s="27"/>
      <c r="U46100" s="27"/>
    </row>
    <row r="46101">
      <c r="S46101" s="27"/>
      <c r="T46101" s="27"/>
      <c r="U46101" s="27"/>
    </row>
    <row r="46102">
      <c r="S46102" s="27"/>
      <c r="T46102" s="27"/>
    </row>
    <row r="46103">
      <c r="S46103" s="27"/>
      <c r="T46103" s="27"/>
      <c r="U46103" s="26"/>
    </row>
    <row r="46104">
      <c r="S46104" s="27"/>
      <c r="T46104" s="27"/>
      <c r="U46104" s="27"/>
    </row>
    <row r="46105">
      <c r="S46105" s="27"/>
      <c r="T46105" s="27"/>
      <c r="U46105" s="27"/>
    </row>
    <row r="46106">
      <c r="S46106" s="27"/>
      <c r="T46106" s="27"/>
      <c r="U46106" s="27"/>
    </row>
    <row r="46107">
      <c r="S46107" s="27"/>
      <c r="T46107" s="27"/>
      <c r="U46107" s="27"/>
    </row>
    <row r="46108">
      <c r="S46108" s="27"/>
      <c r="T46108" s="27"/>
      <c r="U46108" s="27"/>
    </row>
    <row r="46109">
      <c r="S46109" s="27"/>
      <c r="T46109" s="27"/>
      <c r="U46109" s="27"/>
    </row>
    <row r="46110">
      <c r="S46110" s="27"/>
      <c r="T46110" s="27"/>
      <c r="U46110" s="27"/>
    </row>
    <row r="46111">
      <c r="S46111" s="27"/>
      <c r="T46111" s="27"/>
      <c r="U46111" s="27"/>
    </row>
    <row r="46112">
      <c r="S46112" s="27"/>
      <c r="T46112" s="27"/>
      <c r="U46112" s="27"/>
    </row>
    <row r="46113">
      <c r="S46113" s="27"/>
      <c r="T46113" s="27"/>
      <c r="U46113" s="27"/>
    </row>
    <row r="46114">
      <c r="S46114" s="27"/>
      <c r="T46114" s="27"/>
      <c r="U46114" s="27"/>
    </row>
    <row r="46115">
      <c r="S46115" s="27"/>
      <c r="T46115" s="27"/>
      <c r="U46115" s="27"/>
    </row>
    <row r="46116">
      <c r="S46116" s="27"/>
      <c r="T46116" s="27"/>
      <c r="U46116" s="27"/>
    </row>
    <row r="46117">
      <c r="S46117" s="27"/>
      <c r="T46117" s="27"/>
      <c r="U46117" s="27"/>
    </row>
    <row r="46118">
      <c r="S46118" s="27"/>
      <c r="T46118" s="27"/>
      <c r="U46118" s="27"/>
    </row>
    <row r="46119">
      <c r="S46119" s="27"/>
      <c r="T46119" s="27"/>
      <c r="U46119" s="27"/>
    </row>
    <row r="46120">
      <c r="S46120" s="27"/>
      <c r="T46120" s="27"/>
      <c r="U46120" s="27"/>
    </row>
    <row r="46121">
      <c r="S46121" s="27"/>
      <c r="T46121" s="27"/>
      <c r="U46121" s="27"/>
    </row>
    <row r="46122">
      <c r="S46122" s="27"/>
      <c r="T46122" s="27"/>
      <c r="U46122" s="27"/>
    </row>
    <row r="46123">
      <c r="S46123" s="27"/>
      <c r="T46123" s="27"/>
      <c r="U46123" s="27"/>
    </row>
    <row r="46124">
      <c r="S46124" s="27"/>
      <c r="T46124" s="27"/>
      <c r="U46124" s="27"/>
    </row>
    <row r="46125">
      <c r="S46125" s="27"/>
      <c r="T46125" s="27"/>
      <c r="U46125" s="27"/>
    </row>
    <row r="46126">
      <c r="S46126" s="27"/>
      <c r="T46126" s="27"/>
      <c r="U46126" s="27"/>
    </row>
    <row r="46127">
      <c r="S46127" s="27"/>
      <c r="T46127" s="27"/>
      <c r="U46127" s="27"/>
    </row>
    <row r="46128">
      <c r="S46128" s="27"/>
      <c r="T46128" s="27"/>
      <c r="U46128" s="27"/>
    </row>
    <row r="46129">
      <c r="S46129" s="27"/>
      <c r="T46129" s="27"/>
      <c r="U46129" s="27"/>
    </row>
    <row r="46130">
      <c r="S46130" s="27"/>
      <c r="T46130" s="27"/>
      <c r="U46130" s="27"/>
    </row>
    <row r="46131">
      <c r="S46131" s="27"/>
      <c r="T46131" s="27"/>
      <c r="U46131" s="27"/>
    </row>
    <row r="46132">
      <c r="S46132" s="27"/>
      <c r="T46132" s="27"/>
      <c r="U46132" s="27"/>
    </row>
    <row r="46133">
      <c r="S46133" s="27"/>
      <c r="T46133" s="27"/>
      <c r="U46133" s="27"/>
    </row>
    <row r="46134">
      <c r="S46134" s="27"/>
      <c r="T46134" s="27"/>
      <c r="U46134" s="27"/>
    </row>
    <row r="46135">
      <c r="S46135" s="27"/>
      <c r="T46135" s="27"/>
      <c r="U46135" s="27"/>
    </row>
    <row r="46136">
      <c r="S46136" s="27"/>
      <c r="T46136" s="27"/>
      <c r="U46136" s="27"/>
    </row>
    <row r="46137">
      <c r="S46137" s="27"/>
      <c r="T46137" s="27"/>
      <c r="U46137" s="27"/>
    </row>
    <row r="46138">
      <c r="S46138" s="27"/>
      <c r="T46138" s="27"/>
      <c r="U46138" s="27"/>
    </row>
    <row r="46139">
      <c r="S46139" s="27"/>
      <c r="T46139" s="27"/>
      <c r="U46139" s="27"/>
    </row>
    <row r="46140">
      <c r="S46140" s="27"/>
      <c r="T46140" s="27"/>
      <c r="U46140" s="27"/>
    </row>
    <row r="46141">
      <c r="S46141" s="27"/>
      <c r="T46141" s="27"/>
      <c r="U46141" s="27"/>
    </row>
    <row r="46142">
      <c r="S46142" s="27"/>
      <c r="T46142" s="27"/>
      <c r="U46142" s="27"/>
    </row>
    <row r="46143">
      <c r="S46143" s="27"/>
      <c r="T46143" s="27"/>
      <c r="U46143" s="27"/>
    </row>
    <row r="46144">
      <c r="S46144" s="27"/>
      <c r="T46144" s="27"/>
      <c r="U46144" s="27"/>
    </row>
    <row r="46145">
      <c r="S46145" s="27"/>
      <c r="T46145" s="27"/>
      <c r="U46145" s="27"/>
    </row>
    <row r="46146">
      <c r="S46146" s="27"/>
      <c r="T46146" s="27"/>
      <c r="U46146" s="27"/>
    </row>
    <row r="46147">
      <c r="S46147" s="27"/>
      <c r="T46147" s="27"/>
      <c r="U46147" s="27"/>
    </row>
    <row r="46148">
      <c r="S46148" s="27"/>
      <c r="T46148" s="27"/>
      <c r="U46148" s="27"/>
    </row>
    <row r="46149">
      <c r="S46149" s="27"/>
      <c r="T46149" s="27"/>
      <c r="U46149" s="27"/>
    </row>
    <row r="46150">
      <c r="S46150" s="27"/>
      <c r="T46150" s="27"/>
      <c r="U46150" s="27"/>
    </row>
    <row r="46151">
      <c r="S46151" s="27"/>
      <c r="T46151" s="27"/>
      <c r="U46151" s="27"/>
    </row>
    <row r="46152">
      <c r="S46152" s="27"/>
      <c r="T46152" s="27"/>
      <c r="U46152" s="27"/>
    </row>
    <row r="46153">
      <c r="S46153" s="27"/>
      <c r="T46153" s="27"/>
      <c r="U46153" s="27"/>
    </row>
    <row r="46154">
      <c r="S46154" s="27"/>
      <c r="T46154" s="27"/>
      <c r="U46154" s="27"/>
    </row>
    <row r="46155">
      <c r="S46155" s="27"/>
      <c r="T46155" s="27"/>
      <c r="U46155" s="27"/>
    </row>
    <row r="46156">
      <c r="S46156" s="27"/>
      <c r="T46156" s="27"/>
      <c r="U46156" s="27"/>
    </row>
    <row r="46157">
      <c r="S46157" s="27"/>
      <c r="T46157" s="27"/>
      <c r="U46157" s="27"/>
    </row>
    <row r="46158">
      <c r="S46158" s="27"/>
      <c r="T46158" s="27"/>
      <c r="U46158" s="27"/>
    </row>
    <row r="46159">
      <c r="S46159" s="27"/>
      <c r="T46159" s="27"/>
      <c r="U46159" s="27"/>
    </row>
    <row r="46160">
      <c r="S46160" s="27"/>
      <c r="T46160" s="27"/>
      <c r="U46160" s="27"/>
    </row>
    <row r="46161">
      <c r="S46161" s="27"/>
      <c r="T46161" s="27"/>
      <c r="U46161" s="27"/>
    </row>
    <row r="46162">
      <c r="S46162" s="27"/>
      <c r="T46162" s="27"/>
      <c r="U46162" s="27"/>
    </row>
    <row r="46163">
      <c r="S46163" s="27"/>
      <c r="T46163" s="27"/>
      <c r="U46163" s="27"/>
    </row>
    <row r="46164">
      <c r="S46164" s="27"/>
      <c r="T46164" s="27"/>
      <c r="U46164" s="27"/>
    </row>
    <row r="46165">
      <c r="S46165" s="27"/>
      <c r="T46165" s="27"/>
      <c r="U46165" s="27"/>
    </row>
    <row r="46166">
      <c r="S46166" s="27"/>
      <c r="T46166" s="27"/>
      <c r="U46166" s="27"/>
    </row>
    <row r="46167">
      <c r="S46167" s="27"/>
      <c r="T46167" s="27"/>
      <c r="U46167" s="27"/>
    </row>
    <row r="46168">
      <c r="S46168" s="27"/>
      <c r="T46168" s="27"/>
      <c r="U46168" s="27"/>
    </row>
    <row r="46169">
      <c r="S46169" s="27"/>
      <c r="T46169" s="27"/>
      <c r="U46169" s="27"/>
    </row>
    <row r="46170">
      <c r="S46170" s="27"/>
      <c r="T46170" s="27"/>
      <c r="U46170" s="27"/>
    </row>
    <row r="46171">
      <c r="S46171" s="27"/>
      <c r="T46171" s="27"/>
      <c r="U46171" s="27"/>
    </row>
    <row r="46172">
      <c r="S46172" s="27"/>
      <c r="T46172" s="27"/>
      <c r="U46172" s="27"/>
    </row>
    <row r="46173">
      <c r="S46173" s="27"/>
      <c r="T46173" s="27"/>
      <c r="U46173" s="27"/>
    </row>
    <row r="46174">
      <c r="S46174" s="27"/>
      <c r="T46174" s="27"/>
      <c r="U46174" s="27"/>
    </row>
    <row r="46175">
      <c r="S46175" s="27"/>
      <c r="T46175" s="27"/>
      <c r="U46175" s="27"/>
    </row>
    <row r="46176">
      <c r="S46176" s="27"/>
      <c r="T46176" s="27"/>
      <c r="U46176" s="27"/>
    </row>
    <row r="46177">
      <c r="S46177" s="27"/>
      <c r="T46177" s="27"/>
      <c r="U46177" s="27"/>
    </row>
    <row r="46178">
      <c r="S46178" s="27"/>
      <c r="T46178" s="27"/>
      <c r="U46178" s="27"/>
    </row>
    <row r="46179">
      <c r="S46179" s="27"/>
      <c r="T46179" s="27"/>
      <c r="U46179" s="27"/>
    </row>
    <row r="46180">
      <c r="S46180" s="27"/>
      <c r="T46180" s="27"/>
      <c r="U46180" s="27"/>
    </row>
    <row r="46181">
      <c r="S46181" s="27"/>
      <c r="T46181" s="27"/>
      <c r="U46181" s="27"/>
    </row>
    <row r="46182">
      <c r="S46182" s="27"/>
      <c r="T46182" s="27"/>
      <c r="U46182" s="27"/>
    </row>
    <row r="46183">
      <c r="S46183" s="27"/>
      <c r="T46183" s="27"/>
      <c r="U46183" s="27"/>
    </row>
    <row r="46184">
      <c r="S46184" s="27"/>
      <c r="T46184" s="27"/>
      <c r="U46184" s="27"/>
    </row>
    <row r="46185">
      <c r="S46185" s="27"/>
      <c r="T46185" s="27"/>
      <c r="U46185" s="27"/>
    </row>
    <row r="46186">
      <c r="S46186" s="27"/>
      <c r="T46186" s="27"/>
      <c r="U46186" s="27"/>
    </row>
    <row r="46187">
      <c r="S46187" s="27"/>
      <c r="T46187" s="27"/>
      <c r="U46187" s="27"/>
    </row>
    <row r="46188">
      <c r="S46188" s="27"/>
      <c r="T46188" s="27"/>
      <c r="U46188" s="27"/>
    </row>
    <row r="46189">
      <c r="S46189" s="27"/>
      <c r="T46189" s="27"/>
      <c r="U46189" s="27"/>
    </row>
    <row r="46190">
      <c r="S46190" s="27"/>
      <c r="T46190" s="27"/>
      <c r="U46190" s="27"/>
    </row>
    <row r="46191">
      <c r="S46191" s="27"/>
      <c r="T46191" s="27"/>
      <c r="U46191" s="27"/>
    </row>
    <row r="46192">
      <c r="S46192" s="27"/>
      <c r="T46192" s="27"/>
      <c r="U46192" s="27"/>
    </row>
    <row r="46193">
      <c r="S46193" s="27"/>
      <c r="T46193" s="27"/>
      <c r="U46193" s="27"/>
    </row>
    <row r="46194">
      <c r="S46194" s="27"/>
      <c r="T46194" s="27"/>
      <c r="U46194" s="27"/>
    </row>
    <row r="46195">
      <c r="S46195" s="27"/>
      <c r="T46195" s="27"/>
      <c r="U46195" s="27"/>
    </row>
    <row r="46196">
      <c r="S46196" s="27"/>
      <c r="T46196" s="27"/>
      <c r="U46196" s="27"/>
    </row>
    <row r="46197">
      <c r="S46197" s="27"/>
      <c r="T46197" s="27"/>
      <c r="U46197" s="27"/>
    </row>
    <row r="46198">
      <c r="S46198" s="27"/>
      <c r="T46198" s="27"/>
      <c r="U46198" s="27"/>
    </row>
    <row r="46199">
      <c r="S46199" s="27"/>
      <c r="T46199" s="27"/>
      <c r="U46199" s="27"/>
    </row>
    <row r="46200">
      <c r="S46200" s="27"/>
      <c r="T46200" s="27"/>
      <c r="U46200" s="27"/>
    </row>
    <row r="46202">
      <c r="S46202" s="26"/>
      <c r="T46202" s="27"/>
      <c r="U46202" s="27"/>
    </row>
    <row r="46205">
      <c r="S46205" s="27"/>
      <c r="T46205" s="27"/>
      <c r="U46205" s="27"/>
    </row>
    <row r="46208">
      <c r="S46208" s="27"/>
      <c r="T46208" s="27"/>
      <c r="U46208" s="27"/>
    </row>
    <row r="46209">
      <c r="S46209" s="27"/>
      <c r="T46209" s="27"/>
      <c r="U46209" s="27"/>
    </row>
    <row r="46211">
      <c r="S46211" s="27"/>
      <c r="T46211" s="27"/>
      <c r="U46211" s="27"/>
    </row>
    <row r="46212">
      <c r="S46212" s="27"/>
      <c r="T46212" s="27"/>
      <c r="U46212" s="27"/>
    </row>
    <row r="46214">
      <c r="S46214" s="27"/>
      <c r="T46214" s="27"/>
      <c r="U46214" s="27"/>
    </row>
    <row r="46215">
      <c r="S46215" s="27"/>
      <c r="T46215" s="27"/>
      <c r="U46215" s="27"/>
    </row>
    <row r="46217">
      <c r="S46217" s="26"/>
      <c r="T46217" s="26"/>
      <c r="U46217" s="26"/>
    </row>
    <row r="46220">
      <c r="S46220" s="27"/>
      <c r="T46220" s="27"/>
      <c r="U46220" s="27"/>
    </row>
    <row r="46221">
      <c r="S46221" s="27"/>
      <c r="T46221" s="27"/>
      <c r="U46221" s="27"/>
    </row>
    <row r="46223">
      <c r="S46223" s="27"/>
      <c r="T46223" s="27"/>
      <c r="U46223" s="27"/>
    </row>
    <row r="46224">
      <c r="S46224" s="27"/>
      <c r="T46224" s="27"/>
      <c r="U46224" s="27"/>
    </row>
    <row r="46226">
      <c r="T46226" s="27"/>
    </row>
    <row r="46227">
      <c r="T46227" s="27"/>
      <c r="U46227" s="27"/>
    </row>
    <row r="46229">
      <c r="S46229" s="27"/>
      <c r="T46229" s="27"/>
      <c r="U46229" s="27"/>
    </row>
    <row r="46232">
      <c r="S46232" s="26"/>
      <c r="T46232" s="26"/>
      <c r="U46232" s="26"/>
    </row>
    <row r="46235">
      <c r="S46235" s="27"/>
      <c r="T46235" s="27"/>
      <c r="U46235" s="27"/>
    </row>
    <row r="46236">
      <c r="S46236" s="27"/>
      <c r="T46236" s="27"/>
      <c r="U46236" s="27"/>
    </row>
    <row r="46238">
      <c r="S46238" s="27"/>
      <c r="T46238" s="27"/>
      <c r="U46238" s="27"/>
    </row>
    <row r="46239">
      <c r="S46239" s="27"/>
      <c r="T46239" s="27"/>
      <c r="U46239" s="27"/>
    </row>
    <row r="46244">
      <c r="S46244" s="27"/>
      <c r="T46244" s="27"/>
    </row>
    <row r="46247">
      <c r="S46247" s="27"/>
      <c r="T46247" s="27"/>
      <c r="U46247" s="27"/>
    </row>
    <row r="46250">
      <c r="S46250" s="27"/>
      <c r="T46250" s="27"/>
      <c r="U46250" s="27"/>
    </row>
    <row r="46251">
      <c r="S46251" s="27"/>
      <c r="T46251" s="27"/>
      <c r="U46251" s="27"/>
    </row>
    <row r="46253">
      <c r="S46253" s="27"/>
      <c r="T46253" s="27"/>
      <c r="U46253" s="27"/>
    </row>
    <row r="46254">
      <c r="S46254" s="27"/>
      <c r="T46254" s="27"/>
      <c r="U46254" s="27"/>
    </row>
    <row r="46256">
      <c r="S46256" s="27"/>
      <c r="T46256" s="27"/>
      <c r="U46256" s="27"/>
    </row>
    <row r="46257">
      <c r="S46257" s="27"/>
      <c r="T46257" s="27"/>
      <c r="U46257" s="27"/>
    </row>
    <row r="46259">
      <c r="S46259" s="27"/>
      <c r="T46259" s="27"/>
      <c r="U46259" s="27"/>
    </row>
    <row r="46260">
      <c r="S46260" s="27"/>
      <c r="T46260" s="27"/>
      <c r="U46260" s="27"/>
    </row>
    <row r="46262">
      <c r="S46262" s="27"/>
      <c r="T46262" s="27"/>
      <c r="U46262" s="27"/>
    </row>
    <row r="46263">
      <c r="S46263" s="27"/>
      <c r="T46263" s="27"/>
      <c r="U46263" s="27"/>
    </row>
    <row r="46265">
      <c r="S46265" s="27"/>
      <c r="T46265" s="27"/>
      <c r="U46265" s="27"/>
    </row>
    <row r="46266">
      <c r="S46266" s="27"/>
      <c r="T46266" s="27"/>
      <c r="U46266" s="27"/>
    </row>
    <row r="46268">
      <c r="S46268" s="27"/>
      <c r="T46268" s="27"/>
      <c r="U46268" s="27"/>
    </row>
    <row r="46269">
      <c r="S46269" s="27"/>
      <c r="T46269" s="27"/>
      <c r="U46269" s="27"/>
    </row>
    <row r="46271">
      <c r="S46271" s="27"/>
      <c r="T46271" s="27"/>
      <c r="U46271" s="27"/>
    </row>
    <row r="46272">
      <c r="S46272" s="27"/>
      <c r="T46272" s="27"/>
      <c r="U46272" s="27"/>
    </row>
    <row r="46274">
      <c r="S46274" s="27"/>
      <c r="T46274" s="27"/>
      <c r="U46274" s="27"/>
    </row>
    <row r="46275">
      <c r="S46275" s="27"/>
      <c r="T46275" s="27"/>
      <c r="U46275" s="27"/>
    </row>
    <row r="46277">
      <c r="S46277" s="27"/>
      <c r="T46277" s="27"/>
      <c r="U46277" s="27"/>
    </row>
    <row r="46278">
      <c r="S46278" s="27"/>
      <c r="T46278" s="27"/>
      <c r="U46278" s="27"/>
    </row>
    <row r="46280">
      <c r="S46280" s="27"/>
      <c r="T46280" s="27"/>
      <c r="U46280" s="27"/>
    </row>
    <row r="46281">
      <c r="S46281" s="27"/>
      <c r="T46281" s="27"/>
      <c r="U46281" s="27"/>
    </row>
    <row r="46283">
      <c r="S46283" s="27"/>
      <c r="T46283" s="27"/>
      <c r="U46283" s="27"/>
    </row>
    <row r="46284">
      <c r="S46284" s="27"/>
      <c r="T46284" s="27"/>
      <c r="U46284" s="27"/>
    </row>
    <row r="46286">
      <c r="S46286" s="27"/>
      <c r="T46286" s="27"/>
      <c r="U46286" s="27"/>
    </row>
    <row r="46287">
      <c r="S46287" s="27"/>
      <c r="T46287" s="27"/>
      <c r="U46287" s="27"/>
    </row>
    <row r="46289">
      <c r="S46289" s="27"/>
      <c r="T46289" s="27"/>
      <c r="U46289" s="27"/>
    </row>
    <row r="46290">
      <c r="S46290" s="27"/>
      <c r="T46290" s="27"/>
      <c r="U46290" s="27"/>
    </row>
    <row r="46292">
      <c r="S46292" s="27"/>
      <c r="T46292" s="27"/>
      <c r="U46292" s="27"/>
    </row>
    <row r="46293">
      <c r="S46293" s="27"/>
      <c r="T46293" s="27"/>
      <c r="U46293" s="27"/>
    </row>
    <row r="46295">
      <c r="S46295" s="27"/>
      <c r="T46295" s="27"/>
      <c r="U46295" s="27"/>
    </row>
    <row r="46296">
      <c r="S46296" s="27"/>
      <c r="T46296" s="27"/>
      <c r="U46296" s="27"/>
    </row>
    <row r="46298">
      <c r="S46298" s="27"/>
      <c r="T46298" s="27"/>
      <c r="U46298" s="27"/>
    </row>
    <row r="46299">
      <c r="S46299" s="27"/>
      <c r="T46299" s="27"/>
      <c r="U46299" s="27"/>
    </row>
    <row r="46301">
      <c r="S46301" s="27"/>
      <c r="T46301" s="27"/>
      <c r="U46301" s="27"/>
    </row>
    <row r="46302">
      <c r="S46302" s="27"/>
      <c r="T46302" s="27"/>
      <c r="U46302" s="27"/>
    </row>
    <row r="46304">
      <c r="S46304" s="27"/>
      <c r="T46304" s="27"/>
      <c r="U46304" s="27"/>
    </row>
    <row r="46305">
      <c r="S46305" s="27"/>
      <c r="T46305" s="27"/>
      <c r="U46305" s="27"/>
    </row>
    <row r="46307">
      <c r="S46307" s="27"/>
      <c r="T46307" s="27"/>
      <c r="U46307" s="27"/>
    </row>
    <row r="46308">
      <c r="S46308" s="27"/>
      <c r="T46308" s="27"/>
      <c r="U46308" s="27"/>
    </row>
    <row r="46310">
      <c r="S46310" s="27"/>
      <c r="T46310" s="27"/>
      <c r="U46310" s="27"/>
    </row>
    <row r="46311">
      <c r="S46311" s="27"/>
      <c r="T46311" s="27"/>
      <c r="U46311" s="27"/>
    </row>
    <row r="46313">
      <c r="T46313" s="27"/>
      <c r="U46313" s="27"/>
    </row>
    <row r="46314">
      <c r="T46314" s="27"/>
      <c r="U46314" s="27"/>
    </row>
    <row r="46316">
      <c r="S46316" s="27"/>
      <c r="T46316" s="27"/>
      <c r="U46316" s="27"/>
    </row>
    <row r="46317">
      <c r="S46317" s="27"/>
      <c r="T46317" s="27"/>
      <c r="U46317" s="27"/>
    </row>
    <row r="46319">
      <c r="S46319" s="27"/>
      <c r="T46319" s="27"/>
      <c r="U46319" s="27"/>
    </row>
    <row r="46320">
      <c r="S46320" s="27"/>
      <c r="T46320" s="27"/>
      <c r="U46320" s="27"/>
    </row>
    <row r="46322">
      <c r="U46322" s="27"/>
    </row>
    <row r="46323">
      <c r="U46323" s="27"/>
    </row>
    <row r="46325">
      <c r="S46325" s="27"/>
      <c r="T46325" s="27"/>
      <c r="U46325" s="27"/>
    </row>
    <row r="46326">
      <c r="S46326" s="27"/>
      <c r="T46326" s="27"/>
      <c r="U46326" s="27"/>
    </row>
    <row r="46328">
      <c r="S46328" s="27"/>
      <c r="T46328" s="27"/>
      <c r="U46328" s="27"/>
    </row>
    <row r="46331">
      <c r="S46331" s="33"/>
      <c r="T46331" s="33"/>
      <c r="U46331" s="33"/>
    </row>
    <row r="46332">
      <c r="S46332" s="27"/>
      <c r="T46332" s="27"/>
      <c r="U46332" s="27"/>
    </row>
    <row r="46334">
      <c r="S46334" s="27"/>
      <c r="T46334" s="27"/>
      <c r="U46334" s="27"/>
    </row>
    <row r="46335">
      <c r="S46335" s="27"/>
      <c r="T46335" s="27"/>
      <c r="U46335" s="27"/>
    </row>
    <row r="46337">
      <c r="S46337" s="27"/>
      <c r="T46337" s="27"/>
      <c r="U46337" s="27"/>
    </row>
    <row r="46338">
      <c r="S46338" s="26"/>
      <c r="T46338" s="26"/>
      <c r="U46338" s="26"/>
    </row>
    <row r="46340">
      <c r="S46340" s="27"/>
      <c r="T46340" s="27"/>
      <c r="U46340" s="27"/>
    </row>
    <row r="46341">
      <c r="S46341" s="27"/>
      <c r="T46341" s="27"/>
      <c r="U46341" s="27"/>
    </row>
    <row r="46343">
      <c r="S46343" s="27"/>
      <c r="T46343" s="27"/>
      <c r="U46343" s="27"/>
    </row>
    <row r="46344">
      <c r="S46344" s="27"/>
      <c r="T46344" s="27"/>
      <c r="U46344" s="27"/>
    </row>
    <row r="46346">
      <c r="S46346" s="27"/>
      <c r="T46346" s="27"/>
      <c r="U46346" s="27"/>
    </row>
    <row r="46347">
      <c r="S46347" s="27"/>
      <c r="T46347" s="27"/>
      <c r="U46347" s="27"/>
    </row>
    <row r="46349">
      <c r="S46349" s="27"/>
      <c r="T46349" s="27"/>
      <c r="U46349" s="26"/>
    </row>
    <row r="46352">
      <c r="S46352" s="26"/>
      <c r="T46352" s="26"/>
      <c r="U46352" s="26"/>
    </row>
    <row r="46355">
      <c r="S46355" s="27"/>
      <c r="U46355" s="27"/>
    </row>
    <row r="46357">
      <c r="S46357" s="27"/>
      <c r="T46357" s="27"/>
      <c r="U46357" s="27"/>
    </row>
    <row r="46359">
      <c r="U46359" s="26"/>
    </row>
    <row r="46362">
      <c r="S46362" s="27"/>
      <c r="T46362" s="27"/>
      <c r="U46362" s="27"/>
    </row>
    <row r="46365">
      <c r="S46365" s="27"/>
      <c r="T46365" s="27"/>
      <c r="U46365" s="27"/>
    </row>
    <row r="46366">
      <c r="S46366" s="27"/>
      <c r="T46366" s="27"/>
      <c r="U46366" s="27"/>
    </row>
    <row r="46368">
      <c r="S46368" s="27"/>
      <c r="T46368" s="27"/>
      <c r="U46368" s="27"/>
    </row>
    <row r="46369">
      <c r="S46369" s="27"/>
      <c r="T46369" s="27"/>
      <c r="U46369" s="27"/>
    </row>
    <row r="46371">
      <c r="S46371" s="27"/>
      <c r="T46371" s="27"/>
      <c r="U46371" s="27"/>
    </row>
    <row r="46372">
      <c r="U46372" s="27"/>
    </row>
    <row r="46374">
      <c r="S46374" s="27"/>
      <c r="T46374" s="27"/>
      <c r="U46374" s="27"/>
    </row>
    <row r="46375">
      <c r="S46375" s="27"/>
      <c r="T46375" s="27"/>
      <c r="U46375" s="26"/>
    </row>
    <row r="46377">
      <c r="S46377" s="27"/>
      <c r="T46377" s="27"/>
      <c r="U46377" s="27"/>
    </row>
    <row r="46378">
      <c r="S46378" s="27"/>
      <c r="T46378" s="27"/>
      <c r="U46378" s="27"/>
    </row>
    <row r="46383">
      <c r="S46383" s="27"/>
      <c r="T46383" s="27"/>
      <c r="U46383" s="27"/>
    </row>
    <row r="46384">
      <c r="S46384" s="27"/>
      <c r="T46384" s="27"/>
      <c r="U46384" s="27"/>
    </row>
    <row r="46386">
      <c r="S46386" s="27"/>
      <c r="T46386" s="27"/>
      <c r="U46386" s="27"/>
    </row>
    <row r="46387">
      <c r="S46387" s="27"/>
      <c r="T46387" s="27"/>
      <c r="U46387" s="27"/>
    </row>
    <row r="46389">
      <c r="S46389" s="27"/>
      <c r="T46389" s="27"/>
      <c r="U46389" s="27"/>
    </row>
    <row r="46390">
      <c r="S46390" s="27"/>
      <c r="T46390" s="27"/>
      <c r="U46390" s="27"/>
    </row>
    <row r="46392">
      <c r="S46392" s="33"/>
      <c r="T46392" s="27"/>
      <c r="U46392" s="27"/>
    </row>
    <row r="46398">
      <c r="S46398" s="27"/>
      <c r="T46398" s="27"/>
      <c r="U46398" s="27"/>
    </row>
    <row r="46401">
      <c r="S46401" s="27"/>
      <c r="T46401" s="27"/>
    </row>
    <row r="46402">
      <c r="S46402" s="33"/>
      <c r="T46402" s="33"/>
      <c r="U46402" s="26"/>
    </row>
    <row r="46404">
      <c r="S46404" s="27"/>
      <c r="T46404" s="27"/>
      <c r="U46404" s="27"/>
    </row>
    <row r="46407">
      <c r="S46407" s="27"/>
      <c r="T46407" s="27"/>
      <c r="U46407" s="27"/>
    </row>
    <row r="46408">
      <c r="S46408" s="27"/>
      <c r="T46408" s="27"/>
      <c r="U46408" s="27"/>
    </row>
    <row r="46410">
      <c r="S46410" s="27"/>
      <c r="T46410" s="27"/>
      <c r="U46410" s="27"/>
    </row>
    <row r="46411">
      <c r="S46411" s="27"/>
      <c r="T46411" s="27"/>
      <c r="U46411" s="27"/>
    </row>
    <row r="46413">
      <c r="S46413" s="27"/>
      <c r="T46413" s="27"/>
      <c r="U46413" s="27"/>
    </row>
    <row r="46414">
      <c r="S46414" s="27"/>
      <c r="T46414" s="27"/>
      <c r="U46414" s="27"/>
    </row>
    <row r="46416">
      <c r="S46416" s="27"/>
      <c r="T46416" s="27"/>
      <c r="U46416" s="27"/>
    </row>
    <row r="46417">
      <c r="S46417" s="27"/>
      <c r="T46417" s="27"/>
      <c r="U46417" s="27"/>
    </row>
    <row r="46419">
      <c r="T46419" s="34"/>
      <c r="U46419" s="34"/>
    </row>
    <row r="46422">
      <c r="S46422" s="27"/>
      <c r="T46422" s="27"/>
      <c r="U46422" s="27"/>
    </row>
    <row r="46423">
      <c r="S46423" s="27"/>
      <c r="T46423" s="27"/>
      <c r="U46423" s="27"/>
    </row>
    <row r="46425">
      <c r="S46425" s="27"/>
      <c r="T46425" s="27"/>
      <c r="U46425" s="27"/>
    </row>
    <row r="46426">
      <c r="S46426" s="27"/>
      <c r="T46426" s="27"/>
      <c r="U46426" s="27"/>
    </row>
    <row r="46428">
      <c r="T46428" s="27"/>
      <c r="U46428" s="27"/>
    </row>
    <row r="46431">
      <c r="S46431" s="26"/>
      <c r="U46431" s="27"/>
    </row>
    <row r="46432">
      <c r="T46432" s="27"/>
      <c r="U46432" s="27"/>
    </row>
    <row r="46434">
      <c r="S46434" s="27"/>
      <c r="T46434" s="27"/>
      <c r="U46434" s="27"/>
    </row>
    <row r="46435">
      <c r="S46435" s="27"/>
      <c r="T46435" s="27"/>
      <c r="U46435" s="27"/>
    </row>
    <row r="46437">
      <c r="S46437" s="27"/>
      <c r="T46437" s="27"/>
    </row>
    <row r="46438">
      <c r="S46438" s="27"/>
      <c r="T46438" s="27"/>
      <c r="U46438" s="27"/>
    </row>
    <row r="46440">
      <c r="T46440" s="27"/>
    </row>
    <row r="46443">
      <c r="S46443" s="27"/>
      <c r="T46443" s="27"/>
      <c r="U46443" s="27"/>
    </row>
    <row r="46444">
      <c r="S46444" s="27"/>
      <c r="T46444" s="27"/>
      <c r="U46444" s="27"/>
    </row>
    <row r="46446">
      <c r="S46446" s="26"/>
      <c r="T46446" s="26"/>
      <c r="U46446" s="26"/>
    </row>
    <row r="46449">
      <c r="S46449" s="27"/>
      <c r="T46449" s="27"/>
      <c r="U46449" s="27"/>
    </row>
    <row r="46452">
      <c r="S46452" s="27"/>
      <c r="T46452" s="27"/>
      <c r="U46452" s="27"/>
    </row>
    <row r="46453">
      <c r="S46453" s="27"/>
      <c r="T46453" s="27"/>
      <c r="U46453" s="27"/>
    </row>
    <row r="46455">
      <c r="S46455" s="27"/>
      <c r="T46455" s="27"/>
      <c r="U46455" s="27"/>
    </row>
    <row r="46456">
      <c r="S46456" s="27"/>
      <c r="T46456" s="27"/>
      <c r="U46456" s="27"/>
    </row>
    <row r="46458">
      <c r="S46458" s="27"/>
      <c r="T46458" s="27"/>
      <c r="U46458" s="27"/>
    </row>
    <row r="46459">
      <c r="S46459" s="27"/>
      <c r="T46459" s="27"/>
      <c r="U46459" s="27"/>
    </row>
    <row r="46461">
      <c r="T46461" s="27"/>
    </row>
    <row r="46462">
      <c r="S46462" s="26"/>
      <c r="T46462" s="26"/>
      <c r="U46462" s="26"/>
    </row>
    <row r="46464">
      <c r="S46464" s="27"/>
      <c r="T46464" s="27"/>
      <c r="U46464" s="27"/>
    </row>
    <row r="46465">
      <c r="S46465" s="27"/>
      <c r="T46465" s="27"/>
      <c r="U46465" s="27"/>
    </row>
    <row r="46467">
      <c r="S46467" s="27"/>
      <c r="T46467" s="27"/>
      <c r="U46467" s="27"/>
    </row>
    <row r="46468">
      <c r="S46468" s="27"/>
      <c r="T46468" s="27"/>
      <c r="U46468" s="27"/>
    </row>
    <row r="46470">
      <c r="S46470" s="27"/>
      <c r="T46470" s="27"/>
      <c r="U46470" s="27"/>
    </row>
    <row r="46471">
      <c r="S46471" s="27"/>
      <c r="T46471" s="27"/>
      <c r="U46471" s="27"/>
    </row>
    <row r="46473">
      <c r="S46473" s="27"/>
      <c r="T46473" s="27"/>
      <c r="U46473" s="27"/>
    </row>
    <row r="46474">
      <c r="S46474" s="27"/>
      <c r="T46474" s="27"/>
      <c r="U46474" s="27"/>
    </row>
    <row r="46476">
      <c r="S46476" s="27"/>
      <c r="T46476" s="27"/>
      <c r="U46476" s="27"/>
    </row>
    <row r="46477">
      <c r="S46477" s="27"/>
      <c r="T46477" s="27"/>
      <c r="U46477" s="27"/>
    </row>
    <row r="46479">
      <c r="S46479" s="27"/>
      <c r="T46479" s="27"/>
      <c r="U46479" s="27"/>
    </row>
    <row r="46480">
      <c r="S46480" s="27"/>
      <c r="T46480" s="27"/>
      <c r="U46480" s="27"/>
    </row>
    <row r="46482">
      <c r="S46482" s="27"/>
      <c r="T46482" s="27"/>
      <c r="U46482" s="27"/>
    </row>
    <row r="46483">
      <c r="S46483" s="27"/>
      <c r="T46483" s="27"/>
      <c r="U46483" s="27"/>
    </row>
    <row r="46485">
      <c r="S46485" s="27"/>
      <c r="T46485" s="27"/>
      <c r="U46485" s="27"/>
    </row>
    <row r="46486">
      <c r="S46486" s="27"/>
      <c r="T46486" s="27"/>
      <c r="U46486" s="27"/>
    </row>
    <row r="46488">
      <c r="S46488" s="27"/>
      <c r="T46488" s="27"/>
      <c r="U46488" s="27"/>
    </row>
    <row r="46489">
      <c r="S46489" s="27"/>
      <c r="T46489" s="27"/>
      <c r="U46489" s="27"/>
    </row>
    <row r="46491">
      <c r="S46491" s="27"/>
      <c r="T46491" s="27"/>
      <c r="U46491" s="27"/>
    </row>
    <row r="46492">
      <c r="S46492" s="27"/>
      <c r="T46492" s="27"/>
      <c r="U46492" s="27"/>
    </row>
    <row r="46494">
      <c r="S46494" s="27"/>
      <c r="T46494" s="27"/>
      <c r="U46494" s="27"/>
    </row>
    <row r="46495">
      <c r="S46495" s="27"/>
      <c r="T46495" s="27"/>
      <c r="U46495" s="27"/>
    </row>
    <row r="46497">
      <c r="S46497" s="27"/>
      <c r="T46497" s="27"/>
      <c r="U46497" s="27"/>
    </row>
    <row r="46498">
      <c r="S46498" s="27"/>
      <c r="T46498" s="27"/>
      <c r="U46498" s="27"/>
    </row>
    <row r="46500">
      <c r="S46500" s="27"/>
      <c r="T46500" s="27"/>
      <c r="U46500" s="27"/>
    </row>
    <row r="46501">
      <c r="S46501" s="27"/>
      <c r="T46501" s="27"/>
      <c r="U46501" s="27"/>
    </row>
    <row r="46503">
      <c r="S46503" s="27"/>
      <c r="T46503" s="27"/>
      <c r="U46503" s="27"/>
    </row>
    <row r="46504">
      <c r="S46504" s="27"/>
      <c r="T46504" s="27"/>
      <c r="U46504" s="27"/>
    </row>
    <row r="46506">
      <c r="S46506" s="27"/>
      <c r="T46506" s="27"/>
      <c r="U46506" s="27"/>
    </row>
    <row r="46507">
      <c r="S46507" s="27"/>
      <c r="T46507" s="27"/>
      <c r="U46507" s="27"/>
    </row>
    <row r="46509">
      <c r="S46509" s="27"/>
      <c r="T46509" s="27"/>
      <c r="U46509" s="27"/>
    </row>
    <row r="46510">
      <c r="S46510" s="27"/>
      <c r="T46510" s="27"/>
      <c r="U46510" s="27"/>
    </row>
    <row r="46512">
      <c r="S46512" s="27"/>
      <c r="T46512" s="27"/>
      <c r="U46512" s="27"/>
    </row>
    <row r="46513">
      <c r="S46513" s="27"/>
      <c r="T46513" s="27"/>
      <c r="U46513" s="27"/>
    </row>
    <row r="46515">
      <c r="S46515" s="27"/>
      <c r="T46515" s="27"/>
      <c r="U46515" s="27"/>
    </row>
    <row r="46516">
      <c r="S46516" s="27"/>
      <c r="T46516" s="27"/>
      <c r="U46516" s="27"/>
    </row>
    <row r="46518">
      <c r="S46518" s="27"/>
      <c r="T46518" s="27"/>
      <c r="U46518" s="27"/>
    </row>
    <row r="46519">
      <c r="S46519" s="27"/>
      <c r="T46519" s="27"/>
      <c r="U46519" s="27"/>
    </row>
    <row r="46521">
      <c r="S46521" s="27"/>
      <c r="T46521" s="27"/>
      <c r="U46521" s="27"/>
    </row>
    <row r="46522">
      <c r="S46522" s="27"/>
      <c r="T46522" s="27"/>
      <c r="U46522" s="27"/>
    </row>
    <row r="46524">
      <c r="S46524" s="27"/>
      <c r="T46524" s="27"/>
      <c r="U46524" s="27"/>
    </row>
    <row r="46525">
      <c r="S46525" s="27"/>
      <c r="T46525" s="27"/>
      <c r="U46525" s="27"/>
    </row>
    <row r="46527">
      <c r="S46527" s="27"/>
      <c r="T46527" s="27"/>
      <c r="U46527" s="27"/>
    </row>
    <row r="46528">
      <c r="S46528" s="27"/>
      <c r="T46528" s="27"/>
      <c r="U46528" s="27"/>
    </row>
    <row r="46530">
      <c r="S46530" s="27"/>
      <c r="T46530" s="27"/>
      <c r="U46530" s="27"/>
    </row>
    <row r="46531">
      <c r="S46531" s="27"/>
      <c r="T46531" s="27"/>
      <c r="U46531" s="27"/>
    </row>
    <row r="46533">
      <c r="S46533" s="27"/>
      <c r="T46533" s="27"/>
      <c r="U46533" s="27"/>
    </row>
    <row r="46534">
      <c r="S46534" s="27"/>
      <c r="T46534" s="27"/>
      <c r="U46534" s="27"/>
    </row>
    <row r="46536">
      <c r="S46536" s="27"/>
      <c r="T46536" s="27"/>
      <c r="U46536" s="27"/>
    </row>
    <row r="46537">
      <c r="S46537" s="27"/>
      <c r="T46537" s="27"/>
      <c r="U46537" s="27"/>
    </row>
    <row r="46539">
      <c r="S46539" s="27"/>
      <c r="T46539" s="27"/>
      <c r="U46539" s="27"/>
    </row>
    <row r="46540">
      <c r="S46540" s="27"/>
      <c r="T46540" s="27"/>
      <c r="U46540" s="27"/>
    </row>
    <row r="46542">
      <c r="S46542" s="27"/>
      <c r="T46542" s="27"/>
      <c r="U46542" s="27"/>
    </row>
    <row r="46543">
      <c r="S46543" s="27"/>
      <c r="T46543" s="27"/>
      <c r="U46543" s="27"/>
    </row>
    <row r="46545">
      <c r="S46545" s="27"/>
      <c r="T46545" s="27"/>
      <c r="U46545" s="27"/>
    </row>
    <row r="46546">
      <c r="S46546" s="27"/>
      <c r="T46546" s="27"/>
      <c r="U46546" s="27"/>
    </row>
    <row r="46548">
      <c r="S46548" s="27"/>
      <c r="T46548" s="27"/>
      <c r="U46548" s="27"/>
    </row>
    <row r="46549">
      <c r="S46549" s="27"/>
      <c r="T46549" s="27"/>
      <c r="U46549" s="27"/>
    </row>
    <row r="46551">
      <c r="S46551" s="27"/>
      <c r="T46551" s="27"/>
      <c r="U46551" s="27"/>
    </row>
    <row r="46552">
      <c r="S46552" s="27"/>
      <c r="T46552" s="27"/>
      <c r="U46552" s="27"/>
    </row>
    <row r="46554">
      <c r="S46554" s="27"/>
      <c r="T46554" s="27"/>
      <c r="U46554" s="27"/>
    </row>
    <row r="46555">
      <c r="S46555" s="27"/>
      <c r="T46555" s="27"/>
      <c r="U46555" s="27"/>
    </row>
    <row r="46557">
      <c r="S46557" s="27"/>
      <c r="T46557" s="27"/>
      <c r="U46557" s="27"/>
    </row>
    <row r="46559">
      <c r="S46559" s="27"/>
      <c r="T46559" s="27"/>
      <c r="U46559" s="27"/>
    </row>
    <row r="46560">
      <c r="S46560" s="27"/>
      <c r="T46560" s="27"/>
      <c r="U46560" s="27"/>
    </row>
    <row r="46562">
      <c r="S46562" s="27"/>
      <c r="T46562" s="27"/>
      <c r="U46562" s="27"/>
    </row>
    <row r="46563">
      <c r="S46563" s="27"/>
      <c r="T46563" s="27"/>
      <c r="U46563" s="27"/>
    </row>
    <row r="46565">
      <c r="S46565" s="27"/>
      <c r="T46565" s="27"/>
      <c r="U46565" s="27"/>
    </row>
    <row r="46566">
      <c r="S46566" s="27"/>
      <c r="T46566" s="27"/>
      <c r="U46566" s="27"/>
    </row>
    <row r="46568">
      <c r="S46568" s="27"/>
      <c r="T46568" s="27"/>
      <c r="U46568" s="27"/>
    </row>
    <row r="46569">
      <c r="S46569" s="27"/>
      <c r="T46569" s="27"/>
      <c r="U46569" s="27"/>
    </row>
    <row r="46571">
      <c r="S46571" s="27"/>
      <c r="T46571" s="27"/>
      <c r="U46571" s="27"/>
    </row>
    <row r="46572">
      <c r="S46572" s="27"/>
      <c r="T46572" s="27"/>
      <c r="U46572" s="27"/>
    </row>
    <row r="46574">
      <c r="S46574" s="27"/>
      <c r="T46574" s="27"/>
      <c r="U46574" s="27"/>
    </row>
    <row r="46575">
      <c r="S46575" s="27"/>
      <c r="T46575" s="27"/>
      <c r="U46575" s="27"/>
    </row>
    <row r="46577">
      <c r="S46577" s="27"/>
      <c r="T46577" s="27"/>
      <c r="U46577" s="27"/>
    </row>
    <row r="46578">
      <c r="S46578" s="27"/>
      <c r="T46578" s="27"/>
      <c r="U46578" s="27"/>
    </row>
    <row r="46580">
      <c r="S46580" s="27"/>
      <c r="T46580" s="27"/>
      <c r="U46580" s="27"/>
    </row>
    <row r="46582">
      <c r="S46582" s="27"/>
      <c r="T46582" s="27"/>
      <c r="U46582" s="27"/>
    </row>
    <row r="46584">
      <c r="S46584" s="27"/>
      <c r="T46584" s="27"/>
      <c r="U46584" s="27"/>
    </row>
    <row r="46586">
      <c r="S46586" s="27"/>
      <c r="T46586" s="27"/>
      <c r="U46586" s="27"/>
    </row>
    <row r="46588">
      <c r="S46588" s="27"/>
      <c r="T46588" s="27"/>
      <c r="U46588" s="27"/>
    </row>
    <row r="46589">
      <c r="S46589" s="27"/>
      <c r="T46589" s="27"/>
      <c r="U46589" s="27"/>
    </row>
    <row r="46591">
      <c r="S46591" s="27"/>
      <c r="T46591" s="27"/>
      <c r="U46591" s="27"/>
    </row>
    <row r="46592">
      <c r="S46592" s="27"/>
      <c r="T46592" s="27"/>
      <c r="U46592" s="27"/>
    </row>
    <row r="46594">
      <c r="S46594" s="27"/>
      <c r="T46594" s="27"/>
      <c r="U46594" s="27"/>
    </row>
    <row r="46595">
      <c r="S46595" s="27"/>
      <c r="T46595" s="27"/>
      <c r="U46595" s="27"/>
    </row>
    <row r="46597">
      <c r="S46597" s="27"/>
      <c r="T46597" s="27"/>
      <c r="U46597" s="27"/>
    </row>
    <row r="46598">
      <c r="S46598" s="27"/>
      <c r="T46598" s="27"/>
      <c r="U46598" s="27"/>
    </row>
    <row r="46600">
      <c r="S46600" s="27"/>
      <c r="T46600" s="27"/>
      <c r="U46600" s="27"/>
    </row>
    <row r="46601">
      <c r="S46601" s="27"/>
      <c r="T46601" s="27"/>
      <c r="U46601" s="27"/>
    </row>
    <row r="46613">
      <c r="S46613" s="27"/>
      <c r="T46613" s="27"/>
      <c r="U46613" s="27"/>
    </row>
    <row r="46614">
      <c r="S46614" s="27"/>
      <c r="T46614" s="27"/>
      <c r="U46614" s="27"/>
    </row>
    <row r="46616">
      <c r="S46616" s="27"/>
      <c r="T46616" s="27"/>
      <c r="U46616" s="27"/>
    </row>
    <row r="46617">
      <c r="S46617" s="27"/>
      <c r="T46617" s="27"/>
      <c r="U46617" s="27"/>
    </row>
    <row r="46619">
      <c r="S46619" s="27"/>
      <c r="T46619" s="27"/>
      <c r="U46619" s="27"/>
    </row>
    <row r="46620">
      <c r="S46620" s="27"/>
      <c r="T46620" s="27"/>
      <c r="U46620" s="27"/>
    </row>
    <row r="46625">
      <c r="S46625" s="27"/>
      <c r="T46625" s="27"/>
      <c r="U46625" s="27"/>
    </row>
    <row r="46626">
      <c r="S46626" s="27"/>
      <c r="T46626" s="27"/>
      <c r="U46626" s="27"/>
    </row>
    <row r="46628">
      <c r="S46628" s="27"/>
      <c r="T46628" s="27"/>
      <c r="U46628" s="27"/>
    </row>
    <row r="46629">
      <c r="S46629" s="27"/>
      <c r="T46629" s="27"/>
      <c r="U46629" s="27"/>
    </row>
    <row r="46631">
      <c r="S46631" s="27"/>
      <c r="T46631" s="27"/>
      <c r="U46631" s="27"/>
    </row>
    <row r="46632">
      <c r="S46632" s="27"/>
      <c r="T46632" s="27"/>
      <c r="U46632" s="27"/>
    </row>
    <row r="46637">
      <c r="S46637" s="26"/>
      <c r="T46637" s="27"/>
      <c r="U46637" s="26"/>
    </row>
    <row r="46638">
      <c r="S46638" s="26"/>
      <c r="T46638" s="26"/>
      <c r="U46638" s="26"/>
    </row>
    <row r="46640">
      <c r="S46640" s="27"/>
      <c r="T46640" s="27"/>
      <c r="U46640" s="27"/>
    </row>
    <row r="46641">
      <c r="S46641" s="27"/>
      <c r="T46641" s="27"/>
      <c r="U46641" s="27"/>
    </row>
    <row r="46643">
      <c r="S46643" s="27"/>
      <c r="T46643" s="27"/>
      <c r="U46643" s="27"/>
    </row>
    <row r="46644">
      <c r="S46644" s="27"/>
      <c r="T46644" s="27"/>
      <c r="U46644" s="27"/>
    </row>
    <row r="46649">
      <c r="S46649" s="26"/>
      <c r="U46649" s="34"/>
    </row>
    <row r="46652">
      <c r="S46652" s="27"/>
      <c r="T46652" s="27"/>
      <c r="U46652" s="27"/>
    </row>
    <row r="46655">
      <c r="S46655" s="27"/>
      <c r="T46655" s="27"/>
      <c r="U46655" s="27"/>
    </row>
    <row r="46656">
      <c r="S46656" s="27"/>
      <c r="T46656" s="27"/>
      <c r="U46656" s="27"/>
    </row>
    <row r="46658">
      <c r="S46658" s="27"/>
      <c r="T46658" s="27"/>
      <c r="U46658" s="27"/>
    </row>
    <row r="46659">
      <c r="S46659" s="27"/>
      <c r="T46659" s="27"/>
      <c r="U46659" s="27"/>
    </row>
    <row r="46661">
      <c r="S46661" s="27"/>
      <c r="T46661" s="27"/>
      <c r="U46661" s="27"/>
    </row>
    <row r="46662">
      <c r="S46662" s="27"/>
      <c r="T46662" s="27"/>
      <c r="U46662" s="27"/>
    </row>
    <row r="46664">
      <c r="S46664" s="27"/>
      <c r="T46664" s="27"/>
      <c r="U46664" s="27"/>
    </row>
    <row r="46665">
      <c r="S46665" s="27"/>
      <c r="T46665" s="27"/>
      <c r="U46665" s="27"/>
    </row>
    <row r="46667">
      <c r="S46667" s="27"/>
      <c r="T46667" s="27"/>
      <c r="U46667" s="27"/>
    </row>
    <row r="46668">
      <c r="S46668" s="27"/>
      <c r="T46668" s="27"/>
      <c r="U46668" s="27"/>
    </row>
    <row r="46670">
      <c r="S46670" s="27"/>
      <c r="T46670" s="27"/>
      <c r="U46670" s="27"/>
    </row>
    <row r="46671">
      <c r="S46671" s="27"/>
      <c r="T46671" s="27"/>
      <c r="U46671" s="27"/>
    </row>
    <row r="46673">
      <c r="S46673" s="27"/>
      <c r="T46673" s="27"/>
      <c r="U46673" s="27"/>
    </row>
    <row r="46674">
      <c r="S46674" s="27"/>
      <c r="T46674" s="27"/>
      <c r="U46674" s="27"/>
    </row>
    <row r="46676">
      <c r="S46676" s="27"/>
      <c r="T46676" s="27"/>
      <c r="U46676" s="27"/>
    </row>
    <row r="46677">
      <c r="S46677" s="27"/>
      <c r="T46677" s="27"/>
      <c r="U46677" s="27"/>
    </row>
    <row r="46679">
      <c r="S46679" s="27"/>
      <c r="T46679" s="27"/>
      <c r="U46679" s="27"/>
    </row>
    <row r="46680">
      <c r="S46680" s="27"/>
      <c r="T46680" s="27"/>
      <c r="U46680" s="27"/>
    </row>
    <row r="46682">
      <c r="S46682" s="27"/>
      <c r="T46682" s="27"/>
      <c r="U46682" s="27"/>
    </row>
    <row r="46683">
      <c r="S46683" s="27"/>
      <c r="T46683" s="27"/>
      <c r="U46683" s="27"/>
    </row>
    <row r="46685">
      <c r="S46685" s="27"/>
      <c r="T46685" s="27"/>
      <c r="U46685" s="27"/>
    </row>
    <row r="46686">
      <c r="S46686" s="27"/>
      <c r="T46686" s="27"/>
      <c r="U46686" s="27"/>
    </row>
    <row r="46688">
      <c r="S46688" s="27"/>
      <c r="T46688" s="27"/>
      <c r="U46688" s="27"/>
    </row>
    <row r="46689">
      <c r="S46689" s="27"/>
      <c r="T46689" s="27"/>
      <c r="U46689" s="27"/>
    </row>
    <row r="46691">
      <c r="S46691" s="27"/>
      <c r="T46691" s="27"/>
      <c r="U46691" s="27"/>
    </row>
    <row r="46692">
      <c r="S46692" s="27"/>
      <c r="T46692" s="27"/>
      <c r="U46692" s="27"/>
    </row>
    <row r="46694">
      <c r="S46694" s="27"/>
      <c r="T46694" s="27"/>
      <c r="U46694" s="27"/>
    </row>
    <row r="46695">
      <c r="S46695" s="27"/>
      <c r="T46695" s="27"/>
      <c r="U46695" s="27"/>
    </row>
    <row r="46697">
      <c r="S46697" s="27"/>
      <c r="T46697" s="27"/>
      <c r="U46697" s="27"/>
    </row>
    <row r="46698">
      <c r="S46698" s="27"/>
      <c r="T46698" s="27"/>
      <c r="U46698" s="27"/>
    </row>
    <row r="46700">
      <c r="S46700" s="27"/>
      <c r="T46700" s="27"/>
      <c r="U46700" s="27"/>
    </row>
    <row r="46701">
      <c r="S46701" s="27"/>
      <c r="T46701" s="27"/>
      <c r="U46701" s="27"/>
    </row>
    <row r="46703">
      <c r="S46703" s="27"/>
      <c r="T46703" s="27"/>
      <c r="U46703" s="27"/>
    </row>
    <row r="46704">
      <c r="S46704" s="27"/>
      <c r="T46704" s="27"/>
      <c r="U46704" s="27"/>
    </row>
    <row r="46706">
      <c r="S46706" s="27"/>
      <c r="T46706" s="27"/>
      <c r="U46706" s="27"/>
    </row>
    <row r="46707">
      <c r="S46707" s="27"/>
      <c r="T46707" s="27"/>
      <c r="U46707" s="27"/>
    </row>
    <row r="46709">
      <c r="S46709" s="27"/>
      <c r="T46709" s="27"/>
      <c r="U46709" s="27"/>
    </row>
    <row r="46710">
      <c r="S46710" s="27"/>
      <c r="T46710" s="27"/>
      <c r="U46710" s="27"/>
    </row>
    <row r="46712">
      <c r="S46712" s="27"/>
      <c r="T46712" s="27"/>
      <c r="U46712" s="27"/>
    </row>
    <row r="46713">
      <c r="S46713" s="27"/>
      <c r="T46713" s="27"/>
      <c r="U46713" s="27"/>
    </row>
    <row r="46715">
      <c r="S46715" s="27"/>
      <c r="T46715" s="27"/>
      <c r="U46715" s="27"/>
    </row>
    <row r="46716">
      <c r="S46716" s="27"/>
      <c r="T46716" s="27"/>
      <c r="U46716" s="27"/>
    </row>
    <row r="46718">
      <c r="S46718" s="27"/>
      <c r="T46718" s="27"/>
      <c r="U46718" s="27"/>
    </row>
    <row r="46719">
      <c r="S46719" s="27"/>
      <c r="T46719" s="27"/>
      <c r="U46719" s="27"/>
    </row>
    <row r="46721">
      <c r="S46721" s="27"/>
      <c r="T46721" s="27"/>
      <c r="U46721" s="27"/>
    </row>
    <row r="46722">
      <c r="S46722" s="27"/>
      <c r="T46722" s="27"/>
      <c r="U46722" s="27"/>
    </row>
    <row r="46724">
      <c r="S46724" s="27"/>
      <c r="T46724" s="27"/>
      <c r="U46724" s="27"/>
    </row>
    <row r="46725">
      <c r="S46725" s="27"/>
      <c r="T46725" s="27"/>
      <c r="U46725" s="27"/>
    </row>
    <row r="46727">
      <c r="S46727" s="27"/>
      <c r="T46727" s="27"/>
      <c r="U46727" s="27"/>
    </row>
    <row r="46728">
      <c r="S46728" s="27"/>
      <c r="T46728" s="27"/>
      <c r="U46728" s="27"/>
    </row>
    <row r="46730">
      <c r="U46730" s="27"/>
    </row>
    <row r="46731">
      <c r="S46731" s="27"/>
      <c r="T46731" s="27"/>
      <c r="U46731" s="27"/>
    </row>
    <row r="46734">
      <c r="S46734" s="27"/>
      <c r="T46734" s="27"/>
      <c r="U46734" s="27"/>
    </row>
    <row r="46736">
      <c r="S46736" s="33"/>
      <c r="T46736" s="27"/>
      <c r="U46736" s="33"/>
    </row>
    <row r="46737">
      <c r="S46737" s="27"/>
      <c r="U46737" s="27"/>
    </row>
    <row r="46739">
      <c r="S46739" s="27"/>
      <c r="T46739" s="27"/>
      <c r="U46739" s="27"/>
    </row>
    <row r="46740">
      <c r="S46740" s="27"/>
      <c r="T46740" s="27"/>
      <c r="U46740" s="27"/>
    </row>
    <row r="46742">
      <c r="S46742" s="27"/>
      <c r="T46742" s="27"/>
      <c r="U46742" s="27"/>
    </row>
    <row r="46743">
      <c r="S46743" s="26"/>
      <c r="T46743" s="27"/>
      <c r="U46743" s="27"/>
    </row>
    <row r="46745">
      <c r="S46745" s="27"/>
      <c r="T46745" s="27"/>
      <c r="U46745" s="27"/>
    </row>
    <row r="46746">
      <c r="S46746" s="27"/>
      <c r="T46746" s="27"/>
      <c r="U46746" s="27"/>
    </row>
    <row r="46748">
      <c r="S46748" s="27"/>
      <c r="T46748" s="27"/>
      <c r="U46748" s="27"/>
    </row>
    <row r="46749">
      <c r="S46749" s="27"/>
      <c r="T46749" s="27"/>
      <c r="U46749" s="27"/>
    </row>
    <row r="46752">
      <c r="S46752" s="27"/>
      <c r="T46752" s="27"/>
      <c r="U46752" s="27"/>
    </row>
    <row r="46760">
      <c r="S46760" s="27"/>
      <c r="T46760" s="27"/>
      <c r="U46760" s="27"/>
    </row>
    <row r="46764">
      <c r="S46764" s="27"/>
      <c r="T46764" s="27"/>
      <c r="U46764" s="27"/>
    </row>
    <row r="46770">
      <c r="S46770" s="27"/>
      <c r="T46770" s="27"/>
      <c r="U46770" s="27"/>
    </row>
    <row r="46771">
      <c r="S46771" s="27"/>
      <c r="T46771" s="27"/>
      <c r="U46771" s="27"/>
    </row>
    <row r="46773">
      <c r="S46773" s="27"/>
    </row>
    <row r="46774">
      <c r="S46774" s="27"/>
      <c r="T46774" s="27"/>
      <c r="U46774" s="27"/>
    </row>
    <row r="46776">
      <c r="S46776" s="27"/>
      <c r="T46776" s="27"/>
      <c r="U46776" s="33"/>
    </row>
    <row r="46777">
      <c r="S46777" s="27"/>
      <c r="T46777" s="27"/>
      <c r="U46777" s="27"/>
    </row>
    <row r="46779">
      <c r="S46779" s="27"/>
      <c r="T46779" s="27"/>
      <c r="U46779" s="27"/>
    </row>
    <row r="46780">
      <c r="S46780" s="26"/>
      <c r="T46780" s="26"/>
      <c r="U46780" s="26"/>
    </row>
    <row r="46783">
      <c r="S46783" s="27"/>
      <c r="T46783" s="27"/>
      <c r="U46783" s="27"/>
    </row>
    <row r="46786">
      <c r="S46786" s="26"/>
      <c r="T46786" s="26"/>
      <c r="U46786" s="26"/>
    </row>
    <row r="46788">
      <c r="S46788" s="27"/>
      <c r="T46788" s="27"/>
      <c r="U46788" s="27"/>
    </row>
    <row r="46789">
      <c r="S46789" s="27"/>
      <c r="T46789" s="27"/>
      <c r="U46789" s="27"/>
    </row>
    <row r="46791">
      <c r="S46791" s="27"/>
      <c r="T46791" s="27"/>
      <c r="U46791" s="27"/>
    </row>
    <row r="46792">
      <c r="S46792" s="27"/>
      <c r="T46792" s="27"/>
      <c r="U46792" s="27"/>
    </row>
    <row r="46794">
      <c r="S46794" s="27"/>
    </row>
    <row r="46795">
      <c r="S46795" s="27"/>
      <c r="T46795" s="27"/>
      <c r="U46795" s="27"/>
    </row>
    <row r="46797">
      <c r="S46797" s="33"/>
      <c r="T46797" s="33"/>
      <c r="U46797" s="33"/>
    </row>
    <row r="46800">
      <c r="S46800" s="27"/>
      <c r="T46800" s="27"/>
      <c r="U46800" s="27"/>
    </row>
    <row r="46801">
      <c r="S46801" s="27"/>
      <c r="T46801" s="27"/>
      <c r="U46801" s="36"/>
    </row>
    <row r="46803">
      <c r="S46803" s="27"/>
      <c r="T46803" s="27"/>
      <c r="U46803" s="27"/>
    </row>
    <row r="46806">
      <c r="S46806" s="27"/>
      <c r="T46806" s="27"/>
      <c r="U46806" s="27"/>
    </row>
    <row r="46807">
      <c r="S46807" s="33"/>
      <c r="T46807" s="33"/>
      <c r="U46807" s="27"/>
    </row>
    <row r="46809">
      <c r="S46809" s="27"/>
      <c r="T46809" s="27"/>
      <c r="U46809" s="27"/>
    </row>
    <row r="46812">
      <c r="S46812" s="27"/>
      <c r="T46812" s="27"/>
    </row>
    <row r="46813">
      <c r="S46813" s="27"/>
      <c r="T46813" s="27"/>
    </row>
    <row r="46815">
      <c r="S46815" s="27"/>
      <c r="T46815" s="27"/>
      <c r="U46815" s="27"/>
    </row>
    <row r="46819">
      <c r="S46819" s="27"/>
      <c r="T46819" s="27"/>
      <c r="U46819" s="27"/>
    </row>
    <row r="46821">
      <c r="S46821" s="27"/>
      <c r="T46821" s="27"/>
      <c r="U46821" s="27"/>
    </row>
    <row r="46822">
      <c r="S46822" s="27"/>
      <c r="T46822" s="27"/>
      <c r="U46822" s="27"/>
    </row>
    <row r="46824">
      <c r="S46824" s="26"/>
    </row>
    <row r="46827">
      <c r="S46827" s="27"/>
      <c r="T46827" s="27"/>
      <c r="U46827" s="27"/>
    </row>
    <row r="46828">
      <c r="S46828" s="27"/>
      <c r="T46828" s="27"/>
      <c r="U46828" s="27"/>
    </row>
    <row r="46830">
      <c r="S46830" s="27"/>
      <c r="T46830" s="27"/>
      <c r="U46830" s="27"/>
    </row>
    <row r="46831">
      <c r="S46831" s="27"/>
      <c r="T46831" s="27"/>
      <c r="U46831" s="27"/>
    </row>
    <row r="46833">
      <c r="S46833" s="27"/>
      <c r="T46833" s="27"/>
      <c r="U46833" s="27"/>
    </row>
    <row r="46836">
      <c r="S46836" s="26"/>
      <c r="T46836" s="27"/>
      <c r="U46836" s="27"/>
    </row>
    <row r="46837">
      <c r="T46837" s="27"/>
      <c r="U46837" s="27"/>
    </row>
    <row r="46842">
      <c r="S46842" s="27"/>
      <c r="T46842" s="27"/>
      <c r="U46842" s="27"/>
    </row>
    <row r="46843">
      <c r="S46843" s="27"/>
      <c r="T46843" s="27"/>
      <c r="U46843" s="27"/>
    </row>
    <row r="46845">
      <c r="S46845" s="27"/>
      <c r="T46845" s="27"/>
      <c r="U46845" s="27"/>
    </row>
    <row r="46848">
      <c r="S46848" s="27"/>
      <c r="T46848" s="27"/>
      <c r="U46848" s="27"/>
    </row>
    <row r="46849">
      <c r="S46849" s="27"/>
      <c r="T46849" s="27"/>
      <c r="U46849" s="27"/>
    </row>
    <row r="46854">
      <c r="S46854" s="27"/>
      <c r="T46854" s="27"/>
    </row>
    <row r="46857">
      <c r="S46857" s="27"/>
      <c r="T46857" s="27"/>
      <c r="U46857" s="27"/>
    </row>
    <row r="46858">
      <c r="S46858" s="27"/>
      <c r="T46858" s="27"/>
      <c r="U46858" s="27"/>
    </row>
    <row r="46860">
      <c r="S46860" s="27"/>
      <c r="T46860" s="27"/>
      <c r="U46860" s="27"/>
    </row>
    <row r="46861">
      <c r="S46861" s="27"/>
      <c r="T46861" s="27"/>
      <c r="U46861" s="27"/>
    </row>
    <row r="46863">
      <c r="S46863" s="27"/>
      <c r="T46863" s="27"/>
      <c r="U46863" s="27"/>
    </row>
    <row r="46864">
      <c r="S46864" s="27"/>
      <c r="T46864" s="27"/>
      <c r="U46864" s="27"/>
    </row>
    <row r="46866">
      <c r="S46866" s="27"/>
    </row>
    <row r="46867">
      <c r="T46867" s="26"/>
      <c r="U46867" s="26"/>
    </row>
    <row r="46869">
      <c r="S46869" s="27"/>
      <c r="T46869" s="27"/>
      <c r="U46869" s="27"/>
    </row>
    <row r="46870">
      <c r="S46870" s="27"/>
      <c r="T46870" s="27"/>
      <c r="U46870" s="27"/>
    </row>
    <row r="46872">
      <c r="S46872" s="27"/>
      <c r="T46872" s="27"/>
      <c r="U46872" s="27"/>
    </row>
    <row r="46873">
      <c r="S46873" s="27"/>
      <c r="T46873" s="27"/>
      <c r="U46873" s="27"/>
    </row>
    <row r="46875">
      <c r="S46875" s="27"/>
      <c r="T46875" s="27"/>
      <c r="U46875" s="27"/>
    </row>
    <row r="46878">
      <c r="S46878" s="27"/>
      <c r="T46878" s="27"/>
      <c r="U46878" s="27"/>
    </row>
    <row r="46879">
      <c r="S46879" s="27"/>
      <c r="T46879" s="27"/>
      <c r="U46879" s="27"/>
    </row>
    <row r="46881">
      <c r="S46881" s="27"/>
      <c r="T46881" s="27"/>
      <c r="U46881" s="27"/>
    </row>
    <row r="46882">
      <c r="S46882" s="27"/>
      <c r="T46882" s="27"/>
      <c r="U46882" s="27"/>
    </row>
    <row r="46884">
      <c r="S46884" s="27"/>
      <c r="T46884" s="27"/>
      <c r="U46884" s="27"/>
    </row>
    <row r="46885">
      <c r="S46885" s="27"/>
      <c r="T46885" s="27"/>
      <c r="U46885" s="27"/>
    </row>
    <row r="46887">
      <c r="S46887" s="27"/>
      <c r="T46887" s="27"/>
      <c r="U46887" s="27"/>
    </row>
    <row r="46888">
      <c r="S46888" s="27"/>
      <c r="T46888" s="27"/>
      <c r="U46888" s="27"/>
    </row>
    <row r="46890">
      <c r="S46890" s="27"/>
      <c r="T46890" s="27"/>
      <c r="U46890" s="27"/>
    </row>
    <row r="46891">
      <c r="S46891" s="27"/>
      <c r="T46891" s="27"/>
      <c r="U46891" s="27"/>
    </row>
    <row r="46893">
      <c r="S46893" s="27"/>
      <c r="T46893" s="27"/>
      <c r="U46893" s="27"/>
    </row>
    <row r="46894">
      <c r="S46894" s="27"/>
      <c r="T46894" s="27"/>
      <c r="U46894" s="27"/>
    </row>
    <row r="46896">
      <c r="S46896" s="27"/>
      <c r="T46896" s="27"/>
      <c r="U46896" s="27"/>
    </row>
    <row r="46897">
      <c r="S46897" s="27"/>
      <c r="T46897" s="27"/>
      <c r="U46897" s="27"/>
    </row>
    <row r="46899">
      <c r="S46899" s="27"/>
      <c r="T46899" s="27"/>
      <c r="U46899" s="27"/>
    </row>
    <row r="46900">
      <c r="S46900" s="27"/>
      <c r="T46900" s="27"/>
      <c r="U46900" s="27"/>
    </row>
    <row r="46902">
      <c r="S46902" s="27"/>
      <c r="T46902" s="27"/>
      <c r="U46902" s="27"/>
    </row>
    <row r="46903">
      <c r="S46903" s="27"/>
      <c r="T46903" s="27"/>
      <c r="U46903" s="27"/>
    </row>
    <row r="46905">
      <c r="S46905" s="27"/>
      <c r="T46905" s="27"/>
      <c r="U46905" s="27"/>
    </row>
    <row r="46906">
      <c r="S46906" s="27"/>
      <c r="T46906" s="27"/>
      <c r="U46906" s="27"/>
    </row>
    <row r="46908">
      <c r="S46908" s="27"/>
      <c r="T46908" s="27"/>
      <c r="U46908" s="27"/>
    </row>
    <row r="46909">
      <c r="S46909" s="27"/>
      <c r="T46909" s="27"/>
      <c r="U46909" s="27"/>
    </row>
    <row r="46911">
      <c r="S46911" s="27"/>
      <c r="T46911" s="27"/>
      <c r="U46911" s="27"/>
    </row>
    <row r="46912">
      <c r="S46912" s="27"/>
      <c r="T46912" s="27"/>
      <c r="U46912" s="27"/>
    </row>
    <row r="46914">
      <c r="S46914" s="27"/>
      <c r="T46914" s="27"/>
      <c r="U46914" s="27"/>
    </row>
    <row r="46915">
      <c r="S46915" s="27"/>
      <c r="T46915" s="27"/>
      <c r="U46915" s="27"/>
    </row>
    <row r="46917">
      <c r="S46917" s="27"/>
      <c r="T46917" s="27"/>
      <c r="U46917" s="27"/>
    </row>
    <row r="46918">
      <c r="S46918" s="27"/>
      <c r="T46918" s="27"/>
      <c r="U46918" s="27"/>
    </row>
    <row r="46920">
      <c r="S46920" s="27"/>
      <c r="T46920" s="27"/>
      <c r="U46920" s="27"/>
    </row>
    <row r="46921">
      <c r="S46921" s="27"/>
      <c r="T46921" s="27"/>
      <c r="U46921" s="27"/>
    </row>
    <row r="46923">
      <c r="S46923" s="27"/>
      <c r="T46923" s="27"/>
      <c r="U46923" s="27"/>
    </row>
    <row r="46924">
      <c r="S46924" s="27"/>
      <c r="T46924" s="27"/>
      <c r="U46924" s="27"/>
    </row>
    <row r="46926">
      <c r="S46926" s="27"/>
      <c r="T46926" s="27"/>
      <c r="U46926" s="27"/>
    </row>
    <row r="46927">
      <c r="S46927" s="27"/>
      <c r="T46927" s="27"/>
      <c r="U46927" s="27"/>
    </row>
    <row r="46929">
      <c r="S46929" s="27"/>
      <c r="T46929" s="27"/>
      <c r="U46929" s="27"/>
    </row>
    <row r="46930">
      <c r="S46930" s="27"/>
      <c r="T46930" s="27"/>
      <c r="U46930" s="27"/>
    </row>
    <row r="46932">
      <c r="S46932" s="27"/>
      <c r="T46932" s="27"/>
      <c r="U46932" s="27"/>
    </row>
    <row r="46933">
      <c r="S46933" s="27"/>
      <c r="T46933" s="27"/>
      <c r="U46933" s="27"/>
    </row>
    <row r="46935">
      <c r="S46935" s="27"/>
      <c r="T46935" s="27"/>
      <c r="U46935" s="27"/>
    </row>
    <row r="46936">
      <c r="S46936" s="27"/>
      <c r="T46936" s="27"/>
      <c r="U46936" s="27"/>
    </row>
    <row r="46938">
      <c r="S46938" s="27"/>
      <c r="T46938" s="27"/>
      <c r="U46938" s="27"/>
    </row>
    <row r="46939">
      <c r="S46939" s="27"/>
      <c r="T46939" s="27"/>
      <c r="U46939" s="27"/>
    </row>
    <row r="46941">
      <c r="S46941" s="27"/>
      <c r="T46941" s="27"/>
      <c r="U46941" s="27"/>
    </row>
    <row r="46942">
      <c r="S46942" s="27"/>
      <c r="T46942" s="27"/>
      <c r="U46942" s="27"/>
    </row>
    <row r="46944">
      <c r="S46944" s="27"/>
      <c r="T46944" s="27"/>
      <c r="U46944" s="27"/>
    </row>
    <row r="46945">
      <c r="S46945" s="27"/>
      <c r="T46945" s="27"/>
      <c r="U46945" s="27"/>
    </row>
    <row r="46947">
      <c r="S46947" s="27"/>
      <c r="T46947" s="27"/>
      <c r="U46947" s="27"/>
    </row>
    <row r="46948">
      <c r="S46948" s="27"/>
      <c r="T46948" s="27"/>
      <c r="U46948" s="27"/>
    </row>
    <row r="46950">
      <c r="S46950" s="27"/>
      <c r="T46950" s="27"/>
      <c r="U46950" s="27"/>
    </row>
    <row r="46951">
      <c r="S46951" s="27"/>
      <c r="T46951" s="27"/>
      <c r="U46951" s="27"/>
    </row>
    <row r="46953">
      <c r="S46953" s="27"/>
      <c r="T46953" s="27"/>
      <c r="U46953" s="27"/>
    </row>
    <row r="46954">
      <c r="S46954" s="27"/>
      <c r="T46954" s="27"/>
      <c r="U46954" s="27"/>
    </row>
    <row r="46956">
      <c r="S46956" s="27"/>
      <c r="T46956" s="27"/>
      <c r="U46956" s="27"/>
    </row>
    <row r="46957">
      <c r="S46957" s="27"/>
      <c r="T46957" s="27"/>
      <c r="U46957" s="27"/>
    </row>
    <row r="46959">
      <c r="S46959" s="27"/>
      <c r="T46959" s="27"/>
      <c r="U46959" s="27"/>
    </row>
    <row r="46960">
      <c r="S46960" s="27"/>
      <c r="T46960" s="27"/>
      <c r="U46960" s="27"/>
    </row>
    <row r="46962">
      <c r="S46962" s="27"/>
      <c r="T46962" s="27"/>
      <c r="U46962" s="27"/>
    </row>
    <row r="46963">
      <c r="S46963" s="27"/>
      <c r="T46963" s="27"/>
      <c r="U46963" s="27"/>
    </row>
    <row r="46965">
      <c r="S46965" s="27"/>
      <c r="T46965" s="27"/>
      <c r="U46965" s="27"/>
    </row>
    <row r="46967">
      <c r="S46967" s="27"/>
      <c r="T46967" s="27"/>
      <c r="U46967" s="27"/>
    </row>
    <row r="46968">
      <c r="S46968" s="27"/>
      <c r="T46968" s="27"/>
      <c r="U46968" s="27"/>
    </row>
    <row r="46970">
      <c r="S46970" s="27"/>
      <c r="T46970" s="27"/>
      <c r="U46970" s="27"/>
    </row>
    <row r="46971">
      <c r="S46971" s="27"/>
      <c r="T46971" s="27"/>
      <c r="U46971" s="27"/>
    </row>
    <row r="46973">
      <c r="S46973" s="27"/>
      <c r="T46973" s="27"/>
      <c r="U46973" s="27"/>
    </row>
    <row r="46974">
      <c r="S46974" s="27"/>
      <c r="T46974" s="27"/>
      <c r="U46974" s="27"/>
    </row>
    <row r="46976">
      <c r="S46976" s="27"/>
      <c r="T46976" s="27"/>
      <c r="U46976" s="27"/>
    </row>
    <row r="46977">
      <c r="S46977" s="27"/>
      <c r="T46977" s="27"/>
      <c r="U46977" s="27"/>
    </row>
    <row r="46979">
      <c r="S46979" s="27"/>
      <c r="T46979" s="27"/>
      <c r="U46979" s="27"/>
    </row>
    <row r="46980">
      <c r="S46980" s="27"/>
      <c r="T46980" s="27"/>
      <c r="U46980" s="27"/>
    </row>
    <row r="46982">
      <c r="S46982" s="27"/>
      <c r="T46982" s="27"/>
      <c r="U46982" s="27"/>
    </row>
    <row r="46983">
      <c r="S46983" s="27"/>
      <c r="T46983" s="27"/>
      <c r="U46983" s="27"/>
    </row>
    <row r="46985">
      <c r="S46985" s="27"/>
      <c r="T46985" s="27"/>
      <c r="U46985" s="27"/>
    </row>
    <row r="46986">
      <c r="S46986" s="27"/>
      <c r="T46986" s="27"/>
      <c r="U46986" s="27"/>
    </row>
    <row r="46988">
      <c r="S46988" s="27"/>
      <c r="T46988" s="27"/>
      <c r="U46988" s="27"/>
    </row>
    <row r="46990">
      <c r="S46990" s="27"/>
      <c r="T46990" s="27"/>
      <c r="U46990" s="27"/>
    </row>
    <row r="46992">
      <c r="S46992" s="27"/>
    </row>
    <row r="46994">
      <c r="S46994" s="27"/>
      <c r="T46994" s="27"/>
      <c r="U46994" s="27"/>
    </row>
    <row r="46996">
      <c r="T46996" s="27"/>
      <c r="U46996" s="27"/>
    </row>
    <row r="46997">
      <c r="S46997" s="27"/>
      <c r="T46997" s="27"/>
      <c r="U46997" s="27"/>
    </row>
    <row r="46999">
      <c r="S46999" s="27"/>
      <c r="T46999" s="27"/>
      <c r="U46999" s="27"/>
    </row>
    <row r="47000">
      <c r="S47000" s="27"/>
      <c r="T47000" s="27"/>
      <c r="U47000" s="27"/>
    </row>
    <row r="47003">
      <c r="U47003" s="27"/>
    </row>
    <row r="47005">
      <c r="S47005" s="27"/>
      <c r="T47005" s="27"/>
      <c r="U47005" s="27"/>
    </row>
    <row r="47006">
      <c r="S47006" s="27"/>
      <c r="T47006" s="27"/>
      <c r="U47006" s="27"/>
    </row>
    <row r="47008">
      <c r="S47008" s="27"/>
      <c r="T47008" s="27"/>
      <c r="U47008" s="27"/>
    </row>
    <row r="47009">
      <c r="S47009" s="27"/>
      <c r="T47009" s="27"/>
      <c r="U47009" s="27"/>
    </row>
    <row r="47011">
      <c r="S47011" s="27"/>
      <c r="T47011" s="27"/>
      <c r="U47011" s="27"/>
    </row>
    <row r="47012">
      <c r="S47012" s="27"/>
      <c r="T47012" s="27"/>
      <c r="U47012" s="27"/>
    </row>
    <row r="47017">
      <c r="U47017" s="26"/>
    </row>
    <row r="47020">
      <c r="S47020" s="26"/>
      <c r="T47020" s="26"/>
      <c r="U47020" s="26"/>
    </row>
    <row r="47023">
      <c r="S47023" s="27"/>
      <c r="T47023" s="27"/>
      <c r="U47023" s="27"/>
    </row>
    <row r="47024">
      <c r="S47024" s="27"/>
      <c r="T47024" s="27"/>
      <c r="U47024" s="27"/>
    </row>
    <row r="47026">
      <c r="S47026" s="27"/>
      <c r="T47026" s="27"/>
      <c r="U47026" s="27"/>
    </row>
    <row r="47027">
      <c r="S47027" s="27"/>
      <c r="T47027" s="27"/>
      <c r="U47027" s="27"/>
    </row>
    <row r="47029">
      <c r="T47029" s="27"/>
      <c r="U47029" s="27"/>
    </row>
    <row r="47030">
      <c r="T47030" s="27"/>
      <c r="U47030" s="27"/>
    </row>
    <row r="47035">
      <c r="S47035" s="27"/>
      <c r="T47035" s="27"/>
      <c r="U47035" s="27"/>
    </row>
    <row r="47036">
      <c r="S47036" s="27"/>
      <c r="T47036" s="27"/>
      <c r="U47036" s="27"/>
    </row>
    <row r="47038">
      <c r="S47038" s="27"/>
      <c r="T47038" s="27"/>
      <c r="U47038" s="27"/>
    </row>
    <row r="47039">
      <c r="S47039" s="27"/>
      <c r="T47039" s="27"/>
      <c r="U47039" s="27"/>
    </row>
    <row r="47041">
      <c r="S47041" s="27"/>
      <c r="T47041" s="27"/>
      <c r="U47041" s="27"/>
    </row>
    <row r="47042">
      <c r="S47042" s="27"/>
      <c r="T47042" s="27"/>
      <c r="U47042" s="27"/>
    </row>
    <row r="47047">
      <c r="S47047" s="26"/>
      <c r="T47047" s="26"/>
    </row>
    <row r="47050">
      <c r="S47050" s="27"/>
      <c r="T47050" s="27"/>
      <c r="U47050" s="27"/>
    </row>
    <row r="47051">
      <c r="S47051" s="27"/>
      <c r="T47051" s="27"/>
      <c r="U47051" s="27"/>
    </row>
    <row r="47053">
      <c r="S47053" s="27"/>
      <c r="T47053" s="27"/>
      <c r="U47053" s="27"/>
    </row>
    <row r="47054">
      <c r="S47054" s="27"/>
      <c r="T47054" s="27"/>
      <c r="U47054" s="27"/>
    </row>
    <row r="47056">
      <c r="S47056" s="26"/>
      <c r="T47056" s="26"/>
      <c r="U47056" s="26"/>
    </row>
    <row r="47059">
      <c r="S47059" s="26"/>
    </row>
    <row r="47062">
      <c r="S47062" s="27"/>
      <c r="T47062" s="27"/>
      <c r="U47062" s="27"/>
    </row>
    <row r="47065">
      <c r="S47065" s="27"/>
      <c r="T47065" s="27"/>
      <c r="U47065" s="27"/>
    </row>
    <row r="47066">
      <c r="S47066" s="27"/>
      <c r="T47066" s="27"/>
      <c r="U47066" s="27"/>
    </row>
    <row r="47068">
      <c r="S47068" s="27"/>
      <c r="T47068" s="27"/>
      <c r="U47068" s="27"/>
    </row>
    <row r="47069">
      <c r="S47069" s="27"/>
      <c r="T47069" s="27"/>
      <c r="U47069" s="27"/>
    </row>
    <row r="47071">
      <c r="S47071" s="27"/>
      <c r="T47071" s="27"/>
      <c r="U47071" s="27"/>
    </row>
    <row r="47072">
      <c r="S47072" s="27"/>
      <c r="T47072" s="27"/>
      <c r="U47072" s="27"/>
    </row>
    <row r="47074">
      <c r="S47074" s="27"/>
      <c r="T47074" s="27"/>
      <c r="U47074" s="27"/>
    </row>
    <row r="47075">
      <c r="S47075" s="27"/>
      <c r="T47075" s="27"/>
      <c r="U47075" s="27"/>
    </row>
    <row r="47077">
      <c r="S47077" s="27"/>
      <c r="T47077" s="27"/>
      <c r="U47077" s="27"/>
    </row>
    <row r="47078">
      <c r="S47078" s="27"/>
      <c r="T47078" s="27"/>
      <c r="U47078" s="27"/>
    </row>
    <row r="47080">
      <c r="S47080" s="27"/>
      <c r="T47080" s="27"/>
      <c r="U47080" s="27"/>
    </row>
    <row r="47081">
      <c r="S47081" s="27"/>
      <c r="T47081" s="27"/>
      <c r="U47081" s="27"/>
    </row>
    <row r="47083">
      <c r="S47083" s="27"/>
      <c r="T47083" s="27"/>
      <c r="U47083" s="27"/>
    </row>
    <row r="47084">
      <c r="S47084" s="27"/>
      <c r="T47084" s="27"/>
      <c r="U47084" s="27"/>
    </row>
    <row r="47086">
      <c r="S47086" s="27"/>
      <c r="T47086" s="27"/>
      <c r="U47086" s="27"/>
    </row>
    <row r="47087">
      <c r="S47087" s="27"/>
      <c r="T47087" s="27"/>
      <c r="U47087" s="27"/>
    </row>
    <row r="47089">
      <c r="S47089" s="27"/>
      <c r="T47089" s="27"/>
      <c r="U47089" s="27"/>
    </row>
    <row r="47090">
      <c r="S47090" s="27"/>
      <c r="T47090" s="27"/>
      <c r="U47090" s="27"/>
    </row>
    <row r="47092">
      <c r="S47092" s="27"/>
      <c r="T47092" s="27"/>
      <c r="U47092" s="27"/>
    </row>
    <row r="47093">
      <c r="S47093" s="27"/>
      <c r="T47093" s="27"/>
      <c r="U47093" s="27"/>
    </row>
    <row r="47095">
      <c r="S47095" s="27"/>
      <c r="T47095" s="27"/>
      <c r="U47095" s="27"/>
    </row>
    <row r="47096">
      <c r="S47096" s="27"/>
      <c r="T47096" s="27"/>
      <c r="U47096" s="27"/>
    </row>
    <row r="47098">
      <c r="S47098" s="27"/>
      <c r="T47098" s="27"/>
      <c r="U47098" s="27"/>
    </row>
    <row r="47099">
      <c r="S47099" s="27"/>
      <c r="T47099" s="27"/>
      <c r="U47099" s="27"/>
    </row>
    <row r="47101">
      <c r="S47101" s="27"/>
      <c r="T47101" s="27"/>
      <c r="U47101" s="27"/>
    </row>
    <row r="47102">
      <c r="S47102" s="27"/>
      <c r="T47102" s="27"/>
      <c r="U47102" s="27"/>
    </row>
    <row r="47104">
      <c r="S47104" s="27"/>
      <c r="T47104" s="27"/>
      <c r="U47104" s="27"/>
    </row>
    <row r="47105">
      <c r="S47105" s="27"/>
      <c r="T47105" s="27"/>
      <c r="U47105" s="27"/>
    </row>
    <row r="47107">
      <c r="S47107" s="27"/>
      <c r="T47107" s="27"/>
      <c r="U47107" s="27"/>
    </row>
    <row r="47108">
      <c r="S47108" s="27"/>
      <c r="T47108" s="27"/>
      <c r="U47108" s="27"/>
    </row>
    <row r="47110">
      <c r="S47110" s="27"/>
      <c r="T47110" s="27"/>
      <c r="U47110" s="27"/>
    </row>
    <row r="47111">
      <c r="S47111" s="27"/>
      <c r="T47111" s="27"/>
      <c r="U47111" s="27"/>
    </row>
    <row r="47113">
      <c r="S47113" s="27"/>
      <c r="T47113" s="27"/>
      <c r="U47113" s="27"/>
    </row>
    <row r="47114">
      <c r="S47114" s="27"/>
      <c r="T47114" s="27"/>
      <c r="U47114" s="27"/>
    </row>
    <row r="47116">
      <c r="S47116" s="27"/>
      <c r="T47116" s="27"/>
      <c r="U47116" s="27"/>
    </row>
    <row r="47117">
      <c r="S47117" s="27"/>
      <c r="T47117" s="27"/>
      <c r="U47117" s="27"/>
    </row>
    <row r="47119">
      <c r="S47119" s="27"/>
      <c r="T47119" s="27"/>
      <c r="U47119" s="27"/>
    </row>
    <row r="47120">
      <c r="S47120" s="27"/>
      <c r="T47120" s="27"/>
      <c r="U47120" s="27"/>
    </row>
    <row r="47122">
      <c r="S47122" s="33"/>
      <c r="T47122" s="33"/>
      <c r="U47122" s="33"/>
    </row>
    <row r="47123">
      <c r="S47123" s="33"/>
      <c r="T47123" s="33"/>
      <c r="U47123" s="33"/>
    </row>
    <row r="47125">
      <c r="S47125" s="27"/>
      <c r="T47125" s="27"/>
      <c r="U47125" s="27"/>
    </row>
    <row r="47126">
      <c r="S47126" s="27"/>
      <c r="T47126" s="27"/>
      <c r="U47126" s="27"/>
    </row>
    <row r="47128">
      <c r="T47128" s="27"/>
      <c r="U47128" s="27"/>
    </row>
    <row r="47129">
      <c r="T47129" s="27"/>
      <c r="U47129" s="27"/>
    </row>
    <row r="47131">
      <c r="S47131" s="27"/>
      <c r="T47131" s="27"/>
      <c r="U47131" s="27"/>
    </row>
    <row r="47132">
      <c r="S47132" s="27"/>
      <c r="T47132" s="27"/>
      <c r="U47132" s="27"/>
    </row>
    <row r="47134">
      <c r="S47134" s="27"/>
      <c r="T47134" s="27"/>
      <c r="U47134" s="27"/>
    </row>
    <row r="47135">
      <c r="S47135" s="27"/>
      <c r="T47135" s="27"/>
      <c r="U47135" s="27"/>
    </row>
    <row r="47140">
      <c r="S47140" s="27"/>
      <c r="T47140" s="27"/>
      <c r="U47140" s="27"/>
    </row>
    <row r="47141">
      <c r="U47141" s="27"/>
    </row>
    <row r="47143">
      <c r="S47143" s="27"/>
      <c r="T47143" s="27"/>
      <c r="U47143" s="27"/>
    </row>
    <row r="47146">
      <c r="S47146" s="33"/>
      <c r="T47146" s="27"/>
      <c r="U47146" s="33"/>
    </row>
    <row r="47147">
      <c r="S47147" s="27"/>
      <c r="U47147" s="27"/>
    </row>
    <row r="47149">
      <c r="S47149" s="27"/>
      <c r="T47149" s="27"/>
      <c r="U47149" s="27"/>
    </row>
    <row r="47150">
      <c r="S47150" s="27"/>
      <c r="T47150" s="27"/>
      <c r="U47150" s="27"/>
    </row>
    <row r="47152">
      <c r="S47152" s="27"/>
      <c r="T47152" s="27"/>
      <c r="U47152" s="27"/>
    </row>
    <row r="47155">
      <c r="S47155" s="27"/>
      <c r="T47155" s="27"/>
      <c r="U47155" s="27"/>
    </row>
    <row r="47156">
      <c r="S47156" s="27"/>
      <c r="T47156" s="27"/>
      <c r="U47156" s="27"/>
    </row>
    <row r="47158">
      <c r="S47158" s="27"/>
      <c r="T47158" s="27"/>
      <c r="U47158" s="27"/>
    </row>
    <row r="47159">
      <c r="S47159" s="27"/>
      <c r="T47159" s="27"/>
      <c r="U47159" s="27"/>
    </row>
    <row r="47161">
      <c r="S47161" s="27"/>
      <c r="T47161" s="27"/>
      <c r="U47161" s="27"/>
    </row>
    <row r="47162">
      <c r="S47162" s="27"/>
      <c r="T47162" s="27"/>
      <c r="U47162" s="27"/>
    </row>
    <row r="47164">
      <c r="S47164" s="27"/>
    </row>
    <row r="47167">
      <c r="S47167" s="26"/>
      <c r="T47167" s="26"/>
      <c r="U47167" s="27"/>
    </row>
    <row r="47170">
      <c r="S47170" s="27"/>
      <c r="T47170" s="27"/>
    </row>
    <row r="47172">
      <c r="S47172" s="27"/>
      <c r="T47172" s="27"/>
      <c r="U47172" s="27"/>
    </row>
    <row r="47175">
      <c r="U47175" s="27"/>
    </row>
    <row r="47178">
      <c r="S47178" s="27"/>
      <c r="T47178" s="27"/>
      <c r="U47178" s="27"/>
    </row>
    <row r="47179">
      <c r="S47179" s="27"/>
      <c r="T47179" s="27"/>
      <c r="U47179" s="27"/>
    </row>
    <row r="47181">
      <c r="S47181" s="27"/>
      <c r="T47181" s="27"/>
      <c r="U47181" s="27"/>
    </row>
    <row r="47182">
      <c r="S47182" s="27"/>
      <c r="T47182" s="27"/>
      <c r="U47182" s="27"/>
    </row>
    <row r="47184">
      <c r="S47184" s="27"/>
      <c r="T47184" s="27"/>
      <c r="U47184" s="27"/>
    </row>
    <row r="47185">
      <c r="S47185" s="27"/>
      <c r="U47185" s="27"/>
    </row>
    <row r="47187">
      <c r="S47187" s="27"/>
      <c r="T47187" s="27"/>
      <c r="U47187" s="27"/>
    </row>
    <row r="47188">
      <c r="S47188" s="26"/>
      <c r="T47188" s="27"/>
      <c r="U47188" s="26"/>
    </row>
    <row r="47190">
      <c r="S47190" s="27"/>
      <c r="T47190" s="27"/>
      <c r="U47190" s="27"/>
    </row>
    <row r="47191">
      <c r="S47191" s="27"/>
      <c r="T47191" s="27"/>
      <c r="U47191" s="27"/>
    </row>
    <row r="47196">
      <c r="S47196" s="27"/>
      <c r="T47196" s="27"/>
      <c r="U47196" s="27"/>
    </row>
    <row r="47197">
      <c r="S47197" s="27"/>
      <c r="T47197" s="27"/>
      <c r="U47197" s="27"/>
    </row>
    <row r="47199">
      <c r="S47199" s="27"/>
      <c r="T47199" s="27"/>
      <c r="U47199" s="27"/>
    </row>
    <row r="47200">
      <c r="S47200" s="27"/>
      <c r="T47200" s="27"/>
      <c r="U47200" s="27"/>
    </row>
    <row r="47202">
      <c r="S47202" s="27"/>
      <c r="T47202" s="27"/>
      <c r="U47202" s="27"/>
    </row>
    <row r="47203">
      <c r="S47203" s="27"/>
      <c r="T47203" s="27"/>
      <c r="U47203" s="27"/>
    </row>
    <row r="47208">
      <c r="S47208" s="27"/>
      <c r="T47208" s="27"/>
      <c r="U47208" s="27"/>
    </row>
    <row r="47211">
      <c r="S47211" s="27"/>
      <c r="T47211" s="27"/>
      <c r="U47211" s="27"/>
    </row>
    <row r="47212">
      <c r="S47212" s="33"/>
      <c r="T47212" s="33"/>
      <c r="U47212" s="33"/>
    </row>
    <row r="47214">
      <c r="T47214" s="34"/>
      <c r="U47214" s="34"/>
    </row>
    <row r="47217">
      <c r="S47217" s="27"/>
      <c r="T47217" s="27"/>
      <c r="U47217" s="27"/>
    </row>
    <row r="47218">
      <c r="S47218" s="27"/>
      <c r="T47218" s="27"/>
      <c r="U47218" s="27"/>
    </row>
    <row r="47220">
      <c r="U47220" s="27"/>
    </row>
    <row r="47221">
      <c r="S47221" s="27"/>
      <c r="T47221" s="27"/>
      <c r="U47221" s="27"/>
    </row>
    <row r="47223">
      <c r="S47223" s="27"/>
      <c r="T47223" s="27"/>
      <c r="U47223" s="27"/>
    </row>
    <row r="47224">
      <c r="S47224" s="27"/>
      <c r="T47224" s="27"/>
      <c r="U47224" s="27"/>
    </row>
    <row r="47226">
      <c r="S47226" s="27"/>
      <c r="T47226" s="27"/>
      <c r="U47226" s="27"/>
    </row>
    <row r="47227">
      <c r="S47227" s="27"/>
      <c r="T47227" s="27"/>
      <c r="U47227" s="27"/>
    </row>
    <row r="47229">
      <c r="U47229" s="26"/>
    </row>
    <row r="47232">
      <c r="S47232" s="27"/>
      <c r="T47232" s="27"/>
      <c r="U47232" s="27"/>
    </row>
    <row r="47233">
      <c r="S47233" s="27"/>
      <c r="T47233" s="27"/>
      <c r="U47233" s="27"/>
    </row>
    <row r="47235">
      <c r="S47235" s="27"/>
      <c r="T47235" s="27"/>
      <c r="U47235" s="27"/>
    </row>
    <row r="47236">
      <c r="S47236" s="27"/>
      <c r="T47236" s="27"/>
      <c r="U47236" s="27"/>
    </row>
    <row r="47238">
      <c r="S47238" s="27"/>
      <c r="T47238" s="27"/>
      <c r="U47238" s="27"/>
    </row>
    <row r="47239">
      <c r="U47239" s="26"/>
    </row>
    <row r="47241">
      <c r="S47241" s="27"/>
      <c r="T47241" s="27"/>
      <c r="U47241" s="27"/>
    </row>
    <row r="47242">
      <c r="S47242" s="27"/>
      <c r="T47242" s="27"/>
      <c r="U47242" s="27"/>
    </row>
    <row r="47244">
      <c r="S47244" s="27"/>
      <c r="T47244" s="27"/>
      <c r="U47244" s="27"/>
    </row>
    <row r="47245">
      <c r="S47245" s="27"/>
      <c r="T47245" s="27"/>
      <c r="U47245" s="27"/>
    </row>
    <row r="47247">
      <c r="S47247" s="27"/>
      <c r="T47247" s="27"/>
      <c r="U47247" s="27"/>
    </row>
    <row r="47248">
      <c r="S47248" s="27"/>
      <c r="T47248" s="27"/>
      <c r="U47248" s="27"/>
    </row>
    <row r="47250">
      <c r="S47250" s="27"/>
      <c r="T47250" s="27"/>
      <c r="U47250" s="27"/>
    </row>
    <row r="47253">
      <c r="S47253" s="27"/>
      <c r="T47253" s="27"/>
      <c r="U47253" s="27"/>
    </row>
    <row r="47254">
      <c r="S47254" s="27"/>
      <c r="T47254" s="27"/>
      <c r="U47254" s="27"/>
    </row>
    <row r="47256">
      <c r="S47256" s="26"/>
      <c r="T47256" s="26"/>
      <c r="U47256" s="26"/>
    </row>
    <row r="47259">
      <c r="S47259" s="27"/>
      <c r="T47259" s="27"/>
      <c r="U47259" s="33"/>
    </row>
    <row r="47262">
      <c r="S47262" s="27"/>
      <c r="T47262" s="27"/>
      <c r="U47262" s="27"/>
    </row>
    <row r="47263">
      <c r="S47263" s="27"/>
      <c r="T47263" s="27"/>
      <c r="U47263" s="27"/>
    </row>
    <row r="47265">
      <c r="S47265" s="33"/>
      <c r="T47265" s="27"/>
      <c r="U47265" s="27"/>
    </row>
    <row r="47266">
      <c r="T47266" s="27"/>
      <c r="U47266" s="27"/>
    </row>
    <row r="47268">
      <c r="S47268" s="27"/>
      <c r="T47268" s="27"/>
      <c r="U47268" s="27"/>
    </row>
    <row r="47269">
      <c r="S47269" s="27"/>
      <c r="T47269" s="27"/>
      <c r="U47269" s="27"/>
    </row>
    <row r="47272">
      <c r="T47272" s="26"/>
      <c r="U47272" s="26"/>
    </row>
    <row r="47276">
      <c r="S47276" s="27"/>
      <c r="T47276" s="27"/>
      <c r="U47276" s="27"/>
    </row>
    <row r="47277">
      <c r="S47277" s="27"/>
      <c r="T47277" s="27"/>
      <c r="U47277" s="27"/>
    </row>
    <row r="47279">
      <c r="S47279" s="27"/>
      <c r="T47279" s="27"/>
      <c r="U47279" s="27"/>
    </row>
    <row r="47280">
      <c r="S47280" s="27"/>
      <c r="T47280" s="27"/>
      <c r="U47280" s="27"/>
    </row>
    <row r="47282">
      <c r="S47282" s="27"/>
      <c r="T47282" s="27"/>
      <c r="U47282" s="27"/>
    </row>
    <row r="47283">
      <c r="S47283" s="27"/>
      <c r="T47283" s="27"/>
      <c r="U47283" s="27"/>
    </row>
    <row r="47285">
      <c r="S47285" s="27"/>
      <c r="T47285" s="27"/>
      <c r="U47285" s="27"/>
    </row>
    <row r="47286">
      <c r="S47286" s="27"/>
      <c r="T47286" s="27"/>
      <c r="U47286" s="27"/>
    </row>
    <row r="47288">
      <c r="S47288" s="27"/>
      <c r="T47288" s="27"/>
      <c r="U47288" s="27"/>
    </row>
    <row r="47289">
      <c r="S47289" s="27"/>
      <c r="T47289" s="27"/>
      <c r="U47289" s="27"/>
    </row>
    <row r="47291">
      <c r="S47291" s="27"/>
      <c r="T47291" s="27"/>
      <c r="U47291" s="27"/>
    </row>
    <row r="47292">
      <c r="S47292" s="27"/>
      <c r="T47292" s="27"/>
      <c r="U47292" s="27"/>
    </row>
    <row r="47294">
      <c r="S47294" s="27"/>
      <c r="T47294" s="27"/>
      <c r="U47294" s="27"/>
    </row>
    <row r="47295">
      <c r="S47295" s="27"/>
      <c r="T47295" s="27"/>
      <c r="U47295" s="27"/>
    </row>
    <row r="47297">
      <c r="S47297" s="27"/>
      <c r="T47297" s="27"/>
      <c r="U47297" s="27"/>
    </row>
    <row r="47298">
      <c r="S47298" s="27"/>
      <c r="T47298" s="27"/>
      <c r="U47298" s="27"/>
    </row>
    <row r="47300">
      <c r="S47300" s="27"/>
      <c r="T47300" s="27"/>
      <c r="U47300" s="27"/>
    </row>
    <row r="47301">
      <c r="S47301" s="27"/>
      <c r="T47301" s="27"/>
      <c r="U47301" s="27"/>
    </row>
    <row r="47303">
      <c r="S47303" s="27"/>
      <c r="T47303" s="27"/>
      <c r="U47303" s="27"/>
    </row>
    <row r="47304">
      <c r="S47304" s="27"/>
      <c r="T47304" s="27"/>
      <c r="U47304" s="27"/>
    </row>
    <row r="47306">
      <c r="S47306" s="27"/>
      <c r="T47306" s="27"/>
      <c r="U47306" s="27"/>
    </row>
    <row r="47307">
      <c r="S47307" s="27"/>
      <c r="T47307" s="27"/>
      <c r="U47307" s="27"/>
    </row>
    <row r="47309">
      <c r="S47309" s="27"/>
      <c r="T47309" s="27"/>
      <c r="U47309" s="27"/>
    </row>
    <row r="47310">
      <c r="S47310" s="27"/>
      <c r="T47310" s="27"/>
      <c r="U47310" s="27"/>
    </row>
    <row r="47312">
      <c r="S47312" s="27"/>
      <c r="T47312" s="27"/>
      <c r="U47312" s="27"/>
    </row>
    <row r="47313">
      <c r="S47313" s="27"/>
      <c r="T47313" s="27"/>
      <c r="U47313" s="27"/>
    </row>
    <row r="47315">
      <c r="S47315" s="27"/>
      <c r="T47315" s="27"/>
      <c r="U47315" s="27"/>
    </row>
    <row r="47316">
      <c r="S47316" s="27"/>
      <c r="T47316" s="27"/>
      <c r="U47316" s="27"/>
    </row>
    <row r="47318">
      <c r="S47318" s="27"/>
      <c r="T47318" s="27"/>
      <c r="U47318" s="27"/>
    </row>
    <row r="47319">
      <c r="S47319" s="27"/>
      <c r="T47319" s="27"/>
      <c r="U47319" s="27"/>
    </row>
    <row r="47321">
      <c r="S47321" s="27"/>
      <c r="T47321" s="27"/>
      <c r="U47321" s="27"/>
    </row>
    <row r="47322">
      <c r="S47322" s="27"/>
      <c r="T47322" s="27"/>
      <c r="U47322" s="27"/>
    </row>
    <row r="47324">
      <c r="S47324" s="27"/>
      <c r="T47324" s="27"/>
      <c r="U47324" s="27"/>
    </row>
    <row r="47325">
      <c r="S47325" s="27"/>
      <c r="T47325" s="27"/>
      <c r="U47325" s="27"/>
    </row>
    <row r="47327">
      <c r="S47327" s="27"/>
      <c r="T47327" s="27"/>
      <c r="U47327" s="27"/>
    </row>
    <row r="47328">
      <c r="S47328" s="27"/>
      <c r="T47328" s="27"/>
      <c r="U47328" s="27"/>
    </row>
    <row r="47330">
      <c r="S47330" s="27"/>
      <c r="T47330" s="27"/>
      <c r="U47330" s="27"/>
    </row>
    <row r="47331">
      <c r="S47331" s="27"/>
      <c r="T47331" s="27"/>
      <c r="U47331" s="27"/>
    </row>
    <row r="47333">
      <c r="S47333" s="27"/>
      <c r="T47333" s="27"/>
      <c r="U47333" s="27"/>
    </row>
    <row r="47334">
      <c r="S47334" s="27"/>
      <c r="T47334" s="27"/>
      <c r="U47334" s="27"/>
    </row>
    <row r="47336">
      <c r="S47336" s="27"/>
      <c r="T47336" s="27"/>
      <c r="U47336" s="27"/>
    </row>
    <row r="47337">
      <c r="S47337" s="27"/>
      <c r="T47337" s="27"/>
      <c r="U47337" s="27"/>
    </row>
    <row r="47339">
      <c r="S47339" s="27"/>
      <c r="T47339" s="27"/>
      <c r="U47339" s="27"/>
    </row>
    <row r="47340">
      <c r="S47340" s="27"/>
      <c r="T47340" s="27"/>
      <c r="U47340" s="27"/>
    </row>
    <row r="47342">
      <c r="S47342" s="27"/>
      <c r="T47342" s="27"/>
      <c r="U47342" s="27"/>
    </row>
    <row r="47343">
      <c r="S47343" s="27"/>
      <c r="T47343" s="27"/>
      <c r="U47343" s="27"/>
    </row>
    <row r="47345">
      <c r="S47345" s="27"/>
      <c r="T47345" s="27"/>
      <c r="U47345" s="27"/>
    </row>
    <row r="47346">
      <c r="S47346" s="27"/>
      <c r="T47346" s="27"/>
      <c r="U47346" s="27"/>
    </row>
    <row r="47348">
      <c r="S47348" s="27"/>
      <c r="T47348" s="27"/>
      <c r="U47348" s="27"/>
    </row>
    <row r="47349">
      <c r="S47349" s="27"/>
      <c r="T47349" s="27"/>
      <c r="U47349" s="27"/>
    </row>
    <row r="47351">
      <c r="S47351" s="27"/>
      <c r="T47351" s="27"/>
      <c r="U47351" s="27"/>
    </row>
    <row r="47352">
      <c r="S47352" s="27"/>
      <c r="T47352" s="27"/>
      <c r="U47352" s="27"/>
    </row>
    <row r="47354">
      <c r="S47354" s="27"/>
      <c r="T47354" s="27"/>
      <c r="U47354" s="27"/>
    </row>
    <row r="47355">
      <c r="S47355" s="27"/>
      <c r="T47355" s="27"/>
      <c r="U47355" s="27"/>
    </row>
    <row r="47357">
      <c r="S47357" s="27"/>
      <c r="T47357" s="27"/>
      <c r="U47357" s="27"/>
    </row>
    <row r="47358">
      <c r="S47358" s="27"/>
      <c r="T47358" s="27"/>
      <c r="U47358" s="27"/>
    </row>
    <row r="47360">
      <c r="S47360" s="27"/>
      <c r="T47360" s="27"/>
      <c r="U47360" s="27"/>
    </row>
    <row r="47361">
      <c r="S47361" s="27"/>
      <c r="T47361" s="27"/>
      <c r="U47361" s="27"/>
    </row>
    <row r="47363">
      <c r="S47363" s="27"/>
      <c r="T47363" s="27"/>
      <c r="U47363" s="27"/>
    </row>
    <row r="47365">
      <c r="S47365" s="27"/>
      <c r="T47365" s="27"/>
      <c r="U47365" s="27"/>
    </row>
    <row r="47366">
      <c r="S47366" s="27"/>
      <c r="T47366" s="27"/>
      <c r="U47366" s="27"/>
    </row>
    <row r="47368">
      <c r="S47368" s="27"/>
      <c r="T47368" s="27"/>
      <c r="U47368" s="27"/>
    </row>
    <row r="47369">
      <c r="S47369" s="27"/>
      <c r="T47369" s="27"/>
      <c r="U47369" s="27"/>
    </row>
    <row r="47371">
      <c r="S47371" s="27"/>
      <c r="T47371" s="27"/>
      <c r="U47371" s="27"/>
    </row>
    <row r="47372">
      <c r="S47372" s="27"/>
      <c r="T47372" s="27"/>
      <c r="U47372" s="27"/>
    </row>
    <row r="47374">
      <c r="S47374" s="27"/>
      <c r="T47374" s="27"/>
      <c r="U47374" s="27"/>
    </row>
    <row r="47375">
      <c r="S47375" s="27"/>
      <c r="T47375" s="27"/>
      <c r="U47375" s="27"/>
    </row>
    <row r="47377">
      <c r="T47377" s="27"/>
      <c r="U47377" s="27"/>
    </row>
    <row r="47378">
      <c r="S47378" s="27"/>
      <c r="T47378" s="27"/>
      <c r="U47378" s="27"/>
    </row>
    <row r="47380">
      <c r="S47380" s="27"/>
      <c r="T47380" s="27"/>
      <c r="U47380" s="27"/>
    </row>
    <row r="47381">
      <c r="S47381" s="27"/>
      <c r="T47381" s="27"/>
      <c r="U47381" s="27"/>
    </row>
    <row r="47383">
      <c r="S47383" s="27"/>
      <c r="T47383" s="27"/>
      <c r="U47383" s="27"/>
    </row>
    <row r="47384">
      <c r="S47384" s="27"/>
      <c r="T47384" s="27"/>
      <c r="U47384" s="27"/>
    </row>
    <row r="47386">
      <c r="S47386" s="27"/>
      <c r="T47386" s="27"/>
      <c r="U47386" s="27"/>
    </row>
    <row r="47388">
      <c r="S47388" s="27"/>
      <c r="T47388" s="27"/>
      <c r="U47388" s="27"/>
    </row>
    <row r="47390">
      <c r="S47390" s="27"/>
      <c r="T47390" s="27"/>
      <c r="U47390" s="27"/>
    </row>
    <row r="47392">
      <c r="S47392" s="27"/>
      <c r="T47392" s="27"/>
      <c r="U47392" s="27"/>
    </row>
    <row r="47394">
      <c r="S47394" s="27"/>
      <c r="T47394" s="27"/>
      <c r="U47394" s="27"/>
    </row>
    <row r="47395">
      <c r="S47395" s="27"/>
      <c r="T47395" s="27"/>
      <c r="U47395" s="27"/>
    </row>
    <row r="47397">
      <c r="S47397" s="27"/>
      <c r="T47397" s="27"/>
      <c r="U47397" s="27"/>
    </row>
    <row r="47398">
      <c r="S47398" s="27"/>
      <c r="T47398" s="27"/>
      <c r="U47398" s="27"/>
    </row>
    <row r="47400">
      <c r="S47400" s="27"/>
      <c r="T47400" s="27"/>
      <c r="U47400" s="27"/>
    </row>
    <row r="47401">
      <c r="S47401" s="27"/>
      <c r="T47401" s="27"/>
    </row>
    <row r="47403">
      <c r="S47403" s="27"/>
      <c r="T47403" s="27"/>
      <c r="U47403" s="27"/>
    </row>
    <row r="47404">
      <c r="S47404" s="27"/>
      <c r="T47404" s="27"/>
      <c r="U47404" s="27"/>
    </row>
    <row r="47407">
      <c r="S47407" s="27"/>
      <c r="T47407" s="27"/>
      <c r="U47407" s="27"/>
    </row>
    <row r="47409">
      <c r="S47409" s="27"/>
      <c r="T47409" s="27"/>
      <c r="U47409" s="27"/>
    </row>
    <row r="47410">
      <c r="S47410" s="27"/>
      <c r="T47410" s="27"/>
      <c r="U47410" s="27"/>
    </row>
    <row r="47412">
      <c r="S47412" s="27"/>
      <c r="T47412" s="27"/>
      <c r="U47412" s="27"/>
    </row>
    <row r="47413">
      <c r="S47413" s="27"/>
      <c r="T47413" s="27"/>
      <c r="U47413" s="27"/>
    </row>
    <row r="47415">
      <c r="S47415" s="26"/>
      <c r="T47415" s="27"/>
      <c r="U47415" s="27"/>
    </row>
    <row r="47418">
      <c r="S47418" s="27"/>
      <c r="T47418" s="27"/>
      <c r="U47418" s="27"/>
    </row>
    <row r="47421">
      <c r="S47421" s="27"/>
      <c r="T47421" s="27"/>
      <c r="U47421" s="27"/>
    </row>
    <row r="47422">
      <c r="S47422" s="27"/>
      <c r="T47422" s="27"/>
      <c r="U47422" s="27"/>
    </row>
    <row r="47424">
      <c r="S47424" s="27"/>
      <c r="T47424" s="27"/>
      <c r="U47424" s="27"/>
    </row>
    <row r="47425">
      <c r="S47425" s="27"/>
      <c r="T47425" s="27"/>
      <c r="U47425" s="27"/>
    </row>
    <row r="47427">
      <c r="S47427" s="27"/>
      <c r="T47427" s="27"/>
      <c r="U47427" s="27"/>
    </row>
    <row r="47428">
      <c r="S47428" s="27"/>
      <c r="T47428" s="27"/>
      <c r="U47428" s="27"/>
    </row>
    <row r="47430">
      <c r="S47430" s="27"/>
      <c r="T47430" s="27"/>
    </row>
    <row r="47433">
      <c r="S47433" s="27"/>
      <c r="T47433" s="27"/>
      <c r="U47433" s="27"/>
    </row>
    <row r="47434">
      <c r="S47434" s="27"/>
      <c r="T47434" s="27"/>
      <c r="U47434" s="27"/>
    </row>
    <row r="47436">
      <c r="S47436" s="27"/>
      <c r="T47436" s="27"/>
      <c r="U47436" s="27"/>
    </row>
    <row r="47437">
      <c r="S47437" s="27"/>
      <c r="T47437" s="27"/>
      <c r="U47437" s="27"/>
    </row>
    <row r="47439">
      <c r="S47439" s="26"/>
      <c r="T47439" s="26"/>
      <c r="U47439" s="27"/>
    </row>
    <row r="47440">
      <c r="U47440" s="27"/>
    </row>
    <row r="47445">
      <c r="S47445" s="26"/>
      <c r="T47445" s="26"/>
      <c r="U47445" s="26"/>
    </row>
    <row r="47448">
      <c r="S47448" s="27"/>
      <c r="T47448" s="27"/>
      <c r="U47448" s="27"/>
    </row>
    <row r="47449">
      <c r="S47449" s="27"/>
      <c r="T47449" s="27"/>
      <c r="U47449" s="27"/>
    </row>
    <row r="47451">
      <c r="S47451" s="27"/>
      <c r="T47451" s="27"/>
      <c r="U47451" s="27"/>
    </row>
    <row r="47452">
      <c r="S47452" s="27"/>
      <c r="T47452" s="27"/>
      <c r="U47452" s="27"/>
    </row>
    <row r="47454">
      <c r="S47454" s="27"/>
      <c r="T47454" s="27"/>
      <c r="U47454" s="27"/>
    </row>
    <row r="47460">
      <c r="S47460" s="27"/>
      <c r="T47460" s="27"/>
      <c r="U47460" s="27"/>
    </row>
    <row r="47463">
      <c r="S47463" s="27"/>
      <c r="T47463" s="27"/>
      <c r="U47463" s="27"/>
    </row>
    <row r="47464">
      <c r="S47464" s="27"/>
      <c r="T47464" s="27"/>
      <c r="U47464" s="27"/>
    </row>
    <row r="47466">
      <c r="S47466" s="27"/>
      <c r="T47466" s="27"/>
      <c r="U47466" s="27"/>
    </row>
    <row r="47467">
      <c r="S47467" s="27"/>
      <c r="T47467" s="27"/>
      <c r="U47467" s="27"/>
    </row>
    <row r="47469">
      <c r="S47469" s="27"/>
      <c r="T47469" s="27"/>
      <c r="U47469" s="27"/>
    </row>
    <row r="47470">
      <c r="S47470" s="27"/>
      <c r="T47470" s="27"/>
      <c r="U47470" s="27"/>
    </row>
    <row r="47472">
      <c r="S47472" s="27"/>
      <c r="T47472" s="27"/>
      <c r="U47472" s="27"/>
    </row>
    <row r="47473">
      <c r="S47473" s="27"/>
      <c r="T47473" s="27"/>
      <c r="U47473" s="27"/>
    </row>
    <row r="47475">
      <c r="S47475" s="27"/>
      <c r="T47475" s="27"/>
      <c r="U47475" s="27"/>
    </row>
    <row r="47476">
      <c r="S47476" s="27"/>
      <c r="T47476" s="27"/>
      <c r="U47476" s="27"/>
    </row>
    <row r="47478">
      <c r="S47478" s="27"/>
      <c r="T47478" s="27"/>
      <c r="U47478" s="27"/>
    </row>
    <row r="47479">
      <c r="S47479" s="27"/>
      <c r="T47479" s="27"/>
      <c r="U47479" s="27"/>
    </row>
    <row r="47481">
      <c r="S47481" s="27"/>
      <c r="T47481" s="27"/>
      <c r="U47481" s="27"/>
    </row>
    <row r="47482">
      <c r="S47482" s="27"/>
      <c r="T47482" s="27"/>
      <c r="U47482" s="27"/>
    </row>
    <row r="47484">
      <c r="S47484" s="27"/>
      <c r="T47484" s="27"/>
      <c r="U47484" s="27"/>
    </row>
    <row r="47485">
      <c r="S47485" s="27"/>
      <c r="T47485" s="27"/>
      <c r="U47485" s="27"/>
    </row>
    <row r="47487">
      <c r="S47487" s="27"/>
      <c r="T47487" s="27"/>
      <c r="U47487" s="27"/>
    </row>
    <row r="47488">
      <c r="S47488" s="27"/>
      <c r="T47488" s="27"/>
      <c r="U47488" s="27"/>
    </row>
    <row r="47490">
      <c r="S47490" s="27"/>
      <c r="T47490" s="27"/>
      <c r="U47490" s="27"/>
    </row>
    <row r="47491">
      <c r="S47491" s="27"/>
      <c r="T47491" s="27"/>
      <c r="U47491" s="27"/>
    </row>
    <row r="47493">
      <c r="S47493" s="27"/>
      <c r="T47493" s="27"/>
      <c r="U47493" s="27"/>
    </row>
    <row r="47494">
      <c r="S47494" s="27"/>
      <c r="T47494" s="27"/>
      <c r="U47494" s="27"/>
    </row>
    <row r="47496">
      <c r="S47496" s="27"/>
      <c r="T47496" s="27"/>
      <c r="U47496" s="27"/>
    </row>
    <row r="47497">
      <c r="S47497" s="27"/>
      <c r="T47497" s="27"/>
      <c r="U47497" s="27"/>
    </row>
    <row r="47499">
      <c r="S47499" s="27"/>
      <c r="T47499" s="27"/>
      <c r="U47499" s="27"/>
    </row>
    <row r="47500">
      <c r="S47500" s="27"/>
      <c r="T47500" s="27"/>
      <c r="U47500" s="27"/>
    </row>
    <row r="47502">
      <c r="S47502" s="27"/>
      <c r="T47502" s="27"/>
      <c r="U47502" s="27"/>
    </row>
    <row r="47503">
      <c r="S47503" s="27"/>
      <c r="T47503" s="27"/>
      <c r="U47503" s="27"/>
    </row>
    <row r="47505">
      <c r="S47505" s="27"/>
      <c r="T47505" s="27"/>
      <c r="U47505" s="27"/>
    </row>
    <row r="47506">
      <c r="S47506" s="27"/>
      <c r="T47506" s="27"/>
      <c r="U47506" s="27"/>
    </row>
    <row r="47508">
      <c r="S47508" s="27"/>
      <c r="T47508" s="27"/>
      <c r="U47508" s="27"/>
    </row>
    <row r="47509">
      <c r="S47509" s="27"/>
      <c r="T47509" s="27"/>
      <c r="U47509" s="27"/>
    </row>
    <row r="47511">
      <c r="S47511" s="27"/>
      <c r="T47511" s="27"/>
      <c r="U47511" s="27"/>
    </row>
    <row r="47512">
      <c r="S47512" s="27"/>
      <c r="T47512" s="27"/>
      <c r="U47512" s="27"/>
    </row>
    <row r="47514">
      <c r="S47514" s="27"/>
      <c r="T47514" s="27"/>
      <c r="U47514" s="27"/>
    </row>
    <row r="47515">
      <c r="S47515" s="27"/>
      <c r="T47515" s="27"/>
      <c r="U47515" s="27"/>
    </row>
    <row r="47517">
      <c r="S47517" s="27"/>
      <c r="T47517" s="27"/>
      <c r="U47517" s="27"/>
    </row>
    <row r="47518">
      <c r="S47518" s="27"/>
      <c r="T47518" s="27"/>
      <c r="U47518" s="27"/>
    </row>
    <row r="47520">
      <c r="S47520" s="27"/>
      <c r="T47520" s="27"/>
      <c r="U47520" s="27"/>
    </row>
    <row r="47521">
      <c r="S47521" s="27"/>
      <c r="T47521" s="27"/>
      <c r="U47521" s="27"/>
    </row>
    <row r="47523">
      <c r="S47523" s="27"/>
      <c r="T47523" s="27"/>
      <c r="U47523" s="27"/>
    </row>
    <row r="47524">
      <c r="S47524" s="27"/>
      <c r="T47524" s="27"/>
      <c r="U47524" s="27"/>
    </row>
    <row r="47526">
      <c r="S47526" s="27"/>
      <c r="T47526" s="27"/>
      <c r="U47526" s="27"/>
    </row>
    <row r="47527">
      <c r="S47527" s="27"/>
      <c r="T47527" s="27"/>
      <c r="U47527" s="27"/>
    </row>
    <row r="47529">
      <c r="S47529" s="27"/>
      <c r="T47529" s="27"/>
      <c r="U47529" s="27"/>
    </row>
    <row r="47530">
      <c r="S47530" s="27"/>
      <c r="T47530" s="27"/>
      <c r="U47530" s="27"/>
    </row>
    <row r="47532">
      <c r="S47532" s="27"/>
      <c r="T47532" s="27"/>
      <c r="U47532" s="27"/>
    </row>
    <row r="47533">
      <c r="S47533" s="27"/>
      <c r="T47533" s="27"/>
      <c r="U47533" s="27"/>
    </row>
    <row r="47535">
      <c r="S47535" s="27"/>
      <c r="T47535" s="27"/>
      <c r="U47535" s="27"/>
    </row>
    <row r="47536">
      <c r="S47536" s="27"/>
      <c r="T47536" s="27"/>
      <c r="U47536" s="27"/>
    </row>
    <row r="47539">
      <c r="S47539" s="36"/>
      <c r="T47539" s="36"/>
      <c r="U47539" s="27"/>
    </row>
    <row r="47541">
      <c r="S47541" s="27"/>
      <c r="T47541" s="27"/>
      <c r="U47541" s="27"/>
    </row>
    <row r="47542">
      <c r="S47542" s="27"/>
    </row>
    <row r="47544">
      <c r="S47544" s="27"/>
      <c r="T47544" s="33"/>
      <c r="U47544" s="33"/>
    </row>
    <row r="47545">
      <c r="S47545" s="27"/>
      <c r="T47545" s="27"/>
      <c r="U47545" s="27"/>
    </row>
    <row r="47547">
      <c r="U47547" s="27"/>
    </row>
    <row r="47548">
      <c r="S47548" s="27"/>
      <c r="T47548" s="27"/>
      <c r="U47548" s="27"/>
    </row>
    <row r="47550">
      <c r="S47550" s="27"/>
      <c r="T47550" s="27"/>
      <c r="U47550" s="27"/>
    </row>
    <row r="47551">
      <c r="S47551" s="26"/>
      <c r="T47551" s="26"/>
      <c r="U47551" s="26"/>
    </row>
    <row r="47554">
      <c r="S47554" s="27"/>
      <c r="T47554" s="27"/>
      <c r="U47554" s="27"/>
    </row>
    <row r="47555">
      <c r="S47555" s="27"/>
      <c r="T47555" s="27"/>
      <c r="U47555" s="27"/>
    </row>
    <row r="47557">
      <c r="S47557" s="27"/>
      <c r="T47557" s="27"/>
      <c r="U47557" s="27"/>
    </row>
    <row r="47558">
      <c r="S47558" s="27"/>
      <c r="T47558" s="27"/>
      <c r="U47558" s="27"/>
    </row>
    <row r="47563">
      <c r="S47563" s="27"/>
      <c r="T47563" s="26"/>
      <c r="U47563" s="26"/>
    </row>
    <row r="47566">
      <c r="S47566" s="27"/>
      <c r="T47566" s="27"/>
    </row>
    <row r="47568">
      <c r="U47568" s="27"/>
    </row>
    <row r="47570">
      <c r="S47570" s="27"/>
      <c r="T47570" s="27"/>
      <c r="U47570" s="27"/>
    </row>
    <row r="47573">
      <c r="S47573" s="27"/>
      <c r="T47573" s="27"/>
      <c r="U47573" s="27"/>
    </row>
    <row r="47576">
      <c r="S47576" s="27"/>
      <c r="T47576" s="27"/>
      <c r="U47576" s="27"/>
    </row>
    <row r="47577">
      <c r="S47577" s="27"/>
      <c r="T47577" s="27"/>
      <c r="U47577" s="27"/>
    </row>
    <row r="47579">
      <c r="S47579" s="27"/>
      <c r="T47579" s="27"/>
      <c r="U47579" s="27"/>
    </row>
    <row r="47580">
      <c r="S47580" s="27"/>
      <c r="T47580" s="27"/>
      <c r="U47580" s="27"/>
    </row>
    <row r="47582">
      <c r="S47582" s="33"/>
      <c r="T47582" s="27"/>
      <c r="U47582" s="27"/>
    </row>
    <row r="47583">
      <c r="S47583" s="27"/>
      <c r="T47583" s="27"/>
      <c r="U47583" s="27"/>
    </row>
    <row r="47585">
      <c r="S47585" s="27"/>
      <c r="T47585" s="27"/>
      <c r="U47585" s="27"/>
    </row>
    <row r="47586">
      <c r="S47586" s="27"/>
      <c r="T47586" s="27"/>
      <c r="U47586" s="26"/>
    </row>
    <row r="47588">
      <c r="S47588" s="27"/>
      <c r="T47588" s="27"/>
      <c r="U47588" s="27"/>
    </row>
    <row r="47589">
      <c r="S47589" s="27"/>
      <c r="T47589" s="27"/>
      <c r="U47589" s="27"/>
    </row>
    <row r="47594">
      <c r="S47594" s="27"/>
      <c r="T47594" s="27"/>
      <c r="U47594" s="27"/>
    </row>
    <row r="47595">
      <c r="S47595" s="27"/>
      <c r="T47595" s="27"/>
      <c r="U47595" s="27"/>
    </row>
    <row r="47597">
      <c r="U47597" s="27"/>
    </row>
    <row r="47600">
      <c r="S47600" s="27"/>
      <c r="T47600" s="27"/>
      <c r="U47600" s="27"/>
    </row>
    <row r="47601">
      <c r="S47601" s="27"/>
      <c r="T47601" s="27"/>
      <c r="U47601" s="27"/>
    </row>
    <row r="47603">
      <c r="S47603" s="33"/>
      <c r="T47603" s="27"/>
      <c r="U47603" s="27"/>
    </row>
    <row r="47606">
      <c r="S47606" s="27"/>
      <c r="T47606" s="27"/>
      <c r="U47606" s="27"/>
    </row>
    <row r="47607">
      <c r="S47607" s="27"/>
      <c r="T47607" s="27"/>
      <c r="U47607" s="27"/>
    </row>
    <row r="47609">
      <c r="S47609" s="27"/>
      <c r="T47609" s="27"/>
      <c r="U47609" s="27"/>
    </row>
    <row r="47612">
      <c r="S47612" s="27"/>
      <c r="T47612" s="27"/>
      <c r="U47612" s="27"/>
    </row>
    <row r="47613">
      <c r="S47613" s="33"/>
      <c r="T47613" s="33"/>
      <c r="U47613" s="33"/>
    </row>
    <row r="47615">
      <c r="S47615" s="26"/>
    </row>
    <row r="47616">
      <c r="S47616" s="26"/>
      <c r="T47616" s="26"/>
      <c r="U47616" s="26"/>
    </row>
    <row r="47619">
      <c r="S47619" s="27"/>
      <c r="T47619" s="27"/>
      <c r="U47619" s="27"/>
    </row>
    <row r="47621">
      <c r="S47621" s="27"/>
      <c r="T47621" s="27"/>
      <c r="U47621" s="27"/>
    </row>
    <row r="47622">
      <c r="S47622" s="27"/>
      <c r="T47622" s="27"/>
      <c r="U47622" s="27"/>
    </row>
    <row r="47624">
      <c r="S47624" s="27"/>
      <c r="T47624" s="27"/>
      <c r="U47624" s="27"/>
    </row>
    <row r="47625">
      <c r="S47625" s="27"/>
      <c r="T47625" s="27"/>
      <c r="U47625" s="27"/>
    </row>
    <row r="47627">
      <c r="S47627" s="27"/>
      <c r="T47627" s="27"/>
      <c r="U47627" s="27"/>
    </row>
    <row r="47628">
      <c r="S47628" s="27"/>
      <c r="T47628" s="27"/>
      <c r="U47628" s="27"/>
    </row>
    <row r="47630">
      <c r="S47630" s="26"/>
    </row>
    <row r="47633">
      <c r="S47633" s="27"/>
      <c r="T47633" s="27"/>
      <c r="U47633" s="27"/>
    </row>
    <row r="47634">
      <c r="S47634" s="27"/>
      <c r="T47634" s="27"/>
      <c r="U47634" s="27"/>
    </row>
    <row r="47636">
      <c r="S47636" s="27"/>
      <c r="T47636" s="27"/>
      <c r="U47636" s="27"/>
    </row>
    <row r="47637">
      <c r="S47637" s="27"/>
      <c r="T47637" s="27"/>
      <c r="U47637" s="27"/>
    </row>
    <row r="47639">
      <c r="T47639" s="27"/>
      <c r="U47639" s="27"/>
    </row>
    <row r="47640">
      <c r="S47640" s="26"/>
      <c r="T47640" s="26"/>
      <c r="U47640" s="26"/>
    </row>
    <row r="47642">
      <c r="T47642" s="27"/>
      <c r="U47642" s="27"/>
    </row>
    <row r="47643">
      <c r="T47643" s="27"/>
      <c r="U47643" s="27"/>
    </row>
    <row r="47645">
      <c r="S47645" s="27"/>
      <c r="T47645" s="27"/>
      <c r="U47645" s="27"/>
    </row>
    <row r="47646">
      <c r="S47646" s="27"/>
      <c r="T47646" s="27"/>
      <c r="U47646" s="27"/>
    </row>
    <row r="47648">
      <c r="S47648" s="27"/>
      <c r="T47648" s="27"/>
      <c r="U47648" s="27"/>
    </row>
    <row r="47649">
      <c r="S47649" s="27"/>
      <c r="T47649" s="27"/>
      <c r="U47649" s="27"/>
    </row>
    <row r="47651">
      <c r="S47651" s="27"/>
      <c r="T47651" s="27"/>
      <c r="U47651" s="27"/>
    </row>
    <row r="47654">
      <c r="S47654" s="27"/>
      <c r="T47654" s="27"/>
      <c r="U47654" s="27"/>
    </row>
    <row r="47655">
      <c r="S47655" s="26"/>
      <c r="T47655" s="26"/>
      <c r="U47655" s="26"/>
    </row>
    <row r="47657">
      <c r="S47657" s="26"/>
      <c r="T47657" s="26"/>
      <c r="U47657" s="26"/>
    </row>
    <row r="47660">
      <c r="S47660" s="27"/>
      <c r="T47660" s="27"/>
      <c r="U47660" s="27"/>
    </row>
    <row r="47663">
      <c r="S47663" s="27"/>
      <c r="T47663" s="27"/>
      <c r="U47663" s="27"/>
    </row>
    <row r="47664">
      <c r="S47664" s="27"/>
      <c r="T47664" s="27"/>
      <c r="U47664" s="27"/>
    </row>
    <row r="47666">
      <c r="S47666" s="27"/>
      <c r="T47666" s="27"/>
      <c r="U47666" s="27"/>
    </row>
    <row r="47667">
      <c r="S47667" s="27"/>
      <c r="T47667" s="27"/>
      <c r="U47667" s="27"/>
    </row>
    <row r="47669">
      <c r="S47669" s="27"/>
      <c r="T47669" s="27"/>
      <c r="U47669" s="27"/>
    </row>
    <row r="47670">
      <c r="S47670" s="27"/>
      <c r="T47670" s="27"/>
      <c r="U47670" s="27"/>
    </row>
    <row r="47672">
      <c r="S47672" s="26"/>
      <c r="T47672" s="26"/>
    </row>
    <row r="47673">
      <c r="U47673" s="26"/>
    </row>
    <row r="47675">
      <c r="S47675" s="27"/>
      <c r="T47675" s="27"/>
      <c r="U47675" s="27"/>
    </row>
    <row r="47676">
      <c r="S47676" s="27"/>
      <c r="T47676" s="27"/>
      <c r="U47676" s="27"/>
    </row>
    <row r="47678">
      <c r="S47678" s="27"/>
      <c r="T47678" s="27"/>
      <c r="U47678" s="27"/>
    </row>
    <row r="47679">
      <c r="S47679" s="27"/>
      <c r="T47679" s="27"/>
      <c r="U47679" s="27"/>
    </row>
    <row r="47681">
      <c r="S47681" s="27"/>
      <c r="T47681" s="27"/>
      <c r="U47681" s="27"/>
    </row>
    <row r="47682">
      <c r="S47682" s="27"/>
      <c r="T47682" s="27"/>
      <c r="U47682" s="27"/>
    </row>
    <row r="47684">
      <c r="S47684" s="27"/>
      <c r="T47684" s="27"/>
      <c r="U47684" s="27"/>
    </row>
    <row r="47685">
      <c r="S47685" s="27"/>
      <c r="T47685" s="27"/>
      <c r="U47685" s="27"/>
    </row>
    <row r="47687">
      <c r="S47687" s="27"/>
      <c r="T47687" s="27"/>
      <c r="U47687" s="27"/>
    </row>
    <row r="47688">
      <c r="S47688" s="27"/>
      <c r="T47688" s="27"/>
      <c r="U47688" s="27"/>
    </row>
    <row r="47690">
      <c r="S47690" s="27"/>
      <c r="T47690" s="27"/>
      <c r="U47690" s="27"/>
    </row>
    <row r="47691">
      <c r="S47691" s="27"/>
      <c r="T47691" s="27"/>
      <c r="U47691" s="27"/>
    </row>
    <row r="47693">
      <c r="S47693" s="27"/>
      <c r="T47693" s="27"/>
      <c r="U47693" s="27"/>
    </row>
    <row r="47694">
      <c r="S47694" s="27"/>
      <c r="T47694" s="27"/>
      <c r="U47694" s="27"/>
    </row>
    <row r="47696">
      <c r="S47696" s="27"/>
      <c r="T47696" s="27"/>
      <c r="U47696" s="27"/>
    </row>
    <row r="47697">
      <c r="S47697" s="27"/>
      <c r="T47697" s="27"/>
      <c r="U47697" s="27"/>
    </row>
    <row r="47699">
      <c r="S47699" s="27"/>
      <c r="T47699" s="27"/>
      <c r="U47699" s="27"/>
    </row>
    <row r="47700">
      <c r="S47700" s="27"/>
      <c r="T47700" s="27"/>
      <c r="U47700" s="27"/>
    </row>
    <row r="47702">
      <c r="S47702" s="27"/>
      <c r="T47702" s="27"/>
      <c r="U47702" s="27"/>
    </row>
    <row r="47703">
      <c r="S47703" s="27"/>
      <c r="T47703" s="27"/>
      <c r="U47703" s="27"/>
    </row>
    <row r="47705">
      <c r="S47705" s="27"/>
      <c r="T47705" s="27"/>
      <c r="U47705" s="27"/>
    </row>
    <row r="47706">
      <c r="S47706" s="27"/>
      <c r="T47706" s="27"/>
      <c r="U47706" s="27"/>
    </row>
    <row r="47708">
      <c r="S47708" s="27"/>
      <c r="T47708" s="27"/>
      <c r="U47708" s="27"/>
    </row>
    <row r="47709">
      <c r="S47709" s="27"/>
      <c r="T47709" s="27"/>
      <c r="U47709" s="27"/>
    </row>
    <row r="47711">
      <c r="S47711" s="27"/>
      <c r="T47711" s="27"/>
      <c r="U47711" s="27"/>
    </row>
    <row r="47712">
      <c r="S47712" s="27"/>
      <c r="T47712" s="27"/>
      <c r="U47712" s="27"/>
    </row>
    <row r="47714">
      <c r="S47714" s="27"/>
      <c r="T47714" s="27"/>
      <c r="U47714" s="27"/>
    </row>
    <row r="47715">
      <c r="S47715" s="27"/>
      <c r="T47715" s="27"/>
      <c r="U47715" s="27"/>
    </row>
    <row r="47717">
      <c r="S47717" s="27"/>
      <c r="T47717" s="27"/>
      <c r="U47717" s="27"/>
    </row>
    <row r="47718">
      <c r="S47718" s="27"/>
      <c r="T47718" s="27"/>
      <c r="U47718" s="27"/>
    </row>
    <row r="47720">
      <c r="S47720" s="27"/>
      <c r="T47720" s="27"/>
      <c r="U47720" s="27"/>
    </row>
    <row r="47721">
      <c r="S47721" s="27"/>
      <c r="T47721" s="27"/>
      <c r="U47721" s="27"/>
    </row>
    <row r="47723">
      <c r="S47723" s="27"/>
      <c r="T47723" s="27"/>
      <c r="U47723" s="27"/>
    </row>
    <row r="47724">
      <c r="S47724" s="27"/>
      <c r="T47724" s="27"/>
      <c r="U47724" s="27"/>
    </row>
    <row r="47726">
      <c r="S47726" s="27"/>
      <c r="T47726" s="27"/>
      <c r="U47726" s="27"/>
    </row>
    <row r="47727">
      <c r="S47727" s="27"/>
      <c r="T47727" s="27"/>
      <c r="U47727" s="27"/>
    </row>
    <row r="47729">
      <c r="S47729" s="27"/>
      <c r="T47729" s="27"/>
      <c r="U47729" s="27"/>
    </row>
    <row r="47730">
      <c r="S47730" s="27"/>
      <c r="T47730" s="27"/>
      <c r="U47730" s="27"/>
    </row>
    <row r="47732">
      <c r="S47732" s="27"/>
      <c r="T47732" s="27"/>
      <c r="U47732" s="27"/>
    </row>
    <row r="47733">
      <c r="S47733" s="27"/>
      <c r="T47733" s="27"/>
      <c r="U47733" s="27"/>
    </row>
    <row r="47735">
      <c r="S47735" s="27"/>
      <c r="T47735" s="27"/>
      <c r="U47735" s="27"/>
    </row>
    <row r="47736">
      <c r="S47736" s="27"/>
      <c r="T47736" s="27"/>
      <c r="U47736" s="27"/>
    </row>
    <row r="47738">
      <c r="S47738" s="27"/>
      <c r="T47738" s="27"/>
      <c r="U47738" s="27"/>
    </row>
    <row r="47739">
      <c r="S47739" s="27"/>
      <c r="T47739" s="27"/>
      <c r="U47739" s="27"/>
    </row>
    <row r="47741">
      <c r="S47741" s="27"/>
      <c r="T47741" s="27"/>
      <c r="U47741" s="27"/>
    </row>
    <row r="47742">
      <c r="S47742" s="27"/>
      <c r="T47742" s="27"/>
      <c r="U47742" s="27"/>
    </row>
    <row r="47744">
      <c r="S47744" s="27"/>
      <c r="T47744" s="27"/>
      <c r="U47744" s="27"/>
    </row>
    <row r="47745">
      <c r="S47745" s="27"/>
      <c r="T47745" s="27"/>
      <c r="U47745" s="27"/>
    </row>
    <row r="47747">
      <c r="S47747" s="27"/>
      <c r="T47747" s="27"/>
      <c r="U47747" s="27"/>
    </row>
    <row r="47748">
      <c r="S47748" s="27"/>
      <c r="T47748" s="27"/>
      <c r="U47748" s="27"/>
    </row>
    <row r="47750">
      <c r="S47750" s="27"/>
      <c r="T47750" s="27"/>
      <c r="U47750" s="27"/>
    </row>
    <row r="47751">
      <c r="S47751" s="27"/>
      <c r="T47751" s="27"/>
      <c r="U47751" s="27"/>
    </row>
    <row r="47753">
      <c r="S47753" s="27"/>
      <c r="T47753" s="27"/>
      <c r="U47753" s="27"/>
    </row>
    <row r="47754">
      <c r="S47754" s="27"/>
      <c r="T47754" s="27"/>
      <c r="U47754" s="27"/>
    </row>
    <row r="47756">
      <c r="S47756" s="27"/>
      <c r="T47756" s="27"/>
      <c r="U47756" s="27"/>
    </row>
    <row r="47757">
      <c r="S47757" s="27"/>
      <c r="T47757" s="27"/>
      <c r="U47757" s="27"/>
    </row>
    <row r="47759">
      <c r="S47759" s="27"/>
      <c r="T47759" s="27"/>
      <c r="U47759" s="27"/>
    </row>
    <row r="47760">
      <c r="S47760" s="27"/>
      <c r="T47760" s="27"/>
      <c r="U47760" s="27"/>
    </row>
    <row r="47762">
      <c r="S47762" s="27"/>
      <c r="T47762" s="27"/>
      <c r="U47762" s="27"/>
    </row>
    <row r="47763">
      <c r="S47763" s="27"/>
      <c r="T47763" s="27"/>
      <c r="U47763" s="27"/>
    </row>
    <row r="47765">
      <c r="S47765" s="27"/>
      <c r="T47765" s="27"/>
      <c r="U47765" s="27"/>
    </row>
    <row r="47766">
      <c r="S47766" s="27"/>
      <c r="T47766" s="27"/>
      <c r="U47766" s="27"/>
    </row>
    <row r="47768">
      <c r="S47768" s="27"/>
      <c r="T47768" s="27"/>
      <c r="U47768" s="27"/>
    </row>
    <row r="47770">
      <c r="S47770" s="27"/>
      <c r="T47770" s="27"/>
      <c r="U47770" s="27"/>
    </row>
    <row r="47771">
      <c r="S47771" s="27"/>
      <c r="T47771" s="27"/>
      <c r="U47771" s="27"/>
    </row>
    <row r="47774">
      <c r="S47774" s="27"/>
      <c r="T47774" s="27"/>
      <c r="U47774" s="27"/>
    </row>
    <row r="47776">
      <c r="S47776" s="27"/>
      <c r="T47776" s="27"/>
      <c r="U47776" s="27"/>
    </row>
    <row r="47777">
      <c r="S47777" s="27"/>
      <c r="T47777" s="27"/>
      <c r="U47777" s="27"/>
    </row>
    <row r="47779">
      <c r="S47779" s="27"/>
      <c r="T47779" s="27"/>
      <c r="U47779" s="27"/>
    </row>
    <row r="47780">
      <c r="S47780" s="27"/>
      <c r="T47780" s="27"/>
      <c r="U47780" s="27"/>
    </row>
    <row r="47782">
      <c r="S47782" s="27"/>
      <c r="T47782" s="27"/>
      <c r="U47782" s="27"/>
    </row>
    <row r="47783">
      <c r="S47783" s="27"/>
      <c r="T47783" s="27"/>
      <c r="U47783" s="27"/>
    </row>
    <row r="47785">
      <c r="S47785" s="27"/>
      <c r="T47785" s="27"/>
      <c r="U47785" s="27"/>
    </row>
    <row r="47786">
      <c r="S47786" s="27"/>
      <c r="T47786" s="27"/>
      <c r="U47786" s="27"/>
    </row>
    <row r="47788">
      <c r="S47788" s="27"/>
      <c r="T47788" s="27"/>
      <c r="U47788" s="27"/>
    </row>
    <row r="47789">
      <c r="S47789" s="27"/>
      <c r="T47789" s="27"/>
      <c r="U47789" s="27"/>
    </row>
    <row r="47791">
      <c r="S47791" s="27"/>
      <c r="T47791" s="27"/>
      <c r="U47791" s="27"/>
    </row>
    <row r="47793">
      <c r="S47793" s="27"/>
      <c r="T47793" s="27"/>
      <c r="U47793" s="27"/>
    </row>
    <row r="47795">
      <c r="S47795" s="27"/>
      <c r="T47795" s="27"/>
      <c r="U47795" s="27"/>
    </row>
    <row r="47797">
      <c r="S47797" s="27"/>
      <c r="T47797" s="27"/>
      <c r="U47797" s="27"/>
    </row>
    <row r="47799">
      <c r="S47799" s="27"/>
      <c r="T47799" s="27"/>
      <c r="U47799" s="27"/>
    </row>
    <row r="47800">
      <c r="S47800" s="27"/>
      <c r="T47800" s="27"/>
      <c r="U47800" s="27"/>
    </row>
    <row r="47802">
      <c r="S47802" s="27"/>
      <c r="T47802" s="27"/>
      <c r="U47802" s="27"/>
    </row>
    <row r="47803">
      <c r="S47803" s="27"/>
      <c r="T47803" s="27"/>
      <c r="U47803" s="27"/>
    </row>
    <row r="47805">
      <c r="S47805" s="27"/>
      <c r="T47805" s="27"/>
      <c r="U47805" s="27"/>
    </row>
    <row r="47806">
      <c r="S47806" s="33"/>
      <c r="T47806" s="33"/>
      <c r="U47806" s="26"/>
    </row>
    <row r="47808">
      <c r="S47808" s="27"/>
      <c r="T47808" s="27"/>
      <c r="U47808" s="27"/>
    </row>
    <row r="47809">
      <c r="S47809" s="27"/>
      <c r="T47809" s="27"/>
      <c r="U47809" s="27"/>
    </row>
    <row r="47811">
      <c r="S47811" s="27"/>
      <c r="T47811" s="27"/>
      <c r="U47811" s="27"/>
    </row>
    <row r="47812">
      <c r="S47812" s="27"/>
      <c r="T47812" s="27"/>
      <c r="U47812" s="27"/>
    </row>
    <row r="47815">
      <c r="S47815" s="27"/>
      <c r="T47815" s="27"/>
      <c r="U47815" s="27"/>
    </row>
    <row r="47816">
      <c r="S47816" s="27"/>
      <c r="T47816" s="27"/>
      <c r="U47816" s="27"/>
    </row>
    <row r="47818">
      <c r="U47818" s="27"/>
    </row>
    <row r="47821">
      <c r="S47821" s="27"/>
      <c r="T47821" s="33"/>
      <c r="U47821" s="27"/>
    </row>
    <row r="47822">
      <c r="T47822" s="26"/>
    </row>
    <row r="47824">
      <c r="S47824" s="27"/>
      <c r="T47824" s="27"/>
      <c r="U47824" s="27"/>
    </row>
    <row r="47825">
      <c r="S47825" s="27"/>
      <c r="T47825" s="27"/>
      <c r="U47825" s="27"/>
    </row>
    <row r="47827">
      <c r="S47827" s="27"/>
      <c r="T47827" s="27"/>
      <c r="U47827" s="27"/>
    </row>
    <row r="47828">
      <c r="S47828" s="27"/>
      <c r="T47828" s="27"/>
      <c r="U47828" s="27"/>
    </row>
    <row r="47830">
      <c r="S47830" s="27"/>
      <c r="T47830" s="27"/>
      <c r="U47830" s="27"/>
    </row>
    <row r="47831">
      <c r="S47831" s="27"/>
      <c r="T47831" s="27"/>
      <c r="U47831" s="27"/>
    </row>
    <row r="47833">
      <c r="S47833" s="27"/>
      <c r="T47833" s="27"/>
      <c r="U47833" s="26"/>
    </row>
    <row r="47836">
      <c r="S47836" s="27"/>
      <c r="T47836" s="27"/>
      <c r="U47836" s="27"/>
    </row>
    <row r="47837">
      <c r="S47837" s="27"/>
      <c r="T47837" s="27"/>
      <c r="U47837" s="27"/>
    </row>
    <row r="47839">
      <c r="S47839" s="27"/>
      <c r="T47839" s="27"/>
      <c r="U47839" s="27"/>
    </row>
    <row r="47840">
      <c r="S47840" s="27"/>
      <c r="T47840" s="27"/>
      <c r="U47840" s="27"/>
    </row>
    <row r="47842">
      <c r="S47842" s="27"/>
      <c r="T47842" s="27"/>
      <c r="U47842" s="27"/>
    </row>
    <row r="47843">
      <c r="S47843" s="27"/>
      <c r="T47843" s="27"/>
      <c r="U47843" s="27"/>
    </row>
    <row r="47845">
      <c r="T47845" s="27"/>
      <c r="U47845" s="27"/>
    </row>
    <row r="47848">
      <c r="S47848" s="26"/>
      <c r="T47848" s="26"/>
      <c r="U47848" s="26"/>
    </row>
    <row r="47849">
      <c r="S47849" s="26"/>
      <c r="T47849" s="26"/>
      <c r="U47849" s="26"/>
    </row>
    <row r="47851">
      <c r="S47851" s="27"/>
      <c r="T47851" s="27"/>
      <c r="U47851" s="27"/>
    </row>
    <row r="47852">
      <c r="S47852" s="27"/>
      <c r="T47852" s="27"/>
      <c r="U47852" s="27"/>
    </row>
    <row r="47854">
      <c r="S47854" s="27"/>
      <c r="T47854" s="27"/>
      <c r="U47854" s="27"/>
    </row>
    <row r="47855">
      <c r="S47855" s="27"/>
      <c r="T47855" s="27"/>
      <c r="U47855" s="27"/>
    </row>
    <row r="47860">
      <c r="T47860" s="34"/>
    </row>
    <row r="47863">
      <c r="S47863" s="27"/>
      <c r="T47863" s="27"/>
      <c r="U47863" s="27"/>
    </row>
    <row r="47866">
      <c r="S47866" s="27"/>
      <c r="T47866" s="27"/>
      <c r="U47866" s="27"/>
    </row>
    <row r="47867">
      <c r="S47867" s="27"/>
      <c r="T47867" s="27"/>
      <c r="U47867" s="27"/>
    </row>
    <row r="47869">
      <c r="S47869" s="27"/>
      <c r="T47869" s="27"/>
      <c r="U47869" s="27"/>
    </row>
    <row r="47870">
      <c r="S47870" s="27"/>
      <c r="T47870" s="27"/>
      <c r="U47870" s="27"/>
    </row>
    <row r="47872">
      <c r="S47872" s="27"/>
      <c r="T47872" s="27"/>
      <c r="U47872" s="27"/>
    </row>
    <row r="47873">
      <c r="S47873" s="27"/>
      <c r="T47873" s="27"/>
      <c r="U47873" s="27"/>
    </row>
    <row r="47875">
      <c r="S47875" s="27"/>
      <c r="T47875" s="27"/>
      <c r="U47875" s="27"/>
    </row>
    <row r="47876">
      <c r="S47876" s="27"/>
      <c r="T47876" s="27"/>
      <c r="U47876" s="27"/>
    </row>
    <row r="47878">
      <c r="S47878" s="27"/>
      <c r="T47878" s="27"/>
      <c r="U47878" s="27"/>
    </row>
    <row r="47879">
      <c r="S47879" s="27"/>
      <c r="T47879" s="27"/>
      <c r="U47879" s="27"/>
    </row>
    <row r="47881">
      <c r="S47881" s="27"/>
      <c r="T47881" s="27"/>
      <c r="U47881" s="27"/>
    </row>
    <row r="47882">
      <c r="S47882" s="27"/>
      <c r="T47882" s="27"/>
      <c r="U47882" s="27"/>
    </row>
    <row r="47884">
      <c r="S47884" s="27"/>
      <c r="T47884" s="27"/>
      <c r="U47884" s="27"/>
    </row>
    <row r="47885">
      <c r="S47885" s="27"/>
      <c r="T47885" s="27"/>
      <c r="U47885" s="27"/>
    </row>
    <row r="47887">
      <c r="S47887" s="27"/>
      <c r="T47887" s="27"/>
      <c r="U47887" s="27"/>
    </row>
    <row r="47888">
      <c r="S47888" s="27"/>
      <c r="T47888" s="27"/>
      <c r="U47888" s="27"/>
    </row>
    <row r="47890">
      <c r="S47890" s="27"/>
      <c r="T47890" s="27"/>
      <c r="U47890" s="27"/>
    </row>
    <row r="47891">
      <c r="S47891" s="27"/>
      <c r="T47891" s="27"/>
      <c r="U47891" s="27"/>
    </row>
    <row r="47893">
      <c r="S47893" s="27"/>
      <c r="T47893" s="27"/>
      <c r="U47893" s="27"/>
    </row>
    <row r="47894">
      <c r="S47894" s="27"/>
      <c r="T47894" s="27"/>
      <c r="U47894" s="27"/>
    </row>
    <row r="47896">
      <c r="S47896" s="27"/>
      <c r="T47896" s="27"/>
      <c r="U47896" s="27"/>
    </row>
    <row r="47897">
      <c r="S47897" s="27"/>
      <c r="T47897" s="27"/>
      <c r="U47897" s="27"/>
    </row>
    <row r="47899">
      <c r="S47899" s="27"/>
      <c r="T47899" s="27"/>
      <c r="U47899" s="27"/>
    </row>
    <row r="47900">
      <c r="S47900" s="27"/>
      <c r="T47900" s="27"/>
      <c r="U47900" s="27"/>
    </row>
    <row r="47902">
      <c r="S47902" s="27"/>
      <c r="T47902" s="27"/>
      <c r="U47902" s="27"/>
    </row>
    <row r="47903">
      <c r="S47903" s="27"/>
      <c r="T47903" s="27"/>
      <c r="U47903" s="27"/>
    </row>
    <row r="47905">
      <c r="S47905" s="27"/>
      <c r="T47905" s="27"/>
      <c r="U47905" s="27"/>
    </row>
    <row r="47906">
      <c r="S47906" s="27"/>
      <c r="T47906" s="27"/>
      <c r="U47906" s="27"/>
    </row>
    <row r="47908">
      <c r="S47908" s="27"/>
      <c r="T47908" s="27"/>
      <c r="U47908" s="27"/>
    </row>
    <row r="47909">
      <c r="S47909" s="27"/>
      <c r="T47909" s="27"/>
      <c r="U47909" s="27"/>
    </row>
    <row r="47911">
      <c r="U47911" s="27"/>
    </row>
    <row r="47912">
      <c r="U47912" s="27"/>
    </row>
    <row r="47914">
      <c r="S47914" s="27"/>
      <c r="T47914" s="27"/>
      <c r="U47914" s="27"/>
    </row>
    <row r="47915">
      <c r="S47915" s="27"/>
      <c r="T47915" s="27"/>
      <c r="U47915" s="27"/>
    </row>
    <row r="47917">
      <c r="S47917" s="27"/>
      <c r="T47917" s="27"/>
      <c r="U47917" s="27"/>
    </row>
    <row r="47918">
      <c r="S47918" s="27"/>
      <c r="T47918" s="27"/>
      <c r="U47918" s="27"/>
    </row>
    <row r="47920">
      <c r="S47920" s="27"/>
      <c r="T47920" s="27"/>
      <c r="U47920" s="27"/>
    </row>
    <row r="47921">
      <c r="S47921" s="27"/>
      <c r="T47921" s="27"/>
      <c r="U47921" s="27"/>
    </row>
    <row r="47923">
      <c r="S47923" s="27"/>
      <c r="T47923" s="27"/>
      <c r="U47923" s="27"/>
    </row>
    <row r="47924">
      <c r="S47924" s="27"/>
      <c r="T47924" s="27"/>
      <c r="U47924" s="27"/>
    </row>
    <row r="47926">
      <c r="S47926" s="27"/>
      <c r="T47926" s="27"/>
      <c r="U47926" s="27"/>
    </row>
    <row r="47927">
      <c r="S47927" s="27"/>
      <c r="T47927" s="27"/>
      <c r="U47927" s="27"/>
    </row>
    <row r="47929">
      <c r="S47929" s="27"/>
      <c r="T47929" s="27"/>
      <c r="U47929" s="27"/>
    </row>
    <row r="47930">
      <c r="S47930" s="27"/>
      <c r="T47930" s="27"/>
      <c r="U47930" s="27"/>
    </row>
    <row r="47932">
      <c r="S47932" s="27"/>
      <c r="T47932" s="27"/>
      <c r="U47932" s="27"/>
    </row>
    <row r="47933">
      <c r="S47933" s="27"/>
      <c r="T47933" s="27"/>
      <c r="U47933" s="27"/>
    </row>
    <row r="47935">
      <c r="S47935" s="27"/>
      <c r="T47935" s="27"/>
      <c r="U47935" s="27"/>
    </row>
    <row r="47936">
      <c r="S47936" s="27"/>
      <c r="T47936" s="27"/>
      <c r="U47936" s="27"/>
    </row>
    <row r="47938">
      <c r="S47938" s="27"/>
      <c r="T47938" s="27"/>
      <c r="U47938" s="27"/>
    </row>
    <row r="47939">
      <c r="S47939" s="27"/>
      <c r="T47939" s="27"/>
      <c r="U47939" s="27"/>
    </row>
    <row r="47941">
      <c r="S47941" s="27"/>
      <c r="T47941" s="27"/>
      <c r="U47941" s="27"/>
    </row>
    <row r="47942">
      <c r="S47942" s="27"/>
      <c r="T47942" s="27"/>
      <c r="U47942" s="27"/>
    </row>
    <row r="47944">
      <c r="S47944" s="27"/>
      <c r="T47944" s="27"/>
      <c r="U47944" s="27"/>
    </row>
    <row r="47947">
      <c r="S47947" s="33"/>
      <c r="T47947" s="27"/>
      <c r="U47947" s="33"/>
    </row>
    <row r="47948">
      <c r="S47948" s="27"/>
      <c r="U47948" s="27"/>
    </row>
    <row r="47950">
      <c r="S47950" s="27"/>
      <c r="T47950" s="27"/>
    </row>
    <row r="47951">
      <c r="S47951" s="27"/>
      <c r="T47951" s="27"/>
    </row>
    <row r="47953">
      <c r="S47953" s="27"/>
      <c r="T47953" s="27"/>
      <c r="U47953" s="27"/>
    </row>
    <row r="47956">
      <c r="S47956" s="27"/>
      <c r="T47956" s="27"/>
      <c r="U47956" s="27"/>
    </row>
    <row r="47957">
      <c r="S47957" s="27"/>
      <c r="T47957" s="27"/>
      <c r="U47957" s="27"/>
    </row>
    <row r="47959">
      <c r="S47959" s="27"/>
      <c r="T47959" s="27"/>
      <c r="U47959" s="27"/>
    </row>
    <row r="47960">
      <c r="S47960" s="27"/>
      <c r="T47960" s="27"/>
      <c r="U47960" s="27"/>
    </row>
    <row r="47962">
      <c r="S47962" s="27"/>
      <c r="T47962" s="27"/>
      <c r="U47962" s="27"/>
    </row>
    <row r="47963">
      <c r="S47963" s="27"/>
      <c r="T47963" s="27"/>
      <c r="U47963" s="27"/>
    </row>
    <row r="47965">
      <c r="U47965" s="26"/>
    </row>
    <row r="47968">
      <c r="S47968" s="27"/>
      <c r="T47968" s="26"/>
    </row>
    <row r="47971">
      <c r="S47971" s="27"/>
      <c r="T47971" s="35"/>
      <c r="U47971" s="35"/>
    </row>
    <row r="47975">
      <c r="S47975" s="26"/>
      <c r="T47975" s="27"/>
      <c r="U47975" s="27"/>
    </row>
    <row r="47978">
      <c r="S47978" s="27"/>
      <c r="T47978" s="27"/>
      <c r="U47978" s="27"/>
    </row>
    <row r="47981">
      <c r="S47981" s="27"/>
      <c r="T47981" s="27"/>
      <c r="U47981" s="27"/>
    </row>
    <row r="47982">
      <c r="S47982" s="27"/>
      <c r="T47982" s="27"/>
      <c r="U47982" s="27"/>
    </row>
    <row r="47984">
      <c r="S47984" s="27"/>
      <c r="T47984" s="27"/>
      <c r="U47984" s="27"/>
    </row>
    <row r="47985">
      <c r="S47985" s="27"/>
      <c r="T47985" s="27"/>
      <c r="U47985" s="27"/>
    </row>
    <row r="47987">
      <c r="S47987" s="27"/>
      <c r="T47987" s="27"/>
      <c r="U47987" s="27"/>
    </row>
    <row r="47988">
      <c r="U47988" s="27"/>
    </row>
    <row r="47990">
      <c r="S47990" s="27"/>
      <c r="T47990" s="27"/>
      <c r="U47990" s="27"/>
    </row>
    <row r="47991">
      <c r="S47991" s="26"/>
      <c r="T47991" s="27"/>
      <c r="U47991" s="27"/>
    </row>
    <row r="47993">
      <c r="S47993" s="27"/>
      <c r="T47993" s="27"/>
      <c r="U47993" s="27"/>
    </row>
    <row r="47994">
      <c r="S47994" s="27"/>
      <c r="T47994" s="27"/>
      <c r="U47994" s="27"/>
    </row>
    <row r="47996">
      <c r="S47996" s="26"/>
      <c r="T47996" s="26"/>
      <c r="U47996" s="26"/>
    </row>
    <row r="47997">
      <c r="S47997" s="26"/>
      <c r="T47997" s="26"/>
      <c r="U47997" s="26"/>
    </row>
    <row r="47999">
      <c r="S47999" s="27"/>
      <c r="T47999" s="27"/>
      <c r="U47999" s="27"/>
    </row>
    <row r="48000">
      <c r="S48000" s="27"/>
      <c r="T48000" s="27"/>
      <c r="U48000" s="27"/>
    </row>
    <row r="48002">
      <c r="S48002" s="27"/>
      <c r="T48002" s="27"/>
      <c r="U48002" s="27"/>
    </row>
    <row r="48003">
      <c r="S48003" s="27"/>
      <c r="T48003" s="27"/>
      <c r="U48003" s="27"/>
    </row>
    <row r="48005">
      <c r="S48005" s="27"/>
      <c r="T48005" s="27"/>
      <c r="U48005" s="27"/>
    </row>
    <row r="48006">
      <c r="S48006" s="27"/>
      <c r="T48006" s="27"/>
      <c r="U48006" s="27"/>
    </row>
    <row r="48008">
      <c r="S48008" s="27"/>
      <c r="T48008" s="33"/>
      <c r="U48008" s="33"/>
    </row>
    <row r="48014">
      <c r="S48014" s="27"/>
      <c r="T48014" s="27"/>
      <c r="U48014" s="27"/>
    </row>
    <row r="48017">
      <c r="S48017" s="27"/>
      <c r="T48017" s="27"/>
      <c r="U48017" s="27"/>
    </row>
    <row r="48018">
      <c r="S48018" s="27"/>
      <c r="T48018" s="27"/>
      <c r="U48018" s="27"/>
    </row>
    <row r="48020">
      <c r="S48020" s="26"/>
    </row>
    <row r="48021">
      <c r="S48021" s="26"/>
      <c r="T48021" s="26"/>
      <c r="U48021" s="26"/>
    </row>
    <row r="48023">
      <c r="S48023" s="27"/>
      <c r="T48023" s="27"/>
      <c r="U48023" s="27"/>
    </row>
    <row r="48024">
      <c r="S48024" s="27"/>
      <c r="T48024" s="27"/>
      <c r="U48024" s="27"/>
    </row>
    <row r="48026">
      <c r="S48026" s="27"/>
      <c r="T48026" s="27"/>
      <c r="U48026" s="27"/>
    </row>
    <row r="48027">
      <c r="S48027" s="27"/>
      <c r="T48027" s="27"/>
      <c r="U48027" s="27"/>
    </row>
    <row r="48029">
      <c r="S48029" s="27"/>
      <c r="T48029" s="27"/>
      <c r="U48029" s="27"/>
    </row>
    <row r="48030">
      <c r="S48030" s="27"/>
      <c r="T48030" s="27"/>
      <c r="U48030" s="27"/>
    </row>
    <row r="48032">
      <c r="S48032" s="27"/>
      <c r="T48032" s="27"/>
      <c r="U48032" s="27"/>
    </row>
    <row r="48033">
      <c r="S48033" s="27"/>
      <c r="T48033" s="27"/>
      <c r="U48033" s="27"/>
    </row>
    <row r="48035">
      <c r="S48035" s="27"/>
      <c r="T48035" s="27"/>
      <c r="U48035" s="34"/>
    </row>
    <row r="48038">
      <c r="S48038" s="27"/>
      <c r="T48038" s="27"/>
      <c r="U48038" s="27"/>
    </row>
    <row r="48039">
      <c r="S48039" s="27"/>
      <c r="T48039" s="27"/>
      <c r="U48039" s="27"/>
    </row>
    <row r="48041">
      <c r="S48041" s="27"/>
      <c r="T48041" s="27"/>
      <c r="U48041" s="27"/>
    </row>
    <row r="48042">
      <c r="S48042" s="27"/>
      <c r="T48042" s="27"/>
      <c r="U48042" s="27"/>
    </row>
    <row r="48044">
      <c r="S48044" s="27"/>
      <c r="T48044" s="27"/>
      <c r="U48044" s="27"/>
    </row>
    <row r="48047">
      <c r="S48047" s="27"/>
      <c r="T48047" s="27"/>
    </row>
    <row r="48048">
      <c r="S48048" s="27"/>
      <c r="T48048" s="27"/>
      <c r="U48048" s="27"/>
    </row>
    <row r="48050">
      <c r="S48050" s="27"/>
      <c r="T48050" s="27"/>
      <c r="U48050" s="27"/>
    </row>
    <row r="48051">
      <c r="S48051" s="27"/>
      <c r="T48051" s="27"/>
      <c r="U48051" s="27"/>
    </row>
    <row r="48053">
      <c r="S48053" s="27"/>
      <c r="T48053" s="27"/>
      <c r="U48053" s="27"/>
    </row>
    <row r="48054">
      <c r="S48054" s="27"/>
      <c r="T48054" s="27"/>
      <c r="U48054" s="27"/>
    </row>
    <row r="48056">
      <c r="S48056" s="27"/>
      <c r="T48056" s="27"/>
      <c r="U48056" s="27"/>
    </row>
    <row r="48059">
      <c r="S48059" s="27"/>
      <c r="T48059" s="27"/>
      <c r="U48059" s="27"/>
    </row>
    <row r="48060">
      <c r="S48060" s="27"/>
      <c r="T48060" s="27"/>
      <c r="U48060" s="27"/>
    </row>
    <row r="48062">
      <c r="S48062" s="26"/>
      <c r="T48062" s="26"/>
      <c r="U48062" s="26"/>
    </row>
    <row r="48065">
      <c r="S48065" s="27"/>
      <c r="T48065" s="27"/>
      <c r="U48065" s="27"/>
    </row>
    <row r="48068">
      <c r="S48068" s="27"/>
      <c r="T48068" s="27"/>
      <c r="U48068" s="27"/>
    </row>
    <row r="48069">
      <c r="S48069" s="27"/>
      <c r="T48069" s="27"/>
      <c r="U48069" s="27"/>
    </row>
    <row r="48071">
      <c r="S48071" s="27"/>
      <c r="T48071" s="27"/>
      <c r="U48071" s="27"/>
    </row>
    <row r="48072">
      <c r="S48072" s="27"/>
      <c r="T48072" s="27"/>
      <c r="U48072" s="27"/>
    </row>
    <row r="48074">
      <c r="S48074" s="27"/>
      <c r="T48074" s="27"/>
      <c r="U48074" s="27"/>
    </row>
    <row r="48075">
      <c r="S48075" s="27"/>
      <c r="T48075" s="27"/>
      <c r="U48075" s="27"/>
    </row>
    <row r="48077">
      <c r="S48077" s="26"/>
    </row>
    <row r="48078">
      <c r="T48078" s="26"/>
      <c r="U48078" s="26"/>
    </row>
    <row r="48080">
      <c r="S48080" s="27"/>
      <c r="T48080" s="27"/>
      <c r="U48080" s="27"/>
    </row>
    <row r="48081">
      <c r="S48081" s="27"/>
      <c r="T48081" s="27"/>
      <c r="U48081" s="27"/>
    </row>
    <row r="48083">
      <c r="S48083" s="27"/>
      <c r="T48083" s="27"/>
      <c r="U48083" s="27"/>
    </row>
    <row r="48084">
      <c r="S48084" s="27"/>
      <c r="T48084" s="27"/>
      <c r="U48084" s="27"/>
    </row>
    <row r="48086">
      <c r="S48086" s="27"/>
      <c r="T48086" s="27"/>
      <c r="U48086" s="27"/>
    </row>
    <row r="48087">
      <c r="S48087" s="27"/>
      <c r="T48087" s="27"/>
      <c r="U48087" s="27"/>
    </row>
    <row r="48089">
      <c r="S48089" s="27"/>
      <c r="T48089" s="27"/>
      <c r="U48089" s="27"/>
    </row>
    <row r="48090">
      <c r="S48090" s="27"/>
      <c r="T48090" s="27"/>
      <c r="U48090" s="27"/>
    </row>
    <row r="48092">
      <c r="S48092" s="27"/>
      <c r="T48092" s="27"/>
      <c r="U48092" s="27"/>
    </row>
    <row r="48093">
      <c r="S48093" s="27"/>
      <c r="T48093" s="27"/>
      <c r="U48093" s="27"/>
    </row>
    <row r="48095">
      <c r="S48095" s="27"/>
      <c r="T48095" s="27"/>
      <c r="U48095" s="27"/>
    </row>
    <row r="48096">
      <c r="S48096" s="27"/>
      <c r="T48096" s="27"/>
      <c r="U48096" s="27"/>
    </row>
    <row r="48098">
      <c r="S48098" s="27"/>
      <c r="T48098" s="27"/>
      <c r="U48098" s="27"/>
    </row>
    <row r="48099">
      <c r="S48099" s="27"/>
      <c r="T48099" s="27"/>
      <c r="U48099" s="27"/>
    </row>
    <row r="48101">
      <c r="S48101" s="27"/>
      <c r="T48101" s="27"/>
      <c r="U48101" s="27"/>
    </row>
    <row r="48102">
      <c r="S48102" s="27"/>
      <c r="T48102" s="27"/>
      <c r="U48102" s="27"/>
    </row>
    <row r="48104">
      <c r="S48104" s="27"/>
      <c r="T48104" s="27"/>
      <c r="U48104" s="27"/>
    </row>
    <row r="48105">
      <c r="S48105" s="27"/>
      <c r="T48105" s="27"/>
      <c r="U48105" s="27"/>
    </row>
    <row r="48107">
      <c r="S48107" s="27"/>
      <c r="T48107" s="27"/>
      <c r="U48107" s="27"/>
    </row>
    <row r="48108">
      <c r="S48108" s="27"/>
      <c r="T48108" s="27"/>
      <c r="U48108" s="27"/>
    </row>
    <row r="48110">
      <c r="S48110" s="27"/>
      <c r="T48110" s="27"/>
      <c r="U48110" s="27"/>
    </row>
    <row r="48111">
      <c r="S48111" s="27"/>
      <c r="T48111" s="27"/>
      <c r="U48111" s="27"/>
    </row>
    <row r="48113">
      <c r="S48113" s="27"/>
      <c r="T48113" s="27"/>
      <c r="U48113" s="27"/>
    </row>
    <row r="48114">
      <c r="S48114" s="27"/>
      <c r="T48114" s="27"/>
      <c r="U48114" s="27"/>
    </row>
    <row r="48116">
      <c r="S48116" s="27"/>
      <c r="T48116" s="27"/>
      <c r="U48116" s="27"/>
    </row>
    <row r="48117">
      <c r="S48117" s="27"/>
      <c r="T48117" s="27"/>
      <c r="U48117" s="27"/>
    </row>
    <row r="48119">
      <c r="S48119" s="27"/>
      <c r="T48119" s="27"/>
      <c r="U48119" s="27"/>
    </row>
    <row r="48120">
      <c r="S48120" s="27"/>
      <c r="T48120" s="27"/>
      <c r="U48120" s="27"/>
    </row>
    <row r="48122">
      <c r="S48122" s="27"/>
      <c r="T48122" s="27"/>
      <c r="U48122" s="27"/>
    </row>
    <row r="48123">
      <c r="S48123" s="27"/>
      <c r="T48123" s="27"/>
      <c r="U48123" s="27"/>
    </row>
    <row r="48125">
      <c r="S48125" s="27"/>
      <c r="T48125" s="27"/>
      <c r="U48125" s="27"/>
    </row>
    <row r="48126">
      <c r="S48126" s="27"/>
      <c r="T48126" s="27"/>
      <c r="U48126" s="27"/>
    </row>
    <row r="48128">
      <c r="S48128" s="27"/>
      <c r="T48128" s="27"/>
      <c r="U48128" s="27"/>
    </row>
    <row r="48129">
      <c r="S48129" s="27"/>
      <c r="T48129" s="27"/>
      <c r="U48129" s="27"/>
    </row>
    <row r="48131">
      <c r="S48131" s="27"/>
      <c r="T48131" s="27"/>
      <c r="U48131" s="27"/>
    </row>
    <row r="48132">
      <c r="S48132" s="27"/>
      <c r="T48132" s="27"/>
      <c r="U48132" s="27"/>
    </row>
    <row r="48134">
      <c r="S48134" s="27"/>
      <c r="T48134" s="27"/>
      <c r="U48134" s="27"/>
    </row>
    <row r="48135">
      <c r="S48135" s="27"/>
      <c r="T48135" s="27"/>
      <c r="U48135" s="27"/>
    </row>
    <row r="48137">
      <c r="S48137" s="27"/>
      <c r="T48137" s="27"/>
      <c r="U48137" s="27"/>
    </row>
    <row r="48138">
      <c r="S48138" s="27"/>
      <c r="T48138" s="27"/>
      <c r="U48138" s="27"/>
    </row>
    <row r="48140">
      <c r="S48140" s="27"/>
      <c r="T48140" s="27"/>
      <c r="U48140" s="27"/>
    </row>
    <row r="48141">
      <c r="S48141" s="27"/>
      <c r="T48141" s="27"/>
      <c r="U48141" s="27"/>
    </row>
    <row r="48143">
      <c r="S48143" s="27"/>
      <c r="T48143" s="27"/>
      <c r="U48143" s="27"/>
    </row>
    <row r="48144">
      <c r="S48144" s="27"/>
      <c r="T48144" s="27"/>
      <c r="U48144" s="27"/>
    </row>
    <row r="48146">
      <c r="S48146" s="27"/>
      <c r="T48146" s="27"/>
      <c r="U48146" s="27"/>
    </row>
    <row r="48147">
      <c r="S48147" s="27"/>
      <c r="T48147" s="27"/>
      <c r="U48147" s="27"/>
    </row>
    <row r="48149">
      <c r="S48149" s="27"/>
      <c r="T48149" s="27"/>
      <c r="U48149" s="27"/>
    </row>
    <row r="48150">
      <c r="S48150" s="27"/>
      <c r="T48150" s="27"/>
      <c r="U48150" s="27"/>
    </row>
    <row r="48152">
      <c r="S48152" s="27"/>
      <c r="T48152" s="27"/>
      <c r="U48152" s="27"/>
    </row>
    <row r="48153">
      <c r="S48153" s="27"/>
      <c r="T48153" s="27"/>
      <c r="U48153" s="27"/>
    </row>
    <row r="48155">
      <c r="S48155" s="27"/>
      <c r="T48155" s="27"/>
      <c r="U48155" s="27"/>
    </row>
    <row r="48156">
      <c r="S48156" s="27"/>
      <c r="T48156" s="27"/>
      <c r="U48156" s="27"/>
    </row>
    <row r="48158">
      <c r="S48158" s="27"/>
      <c r="T48158" s="27"/>
      <c r="U48158" s="27"/>
    </row>
    <row r="48159">
      <c r="S48159" s="27"/>
      <c r="T48159" s="27"/>
      <c r="U48159" s="27"/>
    </row>
    <row r="48161">
      <c r="S48161" s="27"/>
      <c r="T48161" s="27"/>
      <c r="U48161" s="27"/>
    </row>
    <row r="48162">
      <c r="S48162" s="27"/>
      <c r="T48162" s="27"/>
      <c r="U48162" s="27"/>
    </row>
    <row r="48164">
      <c r="S48164" s="27"/>
      <c r="T48164" s="27"/>
      <c r="U48164" s="27"/>
    </row>
    <row r="48165">
      <c r="S48165" s="27"/>
      <c r="T48165" s="27"/>
      <c r="U48165" s="27"/>
    </row>
    <row r="48167">
      <c r="S48167" s="27"/>
      <c r="T48167" s="27"/>
      <c r="U48167" s="27"/>
    </row>
    <row r="48168">
      <c r="S48168" s="27"/>
      <c r="T48168" s="27"/>
      <c r="U48168" s="27"/>
    </row>
    <row r="48170">
      <c r="S48170" s="27"/>
      <c r="T48170" s="27"/>
      <c r="U48170" s="27"/>
    </row>
    <row r="48171">
      <c r="S48171" s="27"/>
      <c r="T48171" s="27"/>
      <c r="U48171" s="27"/>
    </row>
    <row r="48173">
      <c r="S48173" s="27"/>
      <c r="T48173" s="27"/>
      <c r="U48173" s="27"/>
    </row>
    <row r="48174">
      <c r="S48174" s="27"/>
      <c r="T48174" s="27"/>
      <c r="U48174" s="27"/>
    </row>
    <row r="48176">
      <c r="S48176" s="27"/>
      <c r="T48176" s="27"/>
      <c r="U48176" s="27"/>
    </row>
    <row r="48179">
      <c r="S48179" s="27"/>
      <c r="T48179" s="27"/>
      <c r="U48179" s="27"/>
    </row>
    <row r="48181">
      <c r="S48181" s="27"/>
      <c r="T48181" s="27"/>
      <c r="U48181" s="27"/>
    </row>
    <row r="48182">
      <c r="S48182" s="27"/>
      <c r="T48182" s="27"/>
      <c r="U48182" s="27"/>
    </row>
    <row r="48184">
      <c r="S48184" s="27"/>
    </row>
    <row r="48185">
      <c r="S48185" s="27"/>
      <c r="T48185" s="27"/>
      <c r="U48185" s="27"/>
    </row>
    <row r="48187">
      <c r="S48187" s="27"/>
      <c r="T48187" s="27"/>
      <c r="U48187" s="27"/>
    </row>
    <row r="48188">
      <c r="S48188" s="27"/>
      <c r="T48188" s="27"/>
      <c r="U48188" s="27"/>
    </row>
    <row r="48190">
      <c r="S48190" s="27"/>
      <c r="T48190" s="27"/>
      <c r="U48190" s="27"/>
    </row>
    <row r="48191">
      <c r="S48191" s="27"/>
      <c r="T48191" s="27"/>
      <c r="U48191" s="27"/>
    </row>
    <row r="48193">
      <c r="S48193" s="27"/>
      <c r="T48193" s="27"/>
      <c r="U48193" s="27"/>
    </row>
    <row r="48194">
      <c r="S48194" s="27"/>
      <c r="T48194" s="27"/>
      <c r="U48194" s="27"/>
    </row>
    <row r="48196">
      <c r="S48196" s="27"/>
      <c r="T48196" s="27"/>
      <c r="U48196" s="27"/>
    </row>
    <row r="48197">
      <c r="S48197" s="27"/>
      <c r="T48197" s="27"/>
      <c r="U48197" s="27"/>
    </row>
    <row r="48199">
      <c r="S48199" s="27"/>
      <c r="T48199" s="27"/>
      <c r="U48199" s="27"/>
    </row>
    <row r="48201">
      <c r="S48201" s="27"/>
      <c r="T48201" s="27"/>
      <c r="U48201" s="27"/>
    </row>
    <row r="48203">
      <c r="T48203" s="27"/>
      <c r="U48203" s="27"/>
    </row>
    <row r="48205">
      <c r="S48205" s="27"/>
      <c r="T48205" s="27"/>
      <c r="U48205" s="27"/>
    </row>
    <row r="48207">
      <c r="S48207" s="27"/>
      <c r="T48207" s="27"/>
      <c r="U48207" s="27"/>
    </row>
    <row r="48208">
      <c r="S48208" s="27"/>
      <c r="T48208" s="27"/>
      <c r="U48208" s="27"/>
    </row>
    <row r="48210">
      <c r="S48210" s="27"/>
      <c r="T48210" s="27"/>
      <c r="U48210" s="27"/>
    </row>
    <row r="48211">
      <c r="S48211" s="27"/>
      <c r="T48211" s="27"/>
      <c r="U48211" s="27"/>
    </row>
    <row r="48213">
      <c r="S48213" s="27"/>
      <c r="T48213" s="27"/>
      <c r="U48213" s="27"/>
    </row>
    <row r="48214">
      <c r="U48214" s="33"/>
    </row>
    <row r="48216">
      <c r="S48216" s="27"/>
      <c r="T48216" s="27"/>
      <c r="U48216" s="27"/>
    </row>
    <row r="48217">
      <c r="S48217" s="27"/>
      <c r="T48217" s="27"/>
      <c r="U48217" s="27"/>
    </row>
    <row r="48219">
      <c r="S48219" s="27"/>
      <c r="T48219" s="27"/>
      <c r="U48219" s="27"/>
    </row>
    <row r="48220">
      <c r="S48220" s="27"/>
      <c r="T48220" s="27"/>
      <c r="U48220" s="27"/>
    </row>
    <row r="48222">
      <c r="S48222" s="27"/>
      <c r="T48222" s="27"/>
      <c r="U48222" s="27"/>
    </row>
    <row r="48223">
      <c r="S48223" s="27"/>
      <c r="T48223" s="27"/>
      <c r="U48223" s="27"/>
    </row>
    <row r="48225">
      <c r="S48225" s="27"/>
      <c r="T48225" s="27"/>
      <c r="U48225" s="27"/>
    </row>
    <row r="48226">
      <c r="S48226" s="27"/>
      <c r="T48226" s="27"/>
      <c r="U48226" s="27"/>
    </row>
    <row r="48228">
      <c r="S48228" s="27"/>
      <c r="U48228" s="27"/>
    </row>
    <row r="48231">
      <c r="S48231" s="26"/>
      <c r="T48231" s="26"/>
      <c r="U48231" s="26"/>
    </row>
    <row r="48234">
      <c r="S48234" s="27"/>
      <c r="T48234" s="27"/>
      <c r="U48234" s="27"/>
    </row>
    <row r="48235">
      <c r="S48235" s="27"/>
      <c r="T48235" s="27"/>
      <c r="U48235" s="27"/>
    </row>
    <row r="48237">
      <c r="S48237" s="27"/>
      <c r="T48237" s="27"/>
      <c r="U48237" s="27"/>
    </row>
    <row r="48238">
      <c r="S48238" s="27"/>
      <c r="T48238" s="27"/>
      <c r="U48238" s="27"/>
    </row>
    <row r="48240">
      <c r="S48240" s="27"/>
      <c r="T48240" s="27"/>
      <c r="U48240" s="27"/>
    </row>
    <row r="48241">
      <c r="S48241" s="27"/>
      <c r="T48241" s="27"/>
      <c r="U48241" s="27"/>
    </row>
    <row r="48243">
      <c r="S48243" s="26"/>
      <c r="T48243" s="26"/>
      <c r="U48243" s="26"/>
    </row>
    <row r="48246">
      <c r="S48246" s="27"/>
      <c r="T48246" s="27"/>
      <c r="U48246" s="27"/>
    </row>
    <row r="48247">
      <c r="S48247" s="27"/>
      <c r="T48247" s="27"/>
      <c r="U48247" s="27"/>
    </row>
    <row r="48249">
      <c r="S48249" s="27"/>
      <c r="T48249" s="27"/>
      <c r="U48249" s="27"/>
    </row>
    <row r="48250">
      <c r="S48250" s="27"/>
      <c r="T48250" s="27"/>
      <c r="U48250" s="27"/>
    </row>
    <row r="48252">
      <c r="S48252" s="26"/>
      <c r="T48252" s="27"/>
    </row>
    <row r="48253">
      <c r="T48253" s="27"/>
      <c r="U48253" s="27"/>
    </row>
    <row r="48255">
      <c r="S48255" s="27"/>
    </row>
    <row r="48258">
      <c r="S48258" s="26"/>
      <c r="T48258" s="26"/>
      <c r="U48258" s="26"/>
    </row>
    <row r="48259">
      <c r="S48259" s="26"/>
      <c r="T48259" s="26"/>
      <c r="U48259" s="26"/>
    </row>
    <row r="48261">
      <c r="S48261" s="27"/>
      <c r="T48261" s="27"/>
      <c r="U48261" s="27"/>
    </row>
    <row r="48262">
      <c r="S48262" s="27"/>
      <c r="T48262" s="27"/>
      <c r="U48262" s="27"/>
    </row>
    <row r="48264">
      <c r="S48264" s="27"/>
      <c r="T48264" s="27"/>
      <c r="U48264" s="27"/>
    </row>
    <row r="48265">
      <c r="S48265" s="27"/>
      <c r="T48265" s="27"/>
      <c r="U48265" s="27"/>
    </row>
    <row r="48267">
      <c r="S48267" s="26"/>
      <c r="T48267" s="26"/>
      <c r="U48267" s="26"/>
    </row>
    <row r="48273">
      <c r="S48273" s="27"/>
      <c r="T48273" s="27"/>
      <c r="U48273" s="27"/>
    </row>
    <row r="48276">
      <c r="S48276" s="27"/>
      <c r="T48276" s="27"/>
      <c r="U48276" s="27"/>
    </row>
    <row r="48277">
      <c r="S48277" s="27"/>
      <c r="T48277" s="27"/>
      <c r="U48277" s="27"/>
    </row>
    <row r="48279">
      <c r="S48279" s="27"/>
      <c r="T48279" s="27"/>
      <c r="U48279" s="27"/>
    </row>
    <row r="48280">
      <c r="S48280" s="27"/>
      <c r="T48280" s="27"/>
      <c r="U48280" s="27"/>
    </row>
    <row r="48282">
      <c r="S48282" s="27"/>
      <c r="T48282" s="27"/>
      <c r="U48282" s="27"/>
    </row>
    <row r="48283">
      <c r="S48283" s="27"/>
      <c r="T48283" s="27"/>
      <c r="U48283" s="27"/>
    </row>
    <row r="48285">
      <c r="S48285" s="27"/>
      <c r="T48285" s="27"/>
      <c r="U48285" s="27"/>
    </row>
    <row r="48286">
      <c r="S48286" s="27"/>
      <c r="T48286" s="27"/>
      <c r="U48286" s="27"/>
    </row>
    <row r="48288">
      <c r="S48288" s="27"/>
      <c r="T48288" s="27"/>
      <c r="U48288" s="27"/>
    </row>
    <row r="48289">
      <c r="S48289" s="27"/>
      <c r="T48289" s="27"/>
      <c r="U48289" s="27"/>
    </row>
    <row r="48291">
      <c r="S48291" s="27"/>
      <c r="T48291" s="27"/>
      <c r="U48291" s="27"/>
    </row>
    <row r="48292">
      <c r="S48292" s="27"/>
      <c r="T48292" s="27"/>
      <c r="U48292" s="27"/>
    </row>
    <row r="48294">
      <c r="S48294" s="27"/>
      <c r="T48294" s="27"/>
      <c r="U48294" s="27"/>
    </row>
    <row r="48295">
      <c r="S48295" s="27"/>
      <c r="T48295" s="27"/>
      <c r="U48295" s="27"/>
    </row>
    <row r="48297">
      <c r="S48297" s="27"/>
      <c r="T48297" s="27"/>
      <c r="U48297" s="27"/>
    </row>
    <row r="48298">
      <c r="S48298" s="27"/>
      <c r="T48298" s="27"/>
      <c r="U48298" s="27"/>
    </row>
    <row r="48300">
      <c r="S48300" s="27"/>
      <c r="T48300" s="27"/>
      <c r="U48300" s="27"/>
    </row>
    <row r="48301">
      <c r="S48301" s="27"/>
      <c r="T48301" s="27"/>
      <c r="U48301" s="27"/>
    </row>
    <row r="48303">
      <c r="S48303" s="27"/>
      <c r="T48303" s="27"/>
      <c r="U48303" s="27"/>
    </row>
    <row r="48304">
      <c r="S48304" s="27"/>
      <c r="T48304" s="27"/>
      <c r="U48304" s="27"/>
    </row>
    <row r="48306">
      <c r="S48306" s="27"/>
      <c r="T48306" s="27"/>
      <c r="U48306" s="27"/>
    </row>
    <row r="48307">
      <c r="S48307" s="27"/>
      <c r="T48307" s="27"/>
      <c r="U48307" s="27"/>
    </row>
    <row r="48309">
      <c r="S48309" s="27"/>
      <c r="T48309" s="27"/>
      <c r="U48309" s="27"/>
    </row>
    <row r="48310">
      <c r="S48310" s="27"/>
      <c r="T48310" s="27"/>
      <c r="U48310" s="27"/>
    </row>
    <row r="48312">
      <c r="S48312" s="27"/>
      <c r="T48312" s="27"/>
      <c r="U48312" s="27"/>
    </row>
    <row r="48313">
      <c r="S48313" s="27"/>
      <c r="T48313" s="27"/>
      <c r="U48313" s="27"/>
    </row>
    <row r="48315">
      <c r="S48315" s="27"/>
      <c r="T48315" s="27"/>
      <c r="U48315" s="27"/>
    </row>
    <row r="48316">
      <c r="S48316" s="27"/>
      <c r="T48316" s="27"/>
      <c r="U48316" s="27"/>
    </row>
    <row r="48318">
      <c r="S48318" s="27"/>
      <c r="T48318" s="27"/>
      <c r="U48318" s="27"/>
    </row>
    <row r="48319">
      <c r="S48319" s="27"/>
      <c r="T48319" s="27"/>
      <c r="U48319" s="27"/>
    </row>
    <row r="48321">
      <c r="S48321" s="27"/>
      <c r="T48321" s="27"/>
      <c r="U48321" s="27"/>
    </row>
    <row r="48322">
      <c r="S48322" s="27"/>
      <c r="T48322" s="27"/>
      <c r="U48322" s="27"/>
    </row>
    <row r="48324">
      <c r="S48324" s="27"/>
      <c r="T48324" s="27"/>
      <c r="U48324" s="27"/>
    </row>
    <row r="48325">
      <c r="S48325" s="27"/>
      <c r="T48325" s="27"/>
      <c r="U48325" s="27"/>
    </row>
    <row r="48327">
      <c r="S48327" s="27"/>
      <c r="T48327" s="27"/>
      <c r="U48327" s="27"/>
    </row>
    <row r="48328">
      <c r="S48328" s="27"/>
      <c r="T48328" s="27"/>
      <c r="U48328" s="27"/>
    </row>
    <row r="48330">
      <c r="S48330" s="27"/>
      <c r="T48330" s="27"/>
      <c r="U48330" s="27"/>
    </row>
    <row r="48331">
      <c r="S48331" s="27"/>
      <c r="T48331" s="27"/>
      <c r="U48331" s="27"/>
    </row>
    <row r="48333">
      <c r="S48333" s="27"/>
      <c r="T48333" s="27"/>
      <c r="U48333" s="27"/>
    </row>
    <row r="48334">
      <c r="S48334" s="27"/>
      <c r="T48334" s="27"/>
      <c r="U48334" s="27"/>
    </row>
    <row r="48336">
      <c r="S48336" s="27"/>
      <c r="T48336" s="27"/>
      <c r="U48336" s="27"/>
    </row>
    <row r="48337">
      <c r="S48337" s="27"/>
      <c r="T48337" s="27"/>
      <c r="U48337" s="27"/>
    </row>
    <row r="48339">
      <c r="S48339" s="27"/>
      <c r="T48339" s="27"/>
      <c r="U48339" s="27"/>
    </row>
    <row r="48340">
      <c r="S48340" s="27"/>
      <c r="T48340" s="27"/>
      <c r="U48340" s="27"/>
    </row>
    <row r="48342">
      <c r="S48342" s="27"/>
      <c r="T48342" s="27"/>
      <c r="U48342" s="27"/>
    </row>
    <row r="48343">
      <c r="S48343" s="27"/>
      <c r="T48343" s="27"/>
      <c r="U48343" s="27"/>
    </row>
    <row r="48345">
      <c r="S48345" s="27"/>
      <c r="T48345" s="27"/>
      <c r="U48345" s="27"/>
    </row>
    <row r="48346">
      <c r="S48346" s="27"/>
      <c r="T48346" s="27"/>
      <c r="U48346" s="27"/>
    </row>
    <row r="48348">
      <c r="S48348" s="27"/>
      <c r="T48348" s="27"/>
    </row>
    <row r="48349">
      <c r="S48349" s="27"/>
      <c r="T48349" s="27"/>
      <c r="U48349" s="27"/>
    </row>
    <row r="48351">
      <c r="S48351" s="27"/>
      <c r="T48351" s="27"/>
      <c r="U48351" s="27"/>
    </row>
    <row r="48352">
      <c r="S48352" s="27"/>
      <c r="T48352" s="27"/>
      <c r="U48352" s="27"/>
    </row>
    <row r="48354">
      <c r="S48354" s="27"/>
      <c r="T48354" s="27"/>
      <c r="U48354" s="27"/>
    </row>
    <row r="48355">
      <c r="S48355" s="34"/>
      <c r="T48355" s="26"/>
      <c r="U48355" s="26"/>
    </row>
    <row r="48357">
      <c r="S48357" s="33"/>
      <c r="T48357" s="33"/>
      <c r="U48357" s="33"/>
    </row>
    <row r="48358">
      <c r="S48358" s="27"/>
      <c r="T48358" s="27"/>
      <c r="U48358" s="27"/>
    </row>
    <row r="48361">
      <c r="S48361" s="27"/>
      <c r="T48361" s="27"/>
      <c r="U48361" s="27"/>
    </row>
    <row r="48363">
      <c r="S48363" s="27"/>
      <c r="T48363" s="27"/>
      <c r="U48363" s="27"/>
    </row>
    <row r="48366">
      <c r="S48366" s="27"/>
      <c r="T48366" s="27"/>
      <c r="U48366" s="27"/>
    </row>
    <row r="48367">
      <c r="S48367" s="27"/>
      <c r="T48367" s="27"/>
      <c r="U48367" s="27"/>
    </row>
    <row r="48369">
      <c r="S48369" s="27"/>
      <c r="T48369" s="27"/>
      <c r="U48369" s="27"/>
    </row>
    <row r="48370">
      <c r="S48370" s="27"/>
      <c r="T48370" s="27"/>
      <c r="U48370" s="27"/>
    </row>
    <row r="48372">
      <c r="S48372" s="27"/>
      <c r="T48372" s="27"/>
      <c r="U48372" s="27"/>
    </row>
    <row r="48373">
      <c r="S48373" s="27"/>
      <c r="T48373" s="27"/>
      <c r="U48373" s="27"/>
    </row>
    <row r="48375">
      <c r="T48375" s="26"/>
    </row>
    <row r="48381">
      <c r="S48381" s="27"/>
      <c r="T48381" s="27"/>
      <c r="U48381" s="27"/>
    </row>
    <row r="48383">
      <c r="S48383" s="27"/>
      <c r="T48383" s="27"/>
      <c r="U48383" s="27"/>
    </row>
    <row r="48385">
      <c r="S48385" s="26"/>
      <c r="T48385" s="26"/>
      <c r="U48385" s="26"/>
    </row>
    <row r="48388">
      <c r="S48388" s="27"/>
      <c r="T48388" s="27"/>
      <c r="U48388" s="27"/>
    </row>
    <row r="48391">
      <c r="S48391" s="27"/>
      <c r="T48391" s="27"/>
      <c r="U48391" s="27"/>
    </row>
    <row r="48392">
      <c r="S48392" s="27"/>
      <c r="T48392" s="27"/>
      <c r="U48392" s="27"/>
    </row>
    <row r="48394">
      <c r="S48394" s="27"/>
      <c r="T48394" s="27"/>
      <c r="U48394" s="27"/>
    </row>
    <row r="48395">
      <c r="S48395" s="27"/>
      <c r="T48395" s="27"/>
      <c r="U48395" s="27"/>
    </row>
    <row r="48397">
      <c r="S48397" s="27"/>
      <c r="T48397" s="27"/>
      <c r="U48397" s="27"/>
    </row>
    <row r="48398">
      <c r="U48398" s="27"/>
    </row>
    <row r="48400">
      <c r="S48400" s="27"/>
      <c r="T48400" s="27"/>
      <c r="U48400" s="27"/>
    </row>
    <row r="48403">
      <c r="S48403" s="27"/>
      <c r="T48403" s="27"/>
    </row>
    <row r="48404">
      <c r="S48404" s="27"/>
      <c r="T48404" s="27"/>
      <c r="U48404" s="27"/>
    </row>
    <row r="48406">
      <c r="S48406" s="26"/>
      <c r="T48406" s="26"/>
      <c r="U48406" s="26"/>
    </row>
    <row r="48407">
      <c r="S48407" s="26"/>
      <c r="T48407" s="26"/>
      <c r="U48407" s="26"/>
    </row>
    <row r="48409">
      <c r="S48409" s="27"/>
      <c r="T48409" s="27"/>
      <c r="U48409" s="27"/>
    </row>
    <row r="48410">
      <c r="S48410" s="27"/>
      <c r="T48410" s="27"/>
      <c r="U48410" s="27"/>
    </row>
    <row r="48412">
      <c r="S48412" s="27"/>
      <c r="T48412" s="27"/>
      <c r="U48412" s="27"/>
    </row>
    <row r="48413">
      <c r="S48413" s="27"/>
      <c r="T48413" s="27"/>
      <c r="U48413" s="27"/>
    </row>
    <row r="48415">
      <c r="S48415" s="27"/>
      <c r="T48415" s="27"/>
      <c r="U48415" s="27"/>
    </row>
    <row r="48416">
      <c r="S48416" s="27"/>
      <c r="T48416" s="27"/>
      <c r="U48416" s="27"/>
    </row>
    <row r="48418">
      <c r="S48418" s="27"/>
      <c r="T48418" s="27"/>
      <c r="U48418" s="33"/>
    </row>
    <row r="48421">
      <c r="S48421" s="27"/>
      <c r="T48421" s="27"/>
      <c r="U48421" s="27"/>
    </row>
    <row r="48422">
      <c r="S48422" s="27"/>
      <c r="T48422" s="27"/>
      <c r="U48422" s="27"/>
    </row>
    <row r="48424">
      <c r="S48424" s="27"/>
      <c r="T48424" s="27"/>
      <c r="U48424" s="27"/>
    </row>
    <row r="48427">
      <c r="S48427" s="27"/>
      <c r="T48427" s="27"/>
      <c r="U48427" s="33"/>
    </row>
    <row r="48428">
      <c r="S48428" s="27"/>
      <c r="T48428" s="27"/>
      <c r="U48428" s="27"/>
    </row>
    <row r="48430">
      <c r="S48430" s="27"/>
      <c r="T48430" s="27"/>
      <c r="U48430" s="27"/>
    </row>
    <row r="48431">
      <c r="S48431" s="26"/>
      <c r="T48431" s="26"/>
      <c r="U48431" s="26"/>
    </row>
    <row r="48433">
      <c r="S48433" s="27"/>
      <c r="T48433" s="27"/>
      <c r="U48433" s="27"/>
    </row>
    <row r="48434">
      <c r="S48434" s="27"/>
      <c r="T48434" s="27"/>
      <c r="U48434" s="27"/>
    </row>
    <row r="48436">
      <c r="S48436" s="27"/>
      <c r="T48436" s="27"/>
      <c r="U48436" s="27"/>
    </row>
    <row r="48437">
      <c r="S48437" s="27"/>
      <c r="T48437" s="27"/>
      <c r="U48437" s="27"/>
    </row>
    <row r="48439">
      <c r="S48439" s="27"/>
      <c r="T48439" s="27"/>
      <c r="U48439" s="27"/>
    </row>
    <row r="48440">
      <c r="S48440" s="27"/>
      <c r="T48440" s="27"/>
      <c r="U48440" s="27"/>
    </row>
    <row r="48442">
      <c r="S48442" s="27"/>
      <c r="T48442" s="27"/>
      <c r="U48442" s="27"/>
    </row>
    <row r="48443">
      <c r="S48443" s="27"/>
      <c r="T48443" s="27"/>
      <c r="U48443" s="27"/>
    </row>
    <row r="48445">
      <c r="U48445" s="26"/>
    </row>
    <row r="48448">
      <c r="S48448" s="27"/>
      <c r="T48448" s="27"/>
      <c r="U48448" s="27"/>
    </row>
    <row r="48449">
      <c r="S48449" s="27"/>
      <c r="T48449" s="27"/>
      <c r="U48449" s="27"/>
    </row>
    <row r="48451">
      <c r="S48451" s="27"/>
      <c r="T48451" s="27"/>
      <c r="U48451" s="27"/>
    </row>
    <row r="48452">
      <c r="S48452" s="27"/>
      <c r="T48452" s="27"/>
      <c r="U48452" s="27"/>
    </row>
    <row r="48454">
      <c r="S48454" s="27"/>
      <c r="T48454" s="27"/>
      <c r="U48454" s="27"/>
    </row>
    <row r="48457">
      <c r="S48457" s="27"/>
      <c r="T48457" s="27"/>
      <c r="U48457" s="26"/>
    </row>
    <row r="48458">
      <c r="S48458" s="27"/>
      <c r="T48458" s="27"/>
    </row>
    <row r="48460">
      <c r="S48460" s="27"/>
      <c r="T48460" s="27"/>
      <c r="U48460" s="27"/>
    </row>
    <row r="48461">
      <c r="S48461" s="27"/>
      <c r="T48461" s="27"/>
      <c r="U48461" s="27"/>
    </row>
    <row r="48463">
      <c r="S48463" s="27"/>
      <c r="T48463" s="27"/>
      <c r="U48463" s="27"/>
    </row>
    <row r="48464">
      <c r="S48464" s="27"/>
      <c r="T48464" s="27"/>
      <c r="U48464" s="27"/>
    </row>
    <row r="48466">
      <c r="S48466" s="27"/>
      <c r="T48466" s="27"/>
      <c r="U48466" s="27"/>
    </row>
    <row r="48469">
      <c r="S48469" s="27"/>
      <c r="T48469" s="27"/>
      <c r="U48469" s="27"/>
    </row>
    <row r="48470">
      <c r="S48470" s="27"/>
      <c r="T48470" s="27"/>
      <c r="U48470" s="27"/>
    </row>
    <row r="48472">
      <c r="S48472" s="26"/>
      <c r="T48472" s="26"/>
      <c r="U48472" s="26"/>
    </row>
    <row r="48475">
      <c r="S48475" s="27"/>
      <c r="T48475" s="27"/>
      <c r="U48475" s="27"/>
    </row>
    <row r="48478">
      <c r="S48478" s="27"/>
      <c r="T48478" s="27"/>
      <c r="U48478" s="27"/>
    </row>
    <row r="48479">
      <c r="S48479" s="27"/>
      <c r="T48479" s="27"/>
      <c r="U48479" s="27"/>
    </row>
    <row r="48481">
      <c r="S48481" s="27"/>
      <c r="T48481" s="27"/>
      <c r="U48481" s="27"/>
    </row>
    <row r="48482">
      <c r="S48482" s="27"/>
      <c r="T48482" s="27"/>
      <c r="U48482" s="27"/>
    </row>
    <row r="48484">
      <c r="S48484" s="27"/>
      <c r="T48484" s="27"/>
      <c r="U48484" s="27"/>
    </row>
    <row r="48485">
      <c r="S48485" s="27"/>
      <c r="T48485" s="27"/>
      <c r="U48485" s="27"/>
    </row>
    <row r="48487">
      <c r="S48487" s="27"/>
    </row>
    <row r="48488">
      <c r="T48488" s="26"/>
      <c r="U48488" s="26"/>
    </row>
    <row r="48490">
      <c r="S48490" s="27"/>
      <c r="T48490" s="27"/>
      <c r="U48490" s="27"/>
    </row>
    <row r="48491">
      <c r="S48491" s="27"/>
      <c r="T48491" s="27"/>
      <c r="U48491" s="27"/>
    </row>
    <row r="48493">
      <c r="S48493" s="27"/>
      <c r="T48493" s="27"/>
      <c r="U48493" s="27"/>
    </row>
    <row r="48494">
      <c r="S48494" s="27"/>
      <c r="T48494" s="27"/>
      <c r="U48494" s="27"/>
    </row>
    <row r="48496">
      <c r="S48496" s="27"/>
      <c r="T48496" s="27"/>
      <c r="U48496" s="27"/>
    </row>
    <row r="48497">
      <c r="S48497" s="27"/>
      <c r="T48497" s="27"/>
      <c r="U48497" s="27"/>
    </row>
    <row r="48499">
      <c r="S48499" s="27"/>
      <c r="T48499" s="27"/>
      <c r="U48499" s="27"/>
    </row>
    <row r="48500">
      <c r="S48500" s="27"/>
      <c r="T48500" s="27"/>
      <c r="U48500" s="27"/>
    </row>
    <row r="48502">
      <c r="S48502" s="27"/>
      <c r="T48502" s="27"/>
      <c r="U48502" s="27"/>
    </row>
    <row r="48503">
      <c r="S48503" s="27"/>
      <c r="T48503" s="27"/>
      <c r="U48503" s="27"/>
    </row>
    <row r="48505">
      <c r="S48505" s="27"/>
      <c r="T48505" s="27"/>
      <c r="U48505" s="27"/>
    </row>
    <row r="48506">
      <c r="S48506" s="27"/>
      <c r="T48506" s="27"/>
      <c r="U48506" s="27"/>
    </row>
    <row r="48508">
      <c r="S48508" s="27"/>
      <c r="T48508" s="27"/>
      <c r="U48508" s="27"/>
    </row>
    <row r="48509">
      <c r="S48509" s="27"/>
      <c r="T48509" s="27"/>
      <c r="U48509" s="27"/>
    </row>
    <row r="48511">
      <c r="S48511" s="27"/>
      <c r="T48511" s="27"/>
      <c r="U48511" s="27"/>
    </row>
    <row r="48512">
      <c r="S48512" s="27"/>
      <c r="T48512" s="27"/>
      <c r="U48512" s="27"/>
    </row>
    <row r="48514">
      <c r="S48514" s="27"/>
      <c r="T48514" s="27"/>
      <c r="U48514" s="27"/>
    </row>
    <row r="48515">
      <c r="S48515" s="27"/>
      <c r="T48515" s="27"/>
      <c r="U48515" s="27"/>
    </row>
    <row r="48517">
      <c r="S48517" s="27"/>
      <c r="T48517" s="27"/>
      <c r="U48517" s="27"/>
    </row>
    <row r="48518">
      <c r="S48518" s="27"/>
      <c r="T48518" s="27"/>
      <c r="U48518" s="27"/>
    </row>
    <row r="48520">
      <c r="S48520" s="27"/>
      <c r="T48520" s="27"/>
      <c r="U48520" s="27"/>
    </row>
    <row r="48521">
      <c r="S48521" s="27"/>
      <c r="T48521" s="27"/>
      <c r="U48521" s="27"/>
    </row>
    <row r="48523">
      <c r="S48523" s="27"/>
      <c r="T48523" s="27"/>
      <c r="U48523" s="27"/>
    </row>
    <row r="48524">
      <c r="S48524" s="27"/>
      <c r="T48524" s="27"/>
      <c r="U48524" s="27"/>
    </row>
    <row r="48526">
      <c r="S48526" s="27"/>
      <c r="T48526" s="27"/>
      <c r="U48526" s="27"/>
    </row>
    <row r="48527">
      <c r="S48527" s="27"/>
      <c r="T48527" s="27"/>
      <c r="U48527" s="27"/>
    </row>
    <row r="48529">
      <c r="S48529" s="27"/>
      <c r="T48529" s="27"/>
      <c r="U48529" s="27"/>
    </row>
    <row r="48530">
      <c r="S48530" s="27"/>
      <c r="T48530" s="27"/>
      <c r="U48530" s="27"/>
    </row>
    <row r="48532">
      <c r="S48532" s="27"/>
      <c r="T48532" s="27"/>
      <c r="U48532" s="27"/>
    </row>
    <row r="48533">
      <c r="S48533" s="27"/>
      <c r="T48533" s="27"/>
      <c r="U48533" s="27"/>
    </row>
    <row r="48535">
      <c r="S48535" s="27"/>
      <c r="T48535" s="27"/>
      <c r="U48535" s="27"/>
    </row>
    <row r="48536">
      <c r="S48536" s="27"/>
      <c r="T48536" s="27"/>
      <c r="U48536" s="27"/>
    </row>
    <row r="48538">
      <c r="S48538" s="27"/>
      <c r="T48538" s="27"/>
      <c r="U48538" s="27"/>
    </row>
    <row r="48539">
      <c r="S48539" s="27"/>
      <c r="T48539" s="27"/>
      <c r="U48539" s="27"/>
    </row>
    <row r="48541">
      <c r="S48541" s="27"/>
      <c r="T48541" s="27"/>
      <c r="U48541" s="27"/>
    </row>
    <row r="48542">
      <c r="S48542" s="27"/>
      <c r="T48542" s="27"/>
      <c r="U48542" s="27"/>
    </row>
    <row r="48544">
      <c r="S48544" s="27"/>
      <c r="T48544" s="27"/>
      <c r="U48544" s="27"/>
    </row>
    <row r="48545">
      <c r="S48545" s="27"/>
      <c r="T48545" s="27"/>
      <c r="U48545" s="27"/>
    </row>
    <row r="48547">
      <c r="S48547" s="27"/>
      <c r="T48547" s="27"/>
      <c r="U48547" s="27"/>
    </row>
    <row r="48548">
      <c r="S48548" s="27"/>
      <c r="T48548" s="27"/>
      <c r="U48548" s="27"/>
    </row>
    <row r="48550">
      <c r="S48550" s="27"/>
      <c r="T48550" s="27"/>
      <c r="U48550" s="27"/>
    </row>
    <row r="48551">
      <c r="S48551" s="27"/>
      <c r="T48551" s="27"/>
      <c r="U48551" s="27"/>
    </row>
    <row r="48553">
      <c r="S48553" s="27"/>
      <c r="T48553" s="27"/>
      <c r="U48553" s="27"/>
    </row>
    <row r="48554">
      <c r="S48554" s="27"/>
      <c r="T48554" s="27"/>
      <c r="U48554" s="27"/>
    </row>
    <row r="48556">
      <c r="S48556" s="27"/>
      <c r="T48556" s="27"/>
      <c r="U48556" s="27"/>
    </row>
    <row r="48557">
      <c r="S48557" s="27"/>
      <c r="T48557" s="27"/>
      <c r="U48557" s="27"/>
    </row>
    <row r="48559">
      <c r="S48559" s="27"/>
      <c r="T48559" s="27"/>
      <c r="U48559" s="27"/>
    </row>
    <row r="48560">
      <c r="S48560" s="27"/>
      <c r="T48560" s="27"/>
      <c r="U48560" s="27"/>
    </row>
    <row r="48562">
      <c r="S48562" s="27"/>
      <c r="T48562" s="27"/>
      <c r="U48562" s="27"/>
    </row>
    <row r="48563">
      <c r="S48563" s="27"/>
      <c r="T48563" s="27"/>
      <c r="U48563" s="27"/>
    </row>
    <row r="48565">
      <c r="S48565" s="27"/>
      <c r="T48565" s="27"/>
      <c r="U48565" s="27"/>
    </row>
    <row r="48566">
      <c r="S48566" s="27"/>
      <c r="T48566" s="27"/>
      <c r="U48566" s="27"/>
    </row>
    <row r="48568">
      <c r="S48568" s="27"/>
      <c r="T48568" s="27"/>
      <c r="U48568" s="27"/>
    </row>
    <row r="48569">
      <c r="S48569" s="27"/>
      <c r="T48569" s="27"/>
      <c r="U48569" s="27"/>
    </row>
    <row r="48571">
      <c r="S48571" s="27"/>
      <c r="T48571" s="27"/>
      <c r="U48571" s="27"/>
    </row>
    <row r="48572">
      <c r="S48572" s="27"/>
      <c r="T48572" s="27"/>
      <c r="U48572" s="27"/>
    </row>
    <row r="48574">
      <c r="S48574" s="27"/>
      <c r="T48574" s="27"/>
      <c r="U48574" s="27"/>
    </row>
    <row r="48575">
      <c r="S48575" s="27"/>
      <c r="T48575" s="27"/>
      <c r="U48575" s="27"/>
    </row>
    <row r="48577">
      <c r="S48577" s="27"/>
      <c r="T48577" s="27"/>
      <c r="U48577" s="27"/>
    </row>
    <row r="48578">
      <c r="S48578" s="27"/>
      <c r="T48578" s="27"/>
      <c r="U48578" s="27"/>
    </row>
    <row r="48580">
      <c r="S48580" s="27"/>
      <c r="T48580" s="27"/>
      <c r="U48580" s="27"/>
    </row>
    <row r="48581">
      <c r="S48581" s="27"/>
      <c r="T48581" s="27"/>
      <c r="U48581" s="27"/>
    </row>
    <row r="48583">
      <c r="S48583" s="27"/>
      <c r="T48583" s="27"/>
      <c r="U48583" s="27"/>
    </row>
    <row r="48584">
      <c r="S48584" s="27"/>
      <c r="T48584" s="27"/>
      <c r="U48584" s="27"/>
    </row>
    <row r="48586">
      <c r="S48586" s="27"/>
      <c r="T48586" s="27"/>
      <c r="U48586" s="27"/>
    </row>
    <row r="48588">
      <c r="S48588" s="27"/>
      <c r="T48588" s="27"/>
      <c r="U48588" s="27"/>
    </row>
    <row r="48589">
      <c r="S48589" s="27"/>
      <c r="T48589" s="27"/>
      <c r="U48589" s="27"/>
    </row>
    <row r="48591">
      <c r="S48591" s="27"/>
      <c r="T48591" s="27"/>
      <c r="U48591" s="27"/>
    </row>
    <row r="48592">
      <c r="S48592" s="27"/>
      <c r="T48592" s="27"/>
      <c r="U48592" s="27"/>
    </row>
    <row r="48594">
      <c r="S48594" s="27"/>
      <c r="T48594" s="27"/>
      <c r="U48594" s="27"/>
    </row>
    <row r="48595">
      <c r="S48595" s="27"/>
      <c r="T48595" s="27"/>
      <c r="U48595" s="27"/>
    </row>
    <row r="48597">
      <c r="S48597" s="27"/>
      <c r="T48597" s="27"/>
      <c r="U48597" s="27"/>
    </row>
    <row r="48598">
      <c r="S48598" s="27"/>
      <c r="T48598" s="27"/>
      <c r="U48598" s="27"/>
    </row>
    <row r="48600">
      <c r="S48600" s="27"/>
      <c r="T48600" s="27"/>
      <c r="U48600" s="27"/>
    </row>
    <row r="48601">
      <c r="S48601" s="27"/>
      <c r="T48601" s="27"/>
      <c r="U48601" s="27"/>
    </row>
    <row r="48603">
      <c r="S48603" s="27"/>
      <c r="T48603" s="27"/>
      <c r="U48603" s="27"/>
    </row>
    <row r="48604">
      <c r="S48604" s="27"/>
      <c r="T48604" s="27"/>
      <c r="U48604" s="27"/>
    </row>
    <row r="48606">
      <c r="S48606" s="27"/>
      <c r="T48606" s="27"/>
      <c r="U48606" s="27"/>
    </row>
    <row r="48607">
      <c r="S48607" s="27"/>
      <c r="T48607" s="27"/>
      <c r="U48607" s="27"/>
    </row>
    <row r="48609">
      <c r="S48609" s="27"/>
      <c r="T48609" s="27"/>
      <c r="U48609" s="27"/>
    </row>
    <row r="48611">
      <c r="S48611" s="27"/>
      <c r="T48611" s="27"/>
      <c r="U48611" s="27"/>
    </row>
    <row r="48613">
      <c r="T48613" s="27"/>
      <c r="U48613" s="27"/>
    </row>
    <row r="48615">
      <c r="S48615" s="27"/>
      <c r="T48615" s="27"/>
      <c r="U48615" s="27"/>
    </row>
    <row r="48617">
      <c r="S48617" s="27"/>
      <c r="T48617" s="27"/>
      <c r="U48617" s="27"/>
    </row>
    <row r="48618">
      <c r="S48618" s="27"/>
      <c r="T48618" s="27"/>
      <c r="U48618" s="27"/>
    </row>
    <row r="48620">
      <c r="S48620" s="27"/>
      <c r="T48620" s="27"/>
      <c r="U48620" s="27"/>
    </row>
    <row r="48621">
      <c r="S48621" s="27"/>
      <c r="T48621" s="27"/>
      <c r="U48621" s="27"/>
    </row>
    <row r="48623">
      <c r="S48623" s="27"/>
      <c r="T48623" s="27"/>
      <c r="U48623" s="27"/>
    </row>
    <row r="48624">
      <c r="S48624" s="27"/>
      <c r="T48624" s="27"/>
      <c r="U48624" s="27"/>
    </row>
    <row r="48626">
      <c r="S48626" s="27"/>
      <c r="T48626" s="27"/>
      <c r="U48626" s="27"/>
    </row>
    <row r="48627">
      <c r="S48627" s="27"/>
      <c r="T48627" s="27"/>
      <c r="U48627" s="27"/>
    </row>
    <row r="48629">
      <c r="S48629" s="27"/>
      <c r="T48629" s="27"/>
      <c r="U48629" s="27"/>
    </row>
    <row r="48630">
      <c r="S48630" s="27"/>
      <c r="T48630" s="27"/>
      <c r="U48630" s="27"/>
    </row>
    <row r="48632">
      <c r="S48632" s="27"/>
      <c r="T48632" s="27"/>
      <c r="U48632" s="27"/>
    </row>
    <row r="48633">
      <c r="S48633" s="27"/>
      <c r="T48633" s="27"/>
      <c r="U48633" s="27"/>
    </row>
    <row r="48635">
      <c r="S48635" s="27"/>
      <c r="T48635" s="27"/>
      <c r="U48635" s="27"/>
    </row>
    <row r="48636">
      <c r="S48636" s="27"/>
      <c r="T48636" s="27"/>
      <c r="U48636" s="27"/>
    </row>
    <row r="48638">
      <c r="U48638" s="27"/>
    </row>
    <row r="48641">
      <c r="S48641" s="26"/>
      <c r="T48641" s="26"/>
      <c r="U48641" s="26"/>
    </row>
    <row r="48644">
      <c r="S48644" s="27"/>
      <c r="T48644" s="27"/>
      <c r="U48644" s="27"/>
    </row>
    <row r="48645">
      <c r="S48645" s="27"/>
      <c r="T48645" s="27"/>
      <c r="U48645" s="27"/>
    </row>
    <row r="48647">
      <c r="S48647" s="27"/>
      <c r="T48647" s="27"/>
      <c r="U48647" s="27"/>
    </row>
    <row r="48648">
      <c r="S48648" s="27"/>
      <c r="T48648" s="27"/>
      <c r="U48648" s="27"/>
    </row>
    <row r="48650">
      <c r="S48650" s="27"/>
      <c r="T48650" s="27"/>
      <c r="U48650" s="27"/>
    </row>
    <row r="48651">
      <c r="S48651" s="27"/>
      <c r="T48651" s="27"/>
      <c r="U48651" s="27"/>
    </row>
    <row r="48653">
      <c r="S48653" s="26"/>
      <c r="T48653" s="26"/>
      <c r="U48653" s="27"/>
    </row>
    <row r="48657">
      <c r="S48657" s="27"/>
      <c r="T48657" s="27"/>
      <c r="U48657" s="27"/>
    </row>
    <row r="48658">
      <c r="S48658" s="27"/>
      <c r="T48658" s="27"/>
      <c r="U48658" s="27"/>
    </row>
    <row r="48660">
      <c r="S48660" s="27"/>
      <c r="T48660" s="27"/>
    </row>
    <row r="48661">
      <c r="T48661" s="27"/>
      <c r="U48661" s="27"/>
    </row>
    <row r="48669">
      <c r="S48669" s="27"/>
      <c r="T48669" s="27"/>
      <c r="U48669" s="27"/>
    </row>
    <row r="48670">
      <c r="S48670" s="27"/>
      <c r="T48670" s="27"/>
      <c r="U48670" s="27"/>
    </row>
    <row r="48672">
      <c r="S48672" s="27"/>
      <c r="T48672" s="27"/>
      <c r="U48672" s="27"/>
    </row>
    <row r="48673">
      <c r="S48673" s="27"/>
      <c r="T48673" s="27"/>
      <c r="U48673" s="27"/>
    </row>
    <row r="48675">
      <c r="S48675" s="26"/>
      <c r="T48675" s="26"/>
      <c r="U48675" s="26"/>
    </row>
    <row r="48678">
      <c r="S48678" s="26"/>
    </row>
    <row r="48681">
      <c r="S48681" s="27"/>
      <c r="T48681" s="27"/>
      <c r="U48681" s="27"/>
    </row>
    <row r="48684">
      <c r="S48684" s="27"/>
      <c r="T48684" s="27"/>
      <c r="U48684" s="27"/>
    </row>
    <row r="48685">
      <c r="S48685" s="27"/>
      <c r="T48685" s="27"/>
      <c r="U48685" s="27"/>
    </row>
    <row r="48687">
      <c r="S48687" s="27"/>
      <c r="T48687" s="27"/>
      <c r="U48687" s="27"/>
    </row>
    <row r="48688">
      <c r="S48688" s="27"/>
      <c r="T48688" s="27"/>
      <c r="U48688" s="27"/>
    </row>
    <row r="48690">
      <c r="S48690" s="27"/>
      <c r="T48690" s="27"/>
      <c r="U48690" s="27"/>
    </row>
    <row r="48691">
      <c r="S48691" s="27"/>
      <c r="T48691" s="27"/>
      <c r="U48691" s="27"/>
    </row>
    <row r="48693">
      <c r="S48693" s="27"/>
      <c r="T48693" s="27"/>
      <c r="U48693" s="27"/>
    </row>
    <row r="48694">
      <c r="S48694" s="27"/>
      <c r="T48694" s="27"/>
      <c r="U48694" s="27"/>
    </row>
    <row r="48696">
      <c r="S48696" s="27"/>
      <c r="T48696" s="27"/>
      <c r="U48696" s="27"/>
    </row>
    <row r="48697">
      <c r="S48697" s="27"/>
      <c r="T48697" s="27"/>
      <c r="U48697" s="27"/>
    </row>
    <row r="48699">
      <c r="S48699" s="27"/>
      <c r="T48699" s="27"/>
      <c r="U48699" s="27"/>
    </row>
    <row r="48700">
      <c r="S48700" s="27"/>
      <c r="T48700" s="27"/>
      <c r="U48700" s="27"/>
    </row>
    <row r="48702">
      <c r="S48702" s="27"/>
      <c r="T48702" s="27"/>
      <c r="U48702" s="27"/>
    </row>
    <row r="48703">
      <c r="S48703" s="27"/>
      <c r="T48703" s="27"/>
      <c r="U48703" s="27"/>
    </row>
    <row r="48705">
      <c r="S48705" s="27"/>
      <c r="T48705" s="27"/>
      <c r="U48705" s="27"/>
    </row>
    <row r="48706">
      <c r="S48706" s="27"/>
      <c r="T48706" s="27"/>
      <c r="U48706" s="27"/>
    </row>
    <row r="48708">
      <c r="S48708" s="27"/>
      <c r="T48708" s="27"/>
      <c r="U48708" s="27"/>
    </row>
    <row r="48709">
      <c r="S48709" s="27"/>
      <c r="T48709" s="27"/>
      <c r="U48709" s="27"/>
    </row>
    <row r="48711">
      <c r="S48711" s="27"/>
      <c r="T48711" s="27"/>
      <c r="U48711" s="27"/>
    </row>
    <row r="48712">
      <c r="S48712" s="27"/>
      <c r="T48712" s="27"/>
      <c r="U48712" s="27"/>
    </row>
    <row r="48714">
      <c r="S48714" s="27"/>
      <c r="T48714" s="27"/>
      <c r="U48714" s="27"/>
    </row>
    <row r="48715">
      <c r="S48715" s="27"/>
      <c r="T48715" s="27"/>
      <c r="U48715" s="27"/>
    </row>
    <row r="48717">
      <c r="S48717" s="27"/>
      <c r="T48717" s="27"/>
      <c r="U48717" s="27"/>
    </row>
    <row r="48718">
      <c r="S48718" s="27"/>
      <c r="T48718" s="27"/>
      <c r="U48718" s="27"/>
    </row>
    <row r="48720">
      <c r="S48720" s="27"/>
      <c r="T48720" s="27"/>
      <c r="U48720" s="27"/>
    </row>
    <row r="48721">
      <c r="S48721" s="27"/>
      <c r="T48721" s="27"/>
      <c r="U48721" s="27"/>
    </row>
    <row r="48723">
      <c r="S48723" s="27"/>
      <c r="T48723" s="27"/>
      <c r="U48723" s="27"/>
    </row>
    <row r="48724">
      <c r="S48724" s="27"/>
      <c r="T48724" s="27"/>
      <c r="U48724" s="27"/>
    </row>
    <row r="48726">
      <c r="S48726" s="27"/>
      <c r="T48726" s="27"/>
      <c r="U48726" s="27"/>
    </row>
    <row r="48727">
      <c r="S48727" s="27"/>
      <c r="T48727" s="27"/>
      <c r="U48727" s="27"/>
    </row>
    <row r="48729">
      <c r="S48729" s="27"/>
      <c r="T48729" s="27"/>
      <c r="U48729" s="27"/>
    </row>
    <row r="48730">
      <c r="S48730" s="27"/>
      <c r="T48730" s="27"/>
      <c r="U48730" s="27"/>
    </row>
    <row r="48732">
      <c r="S48732" s="27"/>
      <c r="T48732" s="27"/>
      <c r="U48732" s="27"/>
    </row>
    <row r="48733">
      <c r="S48733" s="27"/>
      <c r="T48733" s="27"/>
      <c r="U48733" s="27"/>
    </row>
    <row r="48735">
      <c r="S48735" s="27"/>
      <c r="T48735" s="27"/>
      <c r="U48735" s="27"/>
    </row>
    <row r="48736">
      <c r="S48736" s="27"/>
      <c r="T48736" s="27"/>
      <c r="U48736" s="27"/>
    </row>
    <row r="48738">
      <c r="S48738" s="27"/>
      <c r="T48738" s="27"/>
      <c r="U48738" s="27"/>
    </row>
    <row r="48739">
      <c r="S48739" s="27"/>
      <c r="T48739" s="27"/>
      <c r="U48739" s="27"/>
    </row>
    <row r="48741">
      <c r="S48741" s="27"/>
      <c r="T48741" s="27"/>
      <c r="U48741" s="27"/>
    </row>
    <row r="48742">
      <c r="S48742" s="27"/>
      <c r="T48742" s="27"/>
      <c r="U48742" s="27"/>
    </row>
    <row r="48744">
      <c r="S48744" s="27"/>
      <c r="T48744" s="27"/>
      <c r="U48744" s="27"/>
    </row>
    <row r="48745">
      <c r="S48745" s="27"/>
      <c r="T48745" s="27"/>
      <c r="U48745" s="27"/>
    </row>
    <row r="48747">
      <c r="S48747" s="27"/>
      <c r="T48747" s="27"/>
      <c r="U48747" s="27"/>
    </row>
    <row r="48748">
      <c r="S48748" s="27"/>
      <c r="T48748" s="27"/>
      <c r="U48748" s="27"/>
    </row>
    <row r="48750">
      <c r="S48750" s="27"/>
      <c r="T48750" s="27"/>
      <c r="U48750" s="27"/>
    </row>
    <row r="48751">
      <c r="S48751" s="27"/>
      <c r="T48751" s="27"/>
      <c r="U48751" s="27"/>
    </row>
    <row r="48753">
      <c r="S48753" s="27"/>
      <c r="T48753" s="27"/>
      <c r="U48753" s="27"/>
    </row>
    <row r="48754">
      <c r="S48754" s="27"/>
      <c r="T48754" s="27"/>
      <c r="U48754" s="27"/>
    </row>
    <row r="48759">
      <c r="S48759" s="27"/>
      <c r="T48759" s="27"/>
      <c r="U48759" s="27"/>
    </row>
    <row r="48760">
      <c r="S48760" s="27"/>
      <c r="T48760" s="27"/>
      <c r="U48760" s="27"/>
    </row>
    <row r="48762">
      <c r="S48762" s="27"/>
      <c r="T48762" s="27"/>
      <c r="U48762" s="27"/>
    </row>
    <row r="48765">
      <c r="S48765" s="33"/>
      <c r="T48765" s="33"/>
    </row>
    <row r="48766">
      <c r="S48766" s="27"/>
      <c r="T48766" s="27"/>
    </row>
    <row r="48768">
      <c r="S48768" s="27"/>
      <c r="T48768" s="27"/>
      <c r="U48768" s="27"/>
    </row>
    <row r="48769">
      <c r="S48769" s="27"/>
      <c r="T48769" s="27"/>
      <c r="U48769" s="27"/>
    </row>
    <row r="48771">
      <c r="S48771" s="27"/>
      <c r="T48771" s="27"/>
      <c r="U48771" s="27"/>
    </row>
    <row r="48774">
      <c r="S48774" s="27"/>
      <c r="T48774" s="27"/>
      <c r="U48774" s="27"/>
    </row>
    <row r="48775">
      <c r="S48775" s="27"/>
      <c r="T48775" s="27"/>
      <c r="U48775" s="27"/>
    </row>
    <row r="48777">
      <c r="S48777" s="27"/>
      <c r="T48777" s="27"/>
      <c r="U48777" s="27"/>
    </row>
    <row r="48778">
      <c r="S48778" s="27"/>
      <c r="T48778" s="27"/>
      <c r="U48778" s="27"/>
    </row>
    <row r="48780">
      <c r="S48780" s="27"/>
      <c r="T48780" s="27"/>
      <c r="U48780" s="27"/>
    </row>
    <row r="48781">
      <c r="S48781" s="27"/>
      <c r="T48781" s="27"/>
      <c r="U48781" s="27"/>
    </row>
    <row r="48783">
      <c r="S48783" s="26"/>
      <c r="T48783" s="26"/>
      <c r="U48783" s="26"/>
    </row>
    <row r="48786">
      <c r="S48786" s="26"/>
      <c r="T48786" s="26"/>
    </row>
    <row r="48789">
      <c r="U48789" s="27"/>
    </row>
    <row r="48791">
      <c r="S48791" s="27"/>
      <c r="T48791" s="27"/>
      <c r="U48791" s="27"/>
    </row>
    <row r="48793">
      <c r="S48793" s="27"/>
      <c r="T48793" s="27"/>
      <c r="U48793" s="27"/>
    </row>
    <row r="48796">
      <c r="S48796" s="27"/>
      <c r="T48796" s="27"/>
      <c r="U48796" s="27"/>
    </row>
    <row r="48799">
      <c r="S48799" s="27"/>
      <c r="T48799" s="27"/>
      <c r="U48799" s="27"/>
    </row>
    <row r="48800">
      <c r="S48800" s="27"/>
      <c r="T48800" s="27"/>
      <c r="U48800" s="27"/>
    </row>
    <row r="48802">
      <c r="S48802" s="27"/>
      <c r="T48802" s="27"/>
      <c r="U48802" s="27"/>
    </row>
    <row r="48803">
      <c r="S48803" s="27"/>
      <c r="T48803" s="27"/>
      <c r="U48803" s="27"/>
    </row>
    <row r="48805">
      <c r="S48805" s="27"/>
      <c r="T48805" s="27"/>
      <c r="U48805" s="27"/>
    </row>
    <row r="48806">
      <c r="U48806" s="27"/>
    </row>
    <row r="48808">
      <c r="S48808" s="27"/>
      <c r="T48808" s="27"/>
      <c r="U48808" s="27"/>
    </row>
    <row r="48809">
      <c r="S48809" s="27"/>
      <c r="T48809" s="26"/>
      <c r="U48809" s="26"/>
    </row>
    <row r="48811">
      <c r="S48811" s="27"/>
      <c r="T48811" s="27"/>
      <c r="U48811" s="27"/>
    </row>
    <row r="48812">
      <c r="S48812" s="27"/>
      <c r="T48812" s="27"/>
      <c r="U48812" s="27"/>
    </row>
    <row r="48817">
      <c r="S48817" s="27"/>
      <c r="T48817" s="27"/>
      <c r="U48817" s="27"/>
    </row>
    <row r="48818">
      <c r="S48818" s="27"/>
      <c r="T48818" s="27"/>
      <c r="U48818" s="27"/>
    </row>
    <row r="48820">
      <c r="S48820" s="27"/>
      <c r="T48820" s="27"/>
      <c r="U48820" s="27"/>
    </row>
    <row r="48821">
      <c r="S48821" s="27"/>
      <c r="T48821" s="26"/>
      <c r="U48821" s="27"/>
    </row>
    <row r="48823">
      <c r="S48823" s="27"/>
      <c r="T48823" s="27"/>
      <c r="U48823" s="27"/>
    </row>
    <row r="48824">
      <c r="S48824" s="27"/>
      <c r="T48824" s="27"/>
      <c r="U48824" s="27"/>
    </row>
    <row r="48829">
      <c r="S48829" s="27"/>
      <c r="T48829" s="27"/>
      <c r="U48829" s="27"/>
    </row>
    <row r="48832">
      <c r="S48832" s="27"/>
      <c r="T48832" s="27"/>
      <c r="U48832" s="33"/>
    </row>
    <row r="48833">
      <c r="S48833" s="27"/>
      <c r="T48833" s="27"/>
      <c r="U48833" s="27"/>
    </row>
    <row r="48835">
      <c r="T48835" s="27"/>
      <c r="U48835" s="27"/>
    </row>
    <row r="48836">
      <c r="S48836" s="26"/>
      <c r="T48836" s="26"/>
      <c r="U48836" s="26"/>
    </row>
    <row r="48838">
      <c r="S48838" s="27"/>
      <c r="T48838" s="27"/>
      <c r="U48838" s="27"/>
    </row>
    <row r="48839">
      <c r="S48839" s="27"/>
      <c r="T48839" s="27"/>
      <c r="U48839" s="27"/>
    </row>
    <row r="48841">
      <c r="S48841" s="27"/>
      <c r="T48841" s="27"/>
      <c r="U48841" s="27"/>
    </row>
    <row r="48842">
      <c r="S48842" s="27"/>
      <c r="T48842" s="27"/>
      <c r="U48842" s="27"/>
    </row>
    <row r="48844">
      <c r="S48844" s="27"/>
      <c r="T48844" s="27"/>
      <c r="U48844" s="27"/>
    </row>
    <row r="48845">
      <c r="S48845" s="27"/>
      <c r="T48845" s="27"/>
      <c r="U48845" s="27"/>
    </row>
    <row r="48847">
      <c r="S48847" s="27"/>
      <c r="T48847" s="27"/>
      <c r="U48847" s="27"/>
    </row>
    <row r="48848">
      <c r="S48848" s="27"/>
      <c r="T48848" s="27"/>
      <c r="U48848" s="27"/>
    </row>
    <row r="48853">
      <c r="S48853" s="27"/>
      <c r="T48853" s="27"/>
      <c r="U48853" s="27"/>
    </row>
    <row r="48854">
      <c r="S48854" s="27"/>
      <c r="T48854" s="27"/>
      <c r="U48854" s="27"/>
    </row>
    <row r="48856">
      <c r="S48856" s="27"/>
      <c r="T48856" s="27"/>
      <c r="U48856" s="27"/>
    </row>
    <row r="48857">
      <c r="S48857" s="27"/>
      <c r="T48857" s="27"/>
      <c r="U48857" s="27"/>
    </row>
    <row r="48859">
      <c r="S48859" s="27"/>
      <c r="T48859" s="27"/>
      <c r="U48859" s="27"/>
    </row>
    <row r="48860">
      <c r="T48860" s="26"/>
    </row>
    <row r="48862">
      <c r="S48862" s="26"/>
      <c r="T48862" s="26"/>
      <c r="U48862" s="27"/>
    </row>
    <row r="48863">
      <c r="U48863" s="27"/>
    </row>
    <row r="48865">
      <c r="S48865" s="27"/>
      <c r="T48865" s="27"/>
      <c r="U48865" s="27"/>
    </row>
    <row r="48866">
      <c r="S48866" s="27"/>
      <c r="T48866" s="27"/>
      <c r="U48866" s="27"/>
    </row>
    <row r="48868">
      <c r="S48868" s="27"/>
      <c r="T48868" s="27"/>
      <c r="U48868" s="27"/>
    </row>
    <row r="48869">
      <c r="S48869" s="27"/>
      <c r="T48869" s="27"/>
      <c r="U48869" s="27"/>
    </row>
    <row r="48871">
      <c r="S48871" s="27"/>
      <c r="T48871" s="27"/>
      <c r="U48871" s="27"/>
    </row>
    <row r="48872">
      <c r="S48872" s="26"/>
      <c r="T48872" s="26"/>
      <c r="U48872" s="26"/>
    </row>
    <row r="48874">
      <c r="S48874" s="27"/>
      <c r="T48874" s="27"/>
      <c r="U48874" s="27"/>
    </row>
    <row r="48875">
      <c r="S48875" s="27"/>
      <c r="T48875" s="27"/>
      <c r="U48875" s="27"/>
    </row>
    <row r="48877">
      <c r="S48877" s="26"/>
      <c r="T48877" s="26"/>
      <c r="U48877" s="26"/>
    </row>
    <row r="48880">
      <c r="S48880" s="27"/>
      <c r="T48880" s="27"/>
      <c r="U48880" s="27"/>
    </row>
    <row r="48883">
      <c r="S48883" s="27"/>
      <c r="T48883" s="27"/>
      <c r="U48883" s="27"/>
    </row>
    <row r="48884">
      <c r="S48884" s="27"/>
      <c r="T48884" s="27"/>
      <c r="U48884" s="27"/>
    </row>
    <row r="48886">
      <c r="S48886" s="33"/>
      <c r="T48886" s="27"/>
      <c r="U48886" s="27"/>
    </row>
    <row r="48887">
      <c r="S48887" s="27"/>
      <c r="T48887" s="27"/>
      <c r="U48887" s="27"/>
    </row>
    <row r="48889">
      <c r="S48889" s="27"/>
      <c r="T48889" s="27"/>
      <c r="U48889" s="27"/>
    </row>
    <row r="48890">
      <c r="S48890" s="27"/>
      <c r="T48890" s="27"/>
      <c r="U48890" s="27"/>
    </row>
    <row r="48892">
      <c r="T48892" s="26"/>
    </row>
    <row r="48893">
      <c r="S48893" s="26"/>
      <c r="T48893" s="26"/>
      <c r="U48893" s="26"/>
    </row>
    <row r="48895">
      <c r="S48895" s="27"/>
      <c r="T48895" s="27"/>
      <c r="U48895" s="27"/>
    </row>
    <row r="48896">
      <c r="S48896" s="27"/>
      <c r="T48896" s="27"/>
      <c r="U48896" s="27"/>
    </row>
    <row r="48898">
      <c r="S48898" s="27"/>
      <c r="T48898" s="27"/>
      <c r="U48898" s="27"/>
    </row>
    <row r="48899">
      <c r="S48899" s="27"/>
      <c r="T48899" s="27"/>
      <c r="U48899" s="27"/>
    </row>
    <row r="48901">
      <c r="S48901" s="27"/>
      <c r="T48901" s="27"/>
      <c r="U48901" s="27"/>
    </row>
    <row r="48902">
      <c r="S48902" s="27"/>
      <c r="T48902" s="27"/>
      <c r="U48902" s="27"/>
    </row>
    <row r="48904">
      <c r="S48904" s="27"/>
      <c r="T48904" s="27"/>
      <c r="U48904" s="27"/>
    </row>
    <row r="48905">
      <c r="S48905" s="27"/>
      <c r="T48905" s="27"/>
      <c r="U48905" s="27"/>
    </row>
    <row r="48907">
      <c r="S48907" s="27"/>
      <c r="T48907" s="27"/>
      <c r="U48907" s="27"/>
    </row>
    <row r="48908">
      <c r="S48908" s="27"/>
      <c r="T48908" s="27"/>
      <c r="U48908" s="27"/>
    </row>
    <row r="48910">
      <c r="S48910" s="27"/>
      <c r="T48910" s="27"/>
      <c r="U48910" s="27"/>
    </row>
    <row r="48911">
      <c r="S48911" s="27"/>
      <c r="T48911" s="27"/>
      <c r="U48911" s="27"/>
    </row>
    <row r="48913">
      <c r="S48913" s="27"/>
      <c r="T48913" s="27"/>
      <c r="U48913" s="27"/>
    </row>
    <row r="48914">
      <c r="S48914" s="27"/>
      <c r="T48914" s="27"/>
      <c r="U48914" s="27"/>
    </row>
    <row r="48916">
      <c r="S48916" s="27"/>
      <c r="T48916" s="27"/>
      <c r="U48916" s="27"/>
    </row>
    <row r="48917">
      <c r="S48917" s="27"/>
      <c r="T48917" s="27"/>
      <c r="U48917" s="27"/>
    </row>
    <row r="48919">
      <c r="S48919" s="27"/>
      <c r="T48919" s="27"/>
      <c r="U48919" s="27"/>
    </row>
    <row r="48920">
      <c r="S48920" s="27"/>
      <c r="T48920" s="27"/>
      <c r="U48920" s="27"/>
    </row>
    <row r="48922">
      <c r="S48922" s="27"/>
      <c r="T48922" s="27"/>
      <c r="U48922" s="27"/>
    </row>
    <row r="48923">
      <c r="S48923" s="27"/>
      <c r="T48923" s="27"/>
      <c r="U48923" s="27"/>
    </row>
    <row r="48925">
      <c r="S48925" s="27"/>
      <c r="T48925" s="27"/>
      <c r="U48925" s="27"/>
    </row>
    <row r="48926">
      <c r="S48926" s="27"/>
      <c r="T48926" s="27"/>
      <c r="U48926" s="27"/>
    </row>
    <row r="48928">
      <c r="S48928" s="27"/>
      <c r="T48928" s="27"/>
      <c r="U48928" s="27"/>
    </row>
    <row r="48929">
      <c r="S48929" s="27"/>
      <c r="T48929" s="27"/>
      <c r="U48929" s="27"/>
    </row>
    <row r="48931">
      <c r="S48931" s="27"/>
      <c r="T48931" s="27"/>
      <c r="U48931" s="27"/>
    </row>
    <row r="48932">
      <c r="S48932" s="27"/>
      <c r="T48932" s="27"/>
      <c r="U48932" s="27"/>
    </row>
    <row r="48934">
      <c r="S48934" s="27"/>
      <c r="T48934" s="27"/>
      <c r="U48934" s="27"/>
    </row>
    <row r="48935">
      <c r="S48935" s="27"/>
      <c r="T48935" s="27"/>
      <c r="U48935" s="27"/>
    </row>
    <row r="48937">
      <c r="S48937" s="27"/>
      <c r="T48937" s="27"/>
      <c r="U48937" s="27"/>
    </row>
    <row r="48938">
      <c r="S48938" s="27"/>
      <c r="T48938" s="27"/>
      <c r="U48938" s="27"/>
    </row>
    <row r="48940">
      <c r="S48940" s="27"/>
      <c r="T48940" s="27"/>
      <c r="U48940" s="27"/>
    </row>
    <row r="48941">
      <c r="S48941" s="27"/>
      <c r="T48941" s="27"/>
      <c r="U48941" s="27"/>
    </row>
    <row r="48943">
      <c r="S48943" s="27"/>
      <c r="T48943" s="27"/>
      <c r="U48943" s="27"/>
    </row>
    <row r="48944">
      <c r="S48944" s="27"/>
      <c r="T48944" s="27"/>
      <c r="U48944" s="27"/>
    </row>
    <row r="48946">
      <c r="S48946" s="27"/>
      <c r="T48946" s="27"/>
      <c r="U48946" s="27"/>
    </row>
    <row r="48947">
      <c r="S48947" s="27"/>
      <c r="T48947" s="27"/>
      <c r="U48947" s="27"/>
    </row>
    <row r="48949">
      <c r="S48949" s="27"/>
      <c r="T48949" s="27"/>
      <c r="U48949" s="27"/>
    </row>
    <row r="48950">
      <c r="S48950" s="27"/>
      <c r="T48950" s="27"/>
      <c r="U48950" s="27"/>
    </row>
    <row r="48952">
      <c r="S48952" s="27"/>
      <c r="T48952" s="27"/>
      <c r="U48952" s="27"/>
    </row>
    <row r="48953">
      <c r="S48953" s="27"/>
      <c r="T48953" s="27"/>
      <c r="U48953" s="27"/>
    </row>
    <row r="48955">
      <c r="S48955" s="27"/>
      <c r="T48955" s="27"/>
      <c r="U48955" s="27"/>
    </row>
    <row r="48956">
      <c r="S48956" s="27"/>
      <c r="T48956" s="27"/>
      <c r="U48956" s="27"/>
    </row>
    <row r="48958">
      <c r="S48958" s="27"/>
      <c r="T48958" s="27"/>
      <c r="U48958" s="27"/>
    </row>
    <row r="48959">
      <c r="S48959" s="27"/>
      <c r="T48959" s="27"/>
      <c r="U48959" s="27"/>
    </row>
    <row r="48961">
      <c r="S48961" s="27"/>
      <c r="T48961" s="27"/>
      <c r="U48961" s="27"/>
    </row>
    <row r="48962">
      <c r="S48962" s="27"/>
      <c r="T48962" s="27"/>
      <c r="U48962" s="27"/>
    </row>
    <row r="48964">
      <c r="S48964" s="27"/>
      <c r="T48964" s="27"/>
      <c r="U48964" s="27"/>
    </row>
    <row r="48965">
      <c r="S48965" s="27"/>
      <c r="T48965" s="27"/>
      <c r="U48965" s="27"/>
    </row>
    <row r="48967">
      <c r="S48967" s="27"/>
      <c r="T48967" s="27"/>
      <c r="U48967" s="27"/>
    </row>
    <row r="48968">
      <c r="S48968" s="27"/>
      <c r="T48968" s="27"/>
      <c r="U48968" s="27"/>
    </row>
    <row r="48970">
      <c r="S48970" s="27"/>
      <c r="T48970" s="27"/>
      <c r="U48970" s="27"/>
    </row>
    <row r="48971">
      <c r="S48971" s="27"/>
      <c r="T48971" s="27"/>
      <c r="U48971" s="27"/>
    </row>
    <row r="48973">
      <c r="S48973" s="27"/>
      <c r="T48973" s="27"/>
      <c r="U48973" s="27"/>
    </row>
    <row r="48974">
      <c r="S48974" s="27"/>
      <c r="T48974" s="27"/>
      <c r="U48974" s="27"/>
    </row>
    <row r="48976">
      <c r="S48976" s="27"/>
      <c r="T48976" s="27"/>
      <c r="U48976" s="27"/>
    </row>
    <row r="48977">
      <c r="S48977" s="27"/>
      <c r="T48977" s="27"/>
      <c r="U48977" s="27"/>
    </row>
    <row r="48979">
      <c r="S48979" s="27"/>
      <c r="T48979" s="27"/>
      <c r="U48979" s="27"/>
    </row>
    <row r="48980">
      <c r="S48980" s="27"/>
      <c r="T48980" s="27"/>
      <c r="U48980" s="27"/>
    </row>
    <row r="48982">
      <c r="S48982" s="27"/>
      <c r="T48982" s="27"/>
      <c r="U48982" s="27"/>
    </row>
    <row r="48983">
      <c r="S48983" s="27"/>
      <c r="T48983" s="27"/>
      <c r="U48983" s="27"/>
    </row>
    <row r="48985">
      <c r="S48985" s="27"/>
      <c r="T48985" s="27"/>
      <c r="U48985" s="27"/>
    </row>
    <row r="48986">
      <c r="S48986" s="27"/>
      <c r="T48986" s="27"/>
      <c r="U48986" s="27"/>
    </row>
    <row r="48988">
      <c r="S48988" s="27"/>
      <c r="T48988" s="27"/>
      <c r="U48988" s="27"/>
    </row>
    <row r="48990">
      <c r="S48990" s="27"/>
      <c r="T48990" s="27"/>
      <c r="U48990" s="27"/>
    </row>
    <row r="48991">
      <c r="S48991" s="27"/>
      <c r="T48991" s="27"/>
      <c r="U48991" s="27"/>
    </row>
    <row r="48993">
      <c r="S48993" s="27"/>
      <c r="T48993" s="27"/>
      <c r="U48993" s="27"/>
    </row>
    <row r="48994">
      <c r="S48994" s="27"/>
      <c r="T48994" s="27"/>
      <c r="U48994" s="27"/>
    </row>
    <row r="48996">
      <c r="S48996" s="27"/>
      <c r="T48996" s="27"/>
      <c r="U48996" s="27"/>
    </row>
    <row r="48997">
      <c r="S48997" s="27"/>
      <c r="T48997" s="27"/>
      <c r="U48997" s="27"/>
    </row>
    <row r="48999">
      <c r="S48999" s="27"/>
      <c r="T48999" s="27"/>
      <c r="U48999" s="27"/>
    </row>
    <row r="49000">
      <c r="S49000" s="27"/>
      <c r="T49000" s="27"/>
      <c r="U49000" s="27"/>
    </row>
    <row r="49002">
      <c r="S49002" s="27"/>
      <c r="T49002" s="27"/>
      <c r="U49002" s="27"/>
    </row>
    <row r="49003">
      <c r="S49003" s="27"/>
      <c r="T49003" s="27"/>
      <c r="U49003" s="27"/>
    </row>
    <row r="49005">
      <c r="S49005" s="27"/>
      <c r="T49005" s="27"/>
      <c r="U49005" s="27"/>
    </row>
    <row r="49006">
      <c r="S49006" s="27"/>
      <c r="T49006" s="27"/>
      <c r="U49006" s="27"/>
    </row>
    <row r="49008">
      <c r="S49008" s="27"/>
      <c r="T49008" s="27"/>
      <c r="U49008" s="27"/>
    </row>
    <row r="49009">
      <c r="S49009" s="27"/>
      <c r="T49009" s="27"/>
      <c r="U49009" s="27"/>
    </row>
    <row r="49011">
      <c r="S49011" s="27"/>
      <c r="T49011" s="27"/>
      <c r="U49011" s="27"/>
    </row>
    <row r="49013">
      <c r="S49013" s="27"/>
      <c r="T49013" s="27"/>
      <c r="U49013" s="27"/>
    </row>
    <row r="49015">
      <c r="S49015" s="27"/>
      <c r="T49015" s="27"/>
      <c r="U49015" s="27"/>
    </row>
    <row r="49017">
      <c r="S49017" s="27"/>
      <c r="T49017" s="27"/>
      <c r="U49017" s="27"/>
    </row>
    <row r="49019">
      <c r="S49019" s="27"/>
      <c r="T49019" s="27"/>
      <c r="U49019" s="27"/>
    </row>
    <row r="49020">
      <c r="S49020" s="27"/>
      <c r="T49020" s="27"/>
      <c r="U49020" s="27"/>
    </row>
    <row r="49022">
      <c r="S49022" s="27"/>
      <c r="T49022" s="27"/>
      <c r="U49022" s="27"/>
    </row>
    <row r="49023">
      <c r="S49023" s="27"/>
      <c r="T49023" s="27"/>
      <c r="U49023" s="27"/>
    </row>
    <row r="49025">
      <c r="S49025" s="27"/>
      <c r="T49025" s="27"/>
      <c r="U49025" s="27"/>
    </row>
    <row r="49026">
      <c r="S49026" s="27"/>
      <c r="T49026" s="27"/>
      <c r="U49026" s="27"/>
    </row>
    <row r="49028">
      <c r="S49028" s="27"/>
      <c r="T49028" s="27"/>
      <c r="U49028" s="27"/>
    </row>
    <row r="49029">
      <c r="S49029" s="27"/>
      <c r="T49029" s="27"/>
      <c r="U49029" s="27"/>
    </row>
    <row r="49031">
      <c r="S49031" s="27"/>
      <c r="T49031" s="27"/>
      <c r="U49031" s="27"/>
    </row>
    <row r="49032">
      <c r="S49032" s="27"/>
      <c r="T49032" s="27"/>
      <c r="U49032" s="27"/>
    </row>
    <row r="49035">
      <c r="S49035" s="27"/>
      <c r="T49035" s="27"/>
      <c r="U49035" s="27"/>
    </row>
    <row r="49036">
      <c r="S49036" s="27"/>
      <c r="T49036" s="27"/>
      <c r="U49036" s="27"/>
    </row>
    <row r="49038">
      <c r="S49038" s="26"/>
      <c r="T49038" s="27"/>
      <c r="U49038" s="27"/>
    </row>
    <row r="49044">
      <c r="S49044" s="27"/>
      <c r="T49044" s="27"/>
      <c r="U49044" s="27"/>
    </row>
    <row r="49045">
      <c r="S49045" s="27"/>
      <c r="T49045" s="27"/>
      <c r="U49045" s="27"/>
    </row>
    <row r="49047">
      <c r="S49047" s="27"/>
      <c r="T49047" s="27"/>
      <c r="U49047" s="27"/>
    </row>
    <row r="49048">
      <c r="S49048" s="27"/>
      <c r="T49048" s="27"/>
      <c r="U49048" s="27"/>
    </row>
    <row r="49050">
      <c r="S49050" s="27"/>
      <c r="T49050" s="27"/>
      <c r="U49050" s="27"/>
    </row>
    <row r="49051">
      <c r="S49051" s="27"/>
      <c r="T49051" s="27"/>
      <c r="U49051" s="27"/>
    </row>
    <row r="49053">
      <c r="S49053" s="27"/>
      <c r="T49053" s="27"/>
    </row>
    <row r="49056">
      <c r="S49056" s="27"/>
      <c r="T49056" s="27"/>
      <c r="U49056" s="27"/>
    </row>
    <row r="49057">
      <c r="S49057" s="27"/>
      <c r="T49057" s="27"/>
      <c r="U49057" s="27"/>
    </row>
    <row r="49059">
      <c r="S49059" s="27"/>
      <c r="T49059" s="27"/>
      <c r="U49059" s="27"/>
    </row>
    <row r="49060">
      <c r="S49060" s="27"/>
      <c r="T49060" s="27"/>
      <c r="U49060" s="27"/>
    </row>
    <row r="49062">
      <c r="S49062" s="27"/>
      <c r="T49062" s="26"/>
      <c r="U49062" s="27"/>
    </row>
    <row r="49063">
      <c r="S49063" s="27"/>
      <c r="U49063" s="27"/>
    </row>
    <row r="49068">
      <c r="S49068" s="26"/>
      <c r="T49068" s="26"/>
      <c r="U49068" s="26"/>
    </row>
    <row r="49071">
      <c r="S49071" s="27"/>
      <c r="T49071" s="27"/>
      <c r="U49071" s="27"/>
    </row>
    <row r="49072">
      <c r="S49072" s="27"/>
      <c r="T49072" s="27"/>
      <c r="U49072" s="27"/>
    </row>
    <row r="49074">
      <c r="S49074" s="27"/>
      <c r="T49074" s="27"/>
      <c r="U49074" s="27"/>
    </row>
    <row r="49075">
      <c r="S49075" s="27"/>
      <c r="T49075" s="27"/>
      <c r="U49075" s="27"/>
    </row>
    <row r="49077">
      <c r="S49077" s="26"/>
      <c r="T49077" s="26"/>
      <c r="U49077" s="26"/>
    </row>
    <row r="49083">
      <c r="S49083" s="27"/>
      <c r="T49083" s="27"/>
      <c r="U49083" s="27"/>
    </row>
    <row r="49086">
      <c r="S49086" s="27"/>
      <c r="T49086" s="27"/>
      <c r="U49086" s="27"/>
    </row>
    <row r="49087">
      <c r="S49087" s="27"/>
      <c r="T49087" s="27"/>
      <c r="U49087" s="27"/>
    </row>
    <row r="49089">
      <c r="S49089" s="27"/>
      <c r="T49089" s="27"/>
      <c r="U49089" s="27"/>
    </row>
    <row r="49090">
      <c r="S49090" s="27"/>
      <c r="T49090" s="27"/>
      <c r="U49090" s="27"/>
    </row>
    <row r="49092">
      <c r="S49092" s="27"/>
      <c r="T49092" s="27"/>
      <c r="U49092" s="27"/>
    </row>
    <row r="49093">
      <c r="S49093" s="27"/>
      <c r="T49093" s="27"/>
      <c r="U49093" s="27"/>
    </row>
    <row r="49095">
      <c r="S49095" s="27"/>
      <c r="T49095" s="27"/>
      <c r="U49095" s="27"/>
    </row>
    <row r="49096">
      <c r="S49096" s="27"/>
      <c r="T49096" s="27"/>
      <c r="U49096" s="27"/>
    </row>
    <row r="49098">
      <c r="S49098" s="27"/>
      <c r="T49098" s="27"/>
      <c r="U49098" s="27"/>
    </row>
    <row r="49099">
      <c r="S49099" s="27"/>
      <c r="T49099" s="27"/>
      <c r="U49099" s="27"/>
    </row>
    <row r="49101">
      <c r="S49101" s="27"/>
      <c r="T49101" s="27"/>
      <c r="U49101" s="27"/>
    </row>
    <row r="49102">
      <c r="S49102" s="27"/>
      <c r="T49102" s="27"/>
      <c r="U49102" s="27"/>
    </row>
    <row r="49104">
      <c r="S49104" s="27"/>
      <c r="T49104" s="27"/>
      <c r="U49104" s="27"/>
    </row>
    <row r="49105">
      <c r="S49105" s="27"/>
      <c r="T49105" s="27"/>
      <c r="U49105" s="27"/>
    </row>
    <row r="49107">
      <c r="S49107" s="27"/>
      <c r="T49107" s="27"/>
      <c r="U49107" s="27"/>
    </row>
    <row r="49108">
      <c r="S49108" s="27"/>
      <c r="T49108" s="27"/>
      <c r="U49108" s="27"/>
    </row>
    <row r="49110">
      <c r="S49110" s="27"/>
      <c r="T49110" s="27"/>
      <c r="U49110" s="27"/>
    </row>
    <row r="49111">
      <c r="S49111" s="27"/>
      <c r="T49111" s="27"/>
      <c r="U49111" s="27"/>
    </row>
    <row r="49113">
      <c r="S49113" s="27"/>
      <c r="T49113" s="27"/>
      <c r="U49113" s="27"/>
    </row>
    <row r="49114">
      <c r="S49114" s="27"/>
      <c r="T49114" s="27"/>
      <c r="U49114" s="27"/>
    </row>
    <row r="49116">
      <c r="S49116" s="27"/>
      <c r="T49116" s="27"/>
      <c r="U49116" s="27"/>
    </row>
    <row r="49117">
      <c r="S49117" s="27"/>
      <c r="T49117" s="27"/>
      <c r="U49117" s="27"/>
    </row>
    <row r="49119">
      <c r="S49119" s="27"/>
      <c r="T49119" s="27"/>
      <c r="U49119" s="27"/>
    </row>
    <row r="49120">
      <c r="S49120" s="27"/>
      <c r="T49120" s="27"/>
      <c r="U49120" s="27"/>
    </row>
    <row r="49122">
      <c r="S49122" s="27"/>
      <c r="T49122" s="27"/>
      <c r="U49122" s="27"/>
    </row>
    <row r="49123">
      <c r="S49123" s="27"/>
      <c r="T49123" s="27"/>
      <c r="U49123" s="27"/>
    </row>
    <row r="49125">
      <c r="S49125" s="33"/>
      <c r="T49125" s="33"/>
      <c r="U49125" s="27"/>
    </row>
    <row r="49126">
      <c r="S49126" s="33"/>
      <c r="T49126" s="33"/>
      <c r="U49126" s="27"/>
    </row>
    <row r="49128">
      <c r="S49128" s="27"/>
      <c r="T49128" s="27"/>
      <c r="U49128" s="27"/>
    </row>
    <row r="49129">
      <c r="S49129" s="27"/>
      <c r="T49129" s="27"/>
      <c r="U49129" s="27"/>
    </row>
    <row r="49131">
      <c r="S49131" s="27"/>
      <c r="T49131" s="27"/>
      <c r="U49131" s="27"/>
    </row>
    <row r="49132">
      <c r="S49132" s="27"/>
      <c r="T49132" s="27"/>
      <c r="U49132" s="27"/>
    </row>
    <row r="49134">
      <c r="S49134" s="27"/>
      <c r="T49134" s="27"/>
      <c r="U49134" s="27"/>
    </row>
    <row r="49135">
      <c r="S49135" s="27"/>
      <c r="T49135" s="27"/>
      <c r="U49135" s="27"/>
    </row>
    <row r="49137">
      <c r="S49137" s="27"/>
      <c r="T49137" s="27"/>
      <c r="U49137" s="27"/>
    </row>
    <row r="49138">
      <c r="S49138" s="27"/>
      <c r="T49138" s="27"/>
      <c r="U49138" s="27"/>
    </row>
    <row r="49140">
      <c r="S49140" s="27"/>
      <c r="T49140" s="27"/>
      <c r="U49140" s="27"/>
    </row>
    <row r="49141">
      <c r="S49141" s="27"/>
      <c r="T49141" s="27"/>
      <c r="U49141" s="27"/>
    </row>
    <row r="49143">
      <c r="S49143" s="27"/>
      <c r="T49143" s="27"/>
      <c r="U49143" s="27"/>
    </row>
    <row r="49144">
      <c r="S49144" s="27"/>
      <c r="T49144" s="27"/>
      <c r="U49144" s="27"/>
    </row>
    <row r="49146">
      <c r="S49146" s="27"/>
      <c r="T49146" s="27"/>
      <c r="U49146" s="27"/>
    </row>
    <row r="49147">
      <c r="S49147" s="27"/>
      <c r="T49147" s="27"/>
      <c r="U49147" s="27"/>
    </row>
    <row r="49149">
      <c r="S49149" s="27"/>
      <c r="T49149" s="27"/>
      <c r="U49149" s="27"/>
    </row>
    <row r="49150">
      <c r="S49150" s="27"/>
      <c r="T49150" s="27"/>
      <c r="U49150" s="27"/>
    </row>
    <row r="49152">
      <c r="S49152" s="27"/>
      <c r="T49152" s="27"/>
      <c r="U49152" s="27"/>
    </row>
    <row r="49153">
      <c r="S49153" s="27"/>
      <c r="T49153" s="27"/>
      <c r="U49153" s="27"/>
    </row>
    <row r="49155">
      <c r="S49155" s="27"/>
      <c r="T49155" s="27"/>
      <c r="U49155" s="27"/>
    </row>
    <row r="49156">
      <c r="S49156" s="27"/>
      <c r="T49156" s="27"/>
      <c r="U49156" s="27"/>
    </row>
    <row r="49161">
      <c r="S49161" s="27"/>
      <c r="T49161" s="27"/>
      <c r="U49161" s="27"/>
    </row>
    <row r="49162">
      <c r="S49162" s="27"/>
      <c r="T49162" s="27"/>
      <c r="U49162" s="27"/>
    </row>
    <row r="49164">
      <c r="S49164" s="27"/>
      <c r="T49164" s="27"/>
      <c r="U49164" s="27"/>
    </row>
    <row r="49167">
      <c r="S49167" s="33"/>
      <c r="T49167" s="33"/>
    </row>
    <row r="49168">
      <c r="S49168" s="27"/>
      <c r="T49168" s="27"/>
    </row>
    <row r="49170">
      <c r="S49170" s="27"/>
      <c r="T49170" s="27"/>
      <c r="U49170" s="27"/>
    </row>
    <row r="49171">
      <c r="S49171" s="27"/>
      <c r="T49171" s="27"/>
      <c r="U49171" s="27"/>
    </row>
    <row r="49173">
      <c r="S49173" s="27"/>
      <c r="T49173" s="27"/>
      <c r="U49173" s="27"/>
    </row>
    <row r="49177">
      <c r="S49177" s="27"/>
      <c r="T49177" s="27"/>
      <c r="U49177" s="27"/>
    </row>
    <row r="49178">
      <c r="S49178" s="27"/>
      <c r="T49178" s="27"/>
      <c r="U49178" s="27"/>
    </row>
    <row r="49180">
      <c r="S49180" s="27"/>
      <c r="T49180" s="27"/>
      <c r="U49180" s="27"/>
    </row>
    <row r="49181">
      <c r="S49181" s="27"/>
      <c r="T49181" s="27"/>
      <c r="U49181" s="27"/>
    </row>
    <row r="49186">
      <c r="S49186" s="26"/>
      <c r="T49186" s="26"/>
      <c r="U49186" s="26"/>
    </row>
    <row r="49191">
      <c r="T49191" s="27"/>
      <c r="U49191" s="27"/>
    </row>
    <row r="49193">
      <c r="S49193" s="26"/>
      <c r="T49193" s="26"/>
      <c r="U49193" s="26"/>
    </row>
    <row r="49196">
      <c r="S49196" s="27"/>
      <c r="T49196" s="27"/>
      <c r="U49196" s="27"/>
    </row>
    <row r="49199">
      <c r="S49199" s="27"/>
      <c r="T49199" s="27"/>
      <c r="U49199" s="27"/>
    </row>
    <row r="49200">
      <c r="S49200" s="27"/>
      <c r="T49200" s="27"/>
      <c r="U49200" s="27"/>
    </row>
    <row r="49202">
      <c r="S49202" s="27"/>
      <c r="T49202" s="27"/>
      <c r="U49202" s="27"/>
    </row>
    <row r="49203">
      <c r="S49203" s="27"/>
      <c r="T49203" s="27"/>
      <c r="U49203" s="27"/>
    </row>
    <row r="49205">
      <c r="S49205" s="33"/>
      <c r="T49205" s="27"/>
      <c r="U49205" s="27"/>
    </row>
    <row r="49206">
      <c r="S49206" s="27"/>
      <c r="T49206" s="27"/>
      <c r="U49206" s="27"/>
    </row>
    <row r="49208">
      <c r="S49208" s="27"/>
      <c r="T49208" s="27"/>
      <c r="U49208" s="27"/>
    </row>
    <row r="49211">
      <c r="S49211" s="27"/>
      <c r="T49211" s="27"/>
      <c r="U49211" s="27"/>
    </row>
    <row r="49212">
      <c r="S49212" s="27"/>
      <c r="T49212" s="27"/>
      <c r="U49212" s="27"/>
    </row>
    <row r="49217">
      <c r="S49217" s="27"/>
      <c r="T49217" s="27"/>
      <c r="U49217" s="27"/>
    </row>
    <row r="49218">
      <c r="S49218" s="27"/>
      <c r="T49218" s="27"/>
      <c r="U49218" s="27"/>
    </row>
    <row r="49220">
      <c r="S49220" s="27"/>
      <c r="T49220" s="27"/>
      <c r="U49220" s="27"/>
    </row>
    <row r="49221">
      <c r="S49221" s="26"/>
      <c r="T49221" s="27"/>
      <c r="U49221" s="27"/>
    </row>
    <row r="49223">
      <c r="S49223" s="27"/>
      <c r="T49223" s="27"/>
      <c r="U49223" s="27"/>
    </row>
    <row r="49224">
      <c r="S49224" s="27"/>
      <c r="T49224" s="27"/>
      <c r="U49224" s="27"/>
    </row>
    <row r="49226">
      <c r="S49226" s="27"/>
      <c r="T49226" s="27"/>
      <c r="U49226" s="27"/>
    </row>
    <row r="49227">
      <c r="S49227" s="27"/>
      <c r="T49227" s="27"/>
      <c r="U49227" s="27"/>
    </row>
    <row r="49229">
      <c r="S49229" s="27"/>
      <c r="T49229" s="27"/>
      <c r="U49229" s="27"/>
    </row>
    <row r="49232">
      <c r="S49232" s="33"/>
      <c r="T49232" s="33"/>
      <c r="U49232" s="27"/>
    </row>
    <row r="49233">
      <c r="S49233" s="27"/>
      <c r="T49233" s="27"/>
      <c r="U49233" s="27"/>
    </row>
    <row r="49236">
      <c r="S49236" s="26"/>
      <c r="T49236" s="26"/>
      <c r="U49236" s="26"/>
    </row>
    <row r="49238">
      <c r="S49238" s="27"/>
      <c r="T49238" s="27"/>
      <c r="U49238" s="27"/>
    </row>
    <row r="49239">
      <c r="S49239" s="27"/>
      <c r="T49239" s="27"/>
      <c r="U49239" s="27"/>
    </row>
    <row r="49241">
      <c r="S49241" s="27"/>
      <c r="T49241" s="27"/>
      <c r="U49241" s="27"/>
    </row>
    <row r="49242">
      <c r="S49242" s="27"/>
      <c r="T49242" s="27"/>
      <c r="U49242" s="27"/>
    </row>
    <row r="49244">
      <c r="S49244" s="27"/>
      <c r="T49244" s="27"/>
      <c r="U49244" s="27"/>
    </row>
    <row r="49245">
      <c r="S49245" s="27"/>
      <c r="T49245" s="27"/>
      <c r="U49245" s="27"/>
    </row>
    <row r="49247">
      <c r="S49247" s="27"/>
      <c r="T49247" s="27"/>
      <c r="U49247" s="27"/>
    </row>
    <row r="49248">
      <c r="S49248" s="27"/>
      <c r="T49248" s="27"/>
      <c r="U49248" s="27"/>
    </row>
    <row r="49253">
      <c r="S49253" s="27"/>
      <c r="T49253" s="27"/>
      <c r="U49253" s="27"/>
    </row>
    <row r="49254">
      <c r="S49254" s="27"/>
      <c r="T49254" s="27"/>
      <c r="U49254" s="27"/>
    </row>
    <row r="49256">
      <c r="S49256" s="27"/>
      <c r="T49256" s="27"/>
      <c r="U49256" s="27"/>
    </row>
    <row r="49257">
      <c r="S49257" s="27"/>
      <c r="T49257" s="27"/>
      <c r="U49257" s="27"/>
    </row>
    <row r="49259">
      <c r="S49259" s="27"/>
      <c r="T49259" s="27"/>
      <c r="U49259" s="27"/>
    </row>
    <row r="49260">
      <c r="S49260" s="26"/>
      <c r="T49260" s="26"/>
      <c r="U49260" s="26"/>
    </row>
    <row r="49262">
      <c r="S49262" s="27"/>
      <c r="T49262" s="27"/>
      <c r="U49262" s="27"/>
    </row>
    <row r="49263">
      <c r="T49263" s="27"/>
      <c r="U49263" s="27"/>
    </row>
    <row r="49265">
      <c r="S49265" s="27"/>
      <c r="T49265" s="27"/>
      <c r="U49265" s="27"/>
    </row>
    <row r="49266">
      <c r="S49266" s="27"/>
      <c r="T49266" s="27"/>
      <c r="U49266" s="27"/>
    </row>
    <row r="49268">
      <c r="S49268" s="27"/>
      <c r="T49268" s="27"/>
      <c r="U49268" s="27"/>
    </row>
    <row r="49269">
      <c r="S49269" s="27"/>
      <c r="T49269" s="27"/>
      <c r="U49269" s="27"/>
    </row>
    <row r="49271">
      <c r="S49271" s="27"/>
      <c r="T49271" s="27"/>
      <c r="U49271" s="27"/>
    </row>
    <row r="49272">
      <c r="S49272" s="26"/>
      <c r="T49272" s="26"/>
      <c r="U49272" s="26"/>
    </row>
    <row r="49274">
      <c r="S49274" s="27"/>
      <c r="T49274" s="27"/>
      <c r="U49274" s="27"/>
    </row>
    <row r="49275">
      <c r="S49275" s="27"/>
      <c r="T49275" s="27"/>
      <c r="U49275" s="27"/>
    </row>
    <row r="49277">
      <c r="S49277" s="26"/>
      <c r="T49277" s="26"/>
      <c r="U49277" s="26"/>
    </row>
    <row r="49280">
      <c r="S49280" s="27"/>
      <c r="T49280" s="27"/>
      <c r="U49280" s="27"/>
    </row>
    <row r="49283">
      <c r="S49283" s="27"/>
      <c r="T49283" s="27"/>
      <c r="U49283" s="27"/>
    </row>
    <row r="49284">
      <c r="S49284" s="27"/>
      <c r="T49284" s="27"/>
      <c r="U49284" s="27"/>
    </row>
    <row r="49286">
      <c r="S49286" s="33"/>
      <c r="T49286" s="27"/>
      <c r="U49286" s="27"/>
    </row>
    <row r="49287">
      <c r="T49287" s="27"/>
      <c r="U49287" s="27"/>
    </row>
    <row r="49289">
      <c r="S49289" s="27"/>
      <c r="T49289" s="27"/>
      <c r="U49289" s="27"/>
    </row>
    <row r="49290">
      <c r="S49290" s="27"/>
      <c r="T49290" s="27"/>
      <c r="U49290" s="27"/>
    </row>
    <row r="49292">
      <c r="S49292" s="26"/>
      <c r="T49292" s="26"/>
    </row>
    <row r="49293">
      <c r="S49293" s="26"/>
    </row>
    <row r="49296">
      <c r="S49296" s="27"/>
      <c r="T49296" s="27"/>
      <c r="U49296" s="27"/>
    </row>
    <row r="49297">
      <c r="S49297" s="27"/>
      <c r="T49297" s="27"/>
      <c r="U49297" s="27"/>
    </row>
    <row r="49299">
      <c r="S49299" s="27"/>
      <c r="T49299" s="27"/>
      <c r="U49299" s="27"/>
    </row>
    <row r="49300">
      <c r="S49300" s="27"/>
      <c r="T49300" s="27"/>
      <c r="U49300" s="27"/>
    </row>
    <row r="49302">
      <c r="S49302" s="27"/>
      <c r="T49302" s="27"/>
      <c r="U49302" s="27"/>
    </row>
    <row r="49303">
      <c r="S49303" s="27"/>
      <c r="T49303" s="27"/>
      <c r="U49303" s="27"/>
    </row>
    <row r="49305">
      <c r="S49305" s="27"/>
      <c r="T49305" s="27"/>
      <c r="U49305" s="27"/>
    </row>
    <row r="49306">
      <c r="S49306" s="27"/>
      <c r="T49306" s="27"/>
      <c r="U49306" s="27"/>
    </row>
    <row r="49308">
      <c r="S49308" s="27"/>
      <c r="T49308" s="27"/>
      <c r="U49308" s="27"/>
    </row>
    <row r="49309">
      <c r="S49309" s="27"/>
      <c r="T49309" s="27"/>
      <c r="U49309" s="27"/>
    </row>
    <row r="49311">
      <c r="S49311" s="27"/>
      <c r="T49311" s="27"/>
      <c r="U49311" s="27"/>
    </row>
    <row r="49312">
      <c r="S49312" s="27"/>
      <c r="T49312" s="27"/>
      <c r="U49312" s="27"/>
    </row>
    <row r="49314">
      <c r="S49314" s="27"/>
      <c r="T49314" s="27"/>
      <c r="U49314" s="27"/>
    </row>
    <row r="49315">
      <c r="S49315" s="27"/>
      <c r="T49315" s="27"/>
      <c r="U49315" s="27"/>
    </row>
    <row r="49317">
      <c r="S49317" s="27"/>
      <c r="T49317" s="27"/>
      <c r="U49317" s="27"/>
    </row>
    <row r="49318">
      <c r="S49318" s="27"/>
      <c r="T49318" s="27"/>
      <c r="U49318" s="27"/>
    </row>
    <row r="49320">
      <c r="S49320" s="27"/>
      <c r="T49320" s="27"/>
      <c r="U49320" s="27"/>
    </row>
    <row r="49321">
      <c r="S49321" s="27"/>
      <c r="T49321" s="27"/>
      <c r="U49321" s="27"/>
    </row>
    <row r="49323">
      <c r="S49323" s="27"/>
      <c r="T49323" s="27"/>
      <c r="U49323" s="27"/>
    </row>
    <row r="49324">
      <c r="S49324" s="27"/>
      <c r="T49324" s="27"/>
      <c r="U49324" s="27"/>
    </row>
    <row r="49326">
      <c r="S49326" s="27"/>
      <c r="T49326" s="27"/>
      <c r="U49326" s="27"/>
    </row>
    <row r="49327">
      <c r="S49327" s="27"/>
      <c r="T49327" s="27"/>
      <c r="U49327" s="27"/>
    </row>
    <row r="49329">
      <c r="S49329" s="27"/>
      <c r="T49329" s="27"/>
      <c r="U49329" s="27"/>
    </row>
    <row r="49330">
      <c r="S49330" s="27"/>
      <c r="T49330" s="27"/>
      <c r="U49330" s="27"/>
    </row>
    <row r="49332">
      <c r="S49332" s="27"/>
      <c r="T49332" s="27"/>
      <c r="U49332" s="27"/>
    </row>
    <row r="49333">
      <c r="S49333" s="27"/>
      <c r="T49333" s="27"/>
      <c r="U49333" s="27"/>
    </row>
    <row r="49335">
      <c r="S49335" s="27"/>
      <c r="T49335" s="27"/>
      <c r="U49335" s="27"/>
    </row>
    <row r="49336">
      <c r="S49336" s="27"/>
      <c r="T49336" s="27"/>
      <c r="U49336" s="27"/>
    </row>
    <row r="49338">
      <c r="S49338" s="27"/>
      <c r="T49338" s="27"/>
      <c r="U49338" s="27"/>
    </row>
    <row r="49339">
      <c r="S49339" s="27"/>
      <c r="T49339" s="27"/>
      <c r="U49339" s="27"/>
    </row>
    <row r="49341">
      <c r="S49341" s="27"/>
      <c r="T49341" s="27"/>
      <c r="U49341" s="27"/>
    </row>
    <row r="49342">
      <c r="S49342" s="27"/>
      <c r="T49342" s="27"/>
      <c r="U49342" s="27"/>
    </row>
    <row r="49344">
      <c r="S49344" s="27"/>
      <c r="T49344" s="27"/>
      <c r="U49344" s="27"/>
    </row>
    <row r="49345">
      <c r="S49345" s="27"/>
      <c r="T49345" s="27"/>
      <c r="U49345" s="27"/>
    </row>
    <row r="49347">
      <c r="S49347" s="27"/>
      <c r="T49347" s="27"/>
      <c r="U49347" s="27"/>
    </row>
    <row r="49348">
      <c r="S49348" s="27"/>
      <c r="T49348" s="27"/>
      <c r="U49348" s="27"/>
    </row>
    <row r="49350">
      <c r="S49350" s="27"/>
      <c r="T49350" s="27"/>
      <c r="U49350" s="27"/>
    </row>
    <row r="49351">
      <c r="S49351" s="27"/>
      <c r="T49351" s="27"/>
      <c r="U49351" s="27"/>
    </row>
    <row r="49353">
      <c r="S49353" s="27"/>
      <c r="T49353" s="27"/>
      <c r="U49353" s="27"/>
    </row>
    <row r="49354">
      <c r="S49354" s="27"/>
      <c r="T49354" s="27"/>
      <c r="U49354" s="27"/>
    </row>
    <row r="49356">
      <c r="S49356" s="27"/>
      <c r="T49356" s="27"/>
      <c r="U49356" s="27"/>
    </row>
    <row r="49357">
      <c r="S49357" s="27"/>
      <c r="T49357" s="27"/>
      <c r="U49357" s="27"/>
    </row>
    <row r="49359">
      <c r="S49359" s="27"/>
      <c r="T49359" s="27"/>
      <c r="U49359" s="27"/>
    </row>
    <row r="49360">
      <c r="S49360" s="27"/>
      <c r="T49360" s="27"/>
      <c r="U49360" s="27"/>
    </row>
    <row r="49362">
      <c r="S49362" s="27"/>
      <c r="T49362" s="27"/>
      <c r="U49362" s="27"/>
    </row>
    <row r="49363">
      <c r="S49363" s="27"/>
      <c r="T49363" s="27"/>
      <c r="U49363" s="27"/>
    </row>
    <row r="49365">
      <c r="S49365" s="27"/>
      <c r="T49365" s="27"/>
      <c r="U49365" s="27"/>
    </row>
    <row r="49366">
      <c r="S49366" s="27"/>
      <c r="T49366" s="27"/>
      <c r="U49366" s="27"/>
    </row>
    <row r="49368">
      <c r="S49368" s="27"/>
      <c r="T49368" s="27"/>
      <c r="U49368" s="27"/>
    </row>
    <row r="49369">
      <c r="S49369" s="27"/>
      <c r="T49369" s="27"/>
      <c r="U49369" s="27"/>
    </row>
    <row r="49371">
      <c r="S49371" s="27"/>
      <c r="T49371" s="27"/>
      <c r="U49371" s="27"/>
    </row>
    <row r="49372">
      <c r="S49372" s="27"/>
      <c r="T49372" s="27"/>
      <c r="U49372" s="27"/>
    </row>
    <row r="49374">
      <c r="S49374" s="27"/>
      <c r="T49374" s="27"/>
      <c r="U49374" s="27"/>
    </row>
    <row r="49375">
      <c r="S49375" s="27"/>
      <c r="T49375" s="27"/>
      <c r="U49375" s="27"/>
    </row>
    <row r="49377">
      <c r="S49377" s="27"/>
      <c r="T49377" s="27"/>
      <c r="U49377" s="27"/>
    </row>
    <row r="49378">
      <c r="S49378" s="27"/>
      <c r="T49378" s="27"/>
      <c r="U49378" s="27"/>
    </row>
    <row r="49380">
      <c r="S49380" s="27"/>
      <c r="T49380" s="27"/>
      <c r="U49380" s="27"/>
    </row>
    <row r="49381">
      <c r="S49381" s="27"/>
      <c r="T49381" s="27"/>
      <c r="U49381" s="27"/>
    </row>
    <row r="49383">
      <c r="S49383" s="27"/>
      <c r="T49383" s="27"/>
      <c r="U49383" s="27"/>
    </row>
    <row r="49384">
      <c r="S49384" s="27"/>
      <c r="T49384" s="27"/>
      <c r="U49384" s="27"/>
    </row>
    <row r="49386">
      <c r="S49386" s="27"/>
      <c r="T49386" s="27"/>
      <c r="U49386" s="27"/>
    </row>
    <row r="49387">
      <c r="S49387" s="27"/>
      <c r="T49387" s="27"/>
      <c r="U49387" s="27"/>
    </row>
    <row r="49389">
      <c r="S49389" s="27"/>
      <c r="T49389" s="27"/>
      <c r="U49389" s="27"/>
    </row>
    <row r="49391">
      <c r="S49391" s="27"/>
      <c r="T49391" s="27"/>
      <c r="U49391" s="27"/>
    </row>
    <row r="49392">
      <c r="S49392" s="27"/>
      <c r="T49392" s="27"/>
      <c r="U49392" s="27"/>
    </row>
    <row r="49394">
      <c r="S49394" s="27"/>
      <c r="T49394" s="27"/>
      <c r="U49394" s="27"/>
    </row>
    <row r="49395">
      <c r="S49395" s="27"/>
      <c r="T49395" s="27"/>
      <c r="U49395" s="27"/>
    </row>
    <row r="49397">
      <c r="S49397" s="27"/>
      <c r="T49397" s="27"/>
      <c r="U49397" s="27"/>
    </row>
    <row r="49398">
      <c r="S49398" s="27"/>
      <c r="T49398" s="27"/>
      <c r="U49398" s="27"/>
    </row>
    <row r="49400">
      <c r="S49400" s="27"/>
      <c r="T49400" s="27"/>
      <c r="U49400" s="27"/>
    </row>
    <row r="49401">
      <c r="S49401" s="27"/>
      <c r="T49401" s="27"/>
      <c r="U49401" s="27"/>
    </row>
    <row r="49403">
      <c r="S49403" s="27"/>
      <c r="T49403" s="27"/>
      <c r="U49403" s="27"/>
    </row>
    <row r="49404">
      <c r="S49404" s="27"/>
      <c r="T49404" s="27"/>
      <c r="U49404" s="27"/>
    </row>
    <row r="49406">
      <c r="S49406" s="27"/>
      <c r="T49406" s="27"/>
      <c r="U49406" s="27"/>
    </row>
    <row r="49407">
      <c r="S49407" s="27"/>
      <c r="T49407" s="27"/>
      <c r="U49407" s="27"/>
    </row>
    <row r="49409">
      <c r="S49409" s="27"/>
      <c r="T49409" s="27"/>
      <c r="U49409" s="27"/>
    </row>
    <row r="49410">
      <c r="S49410" s="27"/>
      <c r="T49410" s="27"/>
      <c r="U49410" s="27"/>
    </row>
    <row r="49412">
      <c r="S49412" s="27"/>
      <c r="T49412" s="27"/>
      <c r="U49412" s="27"/>
    </row>
    <row r="49414">
      <c r="S49414" s="27"/>
      <c r="T49414" s="27"/>
      <c r="U49414" s="27"/>
    </row>
    <row r="49416">
      <c r="S49416" s="27"/>
      <c r="T49416" s="27"/>
      <c r="U49416" s="27"/>
    </row>
    <row r="49418">
      <c r="S49418" s="27"/>
      <c r="T49418" s="27"/>
      <c r="U49418" s="27"/>
    </row>
    <row r="49420">
      <c r="S49420" s="27"/>
      <c r="T49420" s="27"/>
      <c r="U49420" s="27"/>
    </row>
    <row r="49421">
      <c r="S49421" s="27"/>
      <c r="T49421" s="27"/>
      <c r="U49421" s="27"/>
    </row>
    <row r="49423">
      <c r="S49423" s="27"/>
      <c r="T49423" s="27"/>
      <c r="U49423" s="27"/>
    </row>
    <row r="49424">
      <c r="S49424" s="27"/>
      <c r="T49424" s="27"/>
      <c r="U49424" s="27"/>
    </row>
    <row r="49426">
      <c r="S49426" s="27"/>
      <c r="T49426" s="27"/>
      <c r="U49426" s="27"/>
    </row>
    <row r="49427">
      <c r="S49427" s="27"/>
      <c r="T49427" s="27"/>
    </row>
    <row r="49429">
      <c r="S49429" s="27"/>
      <c r="T49429" s="27"/>
      <c r="U49429" s="27"/>
    </row>
    <row r="49430">
      <c r="S49430" s="27"/>
      <c r="T49430" s="27"/>
      <c r="U49430" s="27"/>
    </row>
    <row r="49432">
      <c r="S49432" s="27"/>
      <c r="T49432" s="27"/>
      <c r="U49432" s="27"/>
    </row>
    <row r="49433">
      <c r="S49433" s="27"/>
      <c r="T49433" s="27"/>
      <c r="U49433" s="27"/>
    </row>
    <row r="49435">
      <c r="S49435" s="27"/>
      <c r="T49435" s="27"/>
      <c r="U49435" s="27"/>
    </row>
    <row r="49436">
      <c r="S49436" s="27"/>
      <c r="T49436" s="27"/>
      <c r="U49436" s="27"/>
    </row>
    <row r="49438">
      <c r="S49438" s="27"/>
      <c r="T49438" s="27"/>
      <c r="U49438" s="27"/>
    </row>
    <row r="49439">
      <c r="S49439" s="27"/>
      <c r="T49439" s="27"/>
      <c r="U49439"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0" t="s">
        <v>86</v>
      </c>
      <c r="B1" s="21"/>
      <c r="C1" s="21"/>
      <c r="D1" s="21"/>
      <c r="E1" s="21"/>
      <c r="F1" s="21"/>
      <c r="G1" s="21"/>
      <c r="H1" s="21"/>
      <c r="I1" s="21"/>
      <c r="J1" s="21"/>
      <c r="K1" s="21"/>
    </row>
    <row r="2">
      <c r="A2" s="23" t="s">
        <v>0</v>
      </c>
      <c r="B2" s="25" t="s">
        <v>1</v>
      </c>
      <c r="C2" s="25" t="s">
        <v>2</v>
      </c>
      <c r="D2" s="25" t="s">
        <v>3</v>
      </c>
      <c r="E2" s="25" t="s">
        <v>4</v>
      </c>
      <c r="F2" s="25" t="s">
        <v>5</v>
      </c>
      <c r="G2" s="25" t="s">
        <v>6</v>
      </c>
      <c r="H2" s="25" t="s">
        <v>7</v>
      </c>
      <c r="I2" s="25" t="s">
        <v>8</v>
      </c>
      <c r="J2" s="25" t="s">
        <v>9</v>
      </c>
      <c r="K2" s="25" t="s">
        <v>10</v>
      </c>
    </row>
    <row r="3">
      <c r="A3" s="23" t="s">
        <v>11</v>
      </c>
      <c r="B3" s="25">
        <v>5.0</v>
      </c>
      <c r="C3" s="25">
        <v>5.0</v>
      </c>
      <c r="D3" s="25">
        <v>5.0</v>
      </c>
      <c r="E3" s="25">
        <v>4.0</v>
      </c>
      <c r="F3" s="25">
        <v>5.0</v>
      </c>
      <c r="G3" s="25">
        <v>5.0</v>
      </c>
      <c r="H3" s="25">
        <v>5.0</v>
      </c>
      <c r="I3" s="25">
        <v>4.0</v>
      </c>
      <c r="J3" s="25">
        <v>5.0</v>
      </c>
      <c r="K3" s="25">
        <v>4.0</v>
      </c>
    </row>
    <row r="4">
      <c r="A4" s="23" t="s">
        <v>12</v>
      </c>
      <c r="B4" s="25">
        <v>5.0</v>
      </c>
      <c r="C4" s="25">
        <v>5.0</v>
      </c>
      <c r="D4" s="25">
        <v>4.0</v>
      </c>
      <c r="E4" s="25">
        <v>4.0</v>
      </c>
      <c r="F4" s="25">
        <v>4.0</v>
      </c>
      <c r="G4" s="25">
        <v>4.0</v>
      </c>
      <c r="H4" s="25">
        <v>5.0</v>
      </c>
      <c r="I4" s="25">
        <v>4.0</v>
      </c>
      <c r="J4" s="25">
        <v>5.0</v>
      </c>
      <c r="K4" s="25">
        <v>4.0</v>
      </c>
    </row>
    <row r="5">
      <c r="A5" s="23" t="s">
        <v>13</v>
      </c>
      <c r="B5" s="25">
        <v>4.0</v>
      </c>
      <c r="C5" s="25">
        <v>5.0</v>
      </c>
      <c r="D5" s="25">
        <v>4.0</v>
      </c>
      <c r="E5" s="25">
        <v>5.0</v>
      </c>
      <c r="F5" s="25">
        <v>4.0</v>
      </c>
      <c r="G5" s="25">
        <v>4.0</v>
      </c>
      <c r="H5" s="25">
        <v>5.0</v>
      </c>
      <c r="I5" s="25">
        <v>3.0</v>
      </c>
      <c r="J5" s="25">
        <v>5.0</v>
      </c>
      <c r="K5" s="25">
        <v>4.0</v>
      </c>
    </row>
    <row r="6">
      <c r="A6" s="23" t="s">
        <v>14</v>
      </c>
      <c r="B6" s="25">
        <v>5.0</v>
      </c>
      <c r="C6" s="25">
        <v>5.0</v>
      </c>
      <c r="D6" s="25">
        <v>5.0</v>
      </c>
      <c r="E6" s="25">
        <v>5.0</v>
      </c>
      <c r="F6" s="25">
        <v>5.0</v>
      </c>
      <c r="G6" s="25">
        <v>5.0</v>
      </c>
      <c r="H6" s="25">
        <v>5.0</v>
      </c>
      <c r="I6" s="25">
        <v>4.0</v>
      </c>
      <c r="J6" s="25">
        <v>5.0</v>
      </c>
      <c r="K6" s="25">
        <v>5.0</v>
      </c>
    </row>
    <row r="7">
      <c r="A7" s="23" t="s">
        <v>15</v>
      </c>
      <c r="B7" s="25">
        <v>4.0</v>
      </c>
      <c r="C7" s="25">
        <v>5.0</v>
      </c>
      <c r="D7" s="25">
        <v>4.0</v>
      </c>
      <c r="E7" s="25">
        <v>4.0</v>
      </c>
      <c r="F7" s="25">
        <v>4.0</v>
      </c>
      <c r="G7" s="25">
        <v>5.0</v>
      </c>
      <c r="H7" s="25">
        <v>5.0</v>
      </c>
      <c r="I7" s="25">
        <v>3.0</v>
      </c>
      <c r="J7" s="25">
        <v>5.0</v>
      </c>
      <c r="K7" s="25">
        <v>5.0</v>
      </c>
    </row>
    <row r="8">
      <c r="A8" s="23" t="s">
        <v>16</v>
      </c>
      <c r="B8" s="25">
        <v>4.0</v>
      </c>
      <c r="C8" s="25">
        <v>4.0</v>
      </c>
      <c r="D8" s="25">
        <v>4.0</v>
      </c>
      <c r="E8" s="25">
        <v>5.0</v>
      </c>
      <c r="F8" s="25">
        <v>3.0</v>
      </c>
      <c r="G8" s="25">
        <v>4.0</v>
      </c>
      <c r="H8" s="25">
        <v>4.0</v>
      </c>
      <c r="I8" s="25">
        <v>2.0</v>
      </c>
      <c r="J8" s="25">
        <v>4.0</v>
      </c>
      <c r="K8" s="25">
        <v>5.0</v>
      </c>
    </row>
    <row r="9">
      <c r="A9" s="23" t="s">
        <v>17</v>
      </c>
      <c r="B9" s="25">
        <v>4.0</v>
      </c>
      <c r="C9" s="25">
        <v>4.0</v>
      </c>
      <c r="D9" s="25">
        <v>4.0</v>
      </c>
      <c r="E9" s="25">
        <v>5.0</v>
      </c>
      <c r="F9" s="25">
        <v>4.0</v>
      </c>
      <c r="G9" s="25">
        <v>4.0</v>
      </c>
      <c r="H9" s="25">
        <v>4.0</v>
      </c>
      <c r="I9" s="25">
        <v>3.0</v>
      </c>
      <c r="J9" s="25">
        <v>5.0</v>
      </c>
      <c r="K9" s="25">
        <v>5.0</v>
      </c>
    </row>
    <row r="10">
      <c r="A10" s="23" t="s">
        <v>18</v>
      </c>
      <c r="B10" s="25">
        <v>4.0</v>
      </c>
      <c r="C10" s="25">
        <v>4.0</v>
      </c>
      <c r="D10" s="25">
        <v>4.0</v>
      </c>
      <c r="E10" s="25">
        <v>4.0</v>
      </c>
      <c r="F10" s="25">
        <v>3.0</v>
      </c>
      <c r="G10" s="25">
        <v>4.0</v>
      </c>
      <c r="H10" s="25">
        <v>4.0</v>
      </c>
      <c r="I10" s="25">
        <v>2.0</v>
      </c>
      <c r="J10" s="25">
        <v>4.0</v>
      </c>
      <c r="K10" s="25">
        <v>4.0</v>
      </c>
    </row>
    <row r="11">
      <c r="A11" s="23" t="s">
        <v>19</v>
      </c>
      <c r="B11" s="25">
        <v>4.0</v>
      </c>
      <c r="C11" s="25">
        <v>4.0</v>
      </c>
      <c r="D11" s="25">
        <v>4.0</v>
      </c>
      <c r="E11" s="25">
        <v>4.0</v>
      </c>
      <c r="F11" s="25">
        <v>5.0</v>
      </c>
      <c r="G11" s="25">
        <v>5.0</v>
      </c>
      <c r="H11" s="25">
        <v>5.0</v>
      </c>
      <c r="I11" s="25">
        <v>4.0</v>
      </c>
      <c r="J11" s="25">
        <v>4.0</v>
      </c>
      <c r="K11" s="25">
        <v>5.0</v>
      </c>
    </row>
    <row r="12">
      <c r="A12" s="23" t="s">
        <v>20</v>
      </c>
      <c r="B12" s="25">
        <v>4.0</v>
      </c>
      <c r="C12" s="25">
        <v>5.0</v>
      </c>
      <c r="D12" s="25">
        <v>4.0</v>
      </c>
      <c r="E12" s="25">
        <v>4.0</v>
      </c>
      <c r="F12" s="25">
        <v>3.0</v>
      </c>
      <c r="G12" s="25">
        <v>4.0</v>
      </c>
      <c r="H12" s="25">
        <v>4.0</v>
      </c>
      <c r="I12" s="25">
        <v>3.0</v>
      </c>
      <c r="J12" s="25">
        <v>4.0</v>
      </c>
      <c r="K12" s="25">
        <v>5.0</v>
      </c>
    </row>
    <row r="13">
      <c r="A13" s="23" t="s">
        <v>21</v>
      </c>
      <c r="B13" s="25">
        <v>4.0</v>
      </c>
      <c r="C13" s="25">
        <v>4.0</v>
      </c>
      <c r="D13" s="25">
        <v>3.0</v>
      </c>
      <c r="E13" s="25">
        <v>3.0</v>
      </c>
      <c r="F13" s="25">
        <v>4.0</v>
      </c>
      <c r="G13" s="25">
        <v>4.0</v>
      </c>
      <c r="H13" s="25">
        <v>4.0</v>
      </c>
      <c r="I13" s="25">
        <v>2.0</v>
      </c>
      <c r="J13" s="25">
        <v>4.0</v>
      </c>
      <c r="K13" s="25">
        <v>4.0</v>
      </c>
    </row>
    <row r="14">
      <c r="A14" s="23" t="s">
        <v>22</v>
      </c>
      <c r="B14" s="25">
        <v>4.0</v>
      </c>
      <c r="C14" s="25">
        <v>3.0</v>
      </c>
      <c r="D14" s="25">
        <v>4.0</v>
      </c>
      <c r="E14" s="25">
        <v>4.0</v>
      </c>
      <c r="F14" s="25">
        <v>3.0</v>
      </c>
      <c r="G14" s="25">
        <v>4.0</v>
      </c>
      <c r="H14" s="25">
        <v>4.0</v>
      </c>
      <c r="I14" s="25">
        <v>2.0</v>
      </c>
      <c r="J14" s="25">
        <v>4.0</v>
      </c>
      <c r="K14" s="25">
        <v>4.0</v>
      </c>
    </row>
    <row r="15">
      <c r="A15" s="23" t="s">
        <v>23</v>
      </c>
      <c r="B15" s="25">
        <v>4.0</v>
      </c>
      <c r="C15" s="25">
        <v>4.0</v>
      </c>
      <c r="D15" s="25">
        <v>4.0</v>
      </c>
      <c r="E15" s="25">
        <v>3.0</v>
      </c>
      <c r="F15" s="25">
        <v>3.0</v>
      </c>
      <c r="G15" s="25">
        <v>3.0</v>
      </c>
      <c r="H15" s="25">
        <v>4.0</v>
      </c>
      <c r="I15" s="25">
        <v>2.0</v>
      </c>
      <c r="J15" s="25">
        <v>5.0</v>
      </c>
      <c r="K15" s="25">
        <v>4.0</v>
      </c>
    </row>
    <row r="16">
      <c r="A16" s="23" t="s">
        <v>24</v>
      </c>
      <c r="B16" s="25">
        <v>4.0</v>
      </c>
      <c r="C16" s="25">
        <v>3.0</v>
      </c>
      <c r="D16" s="25">
        <v>4.0</v>
      </c>
      <c r="E16" s="25">
        <v>4.0</v>
      </c>
      <c r="F16" s="25">
        <v>3.0</v>
      </c>
      <c r="G16" s="25">
        <v>4.0</v>
      </c>
      <c r="H16" s="25">
        <v>4.0</v>
      </c>
      <c r="I16" s="25">
        <v>2.0</v>
      </c>
      <c r="J16" s="25">
        <v>4.0</v>
      </c>
      <c r="K16" s="25">
        <v>3.0</v>
      </c>
    </row>
    <row r="17">
      <c r="A17" s="23" t="s">
        <v>25</v>
      </c>
      <c r="B17" s="25">
        <v>3.0</v>
      </c>
      <c r="C17" s="25">
        <v>3.0</v>
      </c>
      <c r="D17" s="25">
        <v>3.0</v>
      </c>
      <c r="E17" s="25">
        <v>3.0</v>
      </c>
      <c r="F17" s="25">
        <v>4.0</v>
      </c>
      <c r="G17" s="25">
        <v>4.0</v>
      </c>
      <c r="H17" s="25">
        <v>4.0</v>
      </c>
      <c r="I17" s="25">
        <v>1.0</v>
      </c>
      <c r="J17" s="25">
        <v>3.0</v>
      </c>
      <c r="K17" s="25">
        <v>4.0</v>
      </c>
    </row>
    <row r="18">
      <c r="A18" s="23" t="s">
        <v>26</v>
      </c>
      <c r="B18" s="25">
        <v>3.0</v>
      </c>
      <c r="C18" s="25">
        <v>3.0</v>
      </c>
      <c r="D18" s="25">
        <v>4.0</v>
      </c>
      <c r="E18" s="25">
        <v>3.0</v>
      </c>
      <c r="F18" s="25">
        <v>3.0</v>
      </c>
      <c r="G18" s="25">
        <v>3.0</v>
      </c>
      <c r="H18" s="25">
        <v>4.0</v>
      </c>
      <c r="I18" s="25">
        <v>1.0</v>
      </c>
      <c r="J18" s="25">
        <v>4.0</v>
      </c>
      <c r="K18" s="25">
        <v>4.0</v>
      </c>
    </row>
    <row r="19">
      <c r="A19" s="23" t="s">
        <v>27</v>
      </c>
      <c r="B19" s="25">
        <v>3.0</v>
      </c>
      <c r="C19" s="25">
        <v>4.0</v>
      </c>
      <c r="D19" s="25">
        <v>4.0</v>
      </c>
      <c r="E19" s="25">
        <v>4.0</v>
      </c>
      <c r="F19" s="25">
        <v>3.0</v>
      </c>
      <c r="G19" s="25">
        <v>3.0</v>
      </c>
      <c r="H19" s="25">
        <v>4.0</v>
      </c>
      <c r="I19" s="25">
        <v>3.0</v>
      </c>
      <c r="J19" s="25">
        <v>4.0</v>
      </c>
      <c r="K19" s="25">
        <v>5.0</v>
      </c>
    </row>
    <row r="20">
      <c r="A20" s="23" t="s">
        <v>28</v>
      </c>
      <c r="B20" s="25">
        <v>3.0</v>
      </c>
      <c r="C20" s="25">
        <v>3.0</v>
      </c>
      <c r="D20" s="25">
        <v>4.0</v>
      </c>
      <c r="E20" s="25">
        <v>3.0</v>
      </c>
      <c r="F20" s="25">
        <v>4.0</v>
      </c>
      <c r="G20" s="25">
        <v>3.0</v>
      </c>
      <c r="H20" s="25">
        <v>4.0</v>
      </c>
      <c r="I20" s="25">
        <v>2.0</v>
      </c>
      <c r="J20" s="25">
        <v>3.0</v>
      </c>
      <c r="K20" s="25">
        <v>3.0</v>
      </c>
    </row>
    <row r="21">
      <c r="A21" s="23" t="s">
        <v>29</v>
      </c>
      <c r="B21" s="25">
        <v>3.0</v>
      </c>
      <c r="C21" s="25">
        <v>2.0</v>
      </c>
      <c r="D21" s="25">
        <v>3.0</v>
      </c>
      <c r="E21" s="25">
        <v>3.0</v>
      </c>
      <c r="F21" s="25">
        <v>3.0</v>
      </c>
      <c r="G21" s="25">
        <v>4.0</v>
      </c>
      <c r="H21" s="25">
        <v>3.0</v>
      </c>
      <c r="I21" s="25">
        <v>1.0</v>
      </c>
      <c r="J21" s="25">
        <v>3.0</v>
      </c>
      <c r="K21" s="25">
        <v>3.0</v>
      </c>
    </row>
    <row r="22">
      <c r="A22" s="23" t="s">
        <v>30</v>
      </c>
      <c r="B22" s="25">
        <v>3.0</v>
      </c>
      <c r="C22" s="25">
        <v>3.0</v>
      </c>
      <c r="D22" s="25">
        <v>2.0</v>
      </c>
      <c r="E22" s="25">
        <v>3.0</v>
      </c>
      <c r="F22" s="25">
        <v>3.0</v>
      </c>
      <c r="G22" s="25">
        <v>3.0</v>
      </c>
      <c r="H22" s="25">
        <v>3.0</v>
      </c>
      <c r="I22" s="25">
        <v>2.0</v>
      </c>
      <c r="J22" s="25">
        <v>3.0</v>
      </c>
      <c r="K22" s="25">
        <v>3.0</v>
      </c>
    </row>
    <row r="23">
      <c r="A23" s="19" t="s">
        <v>77</v>
      </c>
      <c r="B23" s="19">
        <f t="shared" ref="B23:J23" si="1">MAX(B3:B22)</f>
        <v>5</v>
      </c>
      <c r="C23" s="19">
        <f t="shared" si="1"/>
        <v>5</v>
      </c>
      <c r="D23" s="19">
        <f t="shared" si="1"/>
        <v>5</v>
      </c>
      <c r="E23" s="19">
        <f t="shared" si="1"/>
        <v>5</v>
      </c>
      <c r="F23" s="19">
        <f t="shared" si="1"/>
        <v>5</v>
      </c>
      <c r="G23" s="19">
        <f t="shared" si="1"/>
        <v>5</v>
      </c>
      <c r="H23" s="19">
        <f t="shared" si="1"/>
        <v>5</v>
      </c>
      <c r="I23" s="19">
        <f t="shared" si="1"/>
        <v>4</v>
      </c>
      <c r="J23" s="19">
        <f t="shared" si="1"/>
        <v>5</v>
      </c>
      <c r="K23" s="6">
        <v>5.0</v>
      </c>
    </row>
    <row r="24">
      <c r="A24" s="18" t="s">
        <v>87</v>
      </c>
      <c r="B24" s="38">
        <f t="shared" ref="B24:J24" si="2">min(B3:B22)</f>
        <v>3</v>
      </c>
      <c r="C24" s="38">
        <f t="shared" si="2"/>
        <v>2</v>
      </c>
      <c r="D24" s="38">
        <f t="shared" si="2"/>
        <v>2</v>
      </c>
      <c r="E24" s="38">
        <f t="shared" si="2"/>
        <v>3</v>
      </c>
      <c r="F24" s="38">
        <f t="shared" si="2"/>
        <v>3</v>
      </c>
      <c r="G24" s="38">
        <f t="shared" si="2"/>
        <v>3</v>
      </c>
      <c r="H24" s="38">
        <f t="shared" si="2"/>
        <v>3</v>
      </c>
      <c r="I24" s="38">
        <f t="shared" si="2"/>
        <v>1</v>
      </c>
      <c r="J24" s="38">
        <f t="shared" si="2"/>
        <v>3</v>
      </c>
      <c r="K24" s="6">
        <v>3.0</v>
      </c>
    </row>
    <row r="25">
      <c r="A25" s="3"/>
    </row>
    <row r="26">
      <c r="A26" s="3"/>
    </row>
    <row r="27">
      <c r="A27" s="20" t="s">
        <v>88</v>
      </c>
      <c r="B27" s="21"/>
      <c r="C27" s="21"/>
      <c r="D27" s="21"/>
      <c r="E27" s="21"/>
      <c r="F27" s="21"/>
      <c r="G27" s="21"/>
      <c r="H27" s="21"/>
      <c r="I27" s="21"/>
      <c r="J27" s="21"/>
      <c r="K27" s="21"/>
    </row>
    <row r="28">
      <c r="A28" s="39" t="s">
        <v>0</v>
      </c>
      <c r="B28" s="39" t="s">
        <v>1</v>
      </c>
      <c r="C28" s="39" t="s">
        <v>2</v>
      </c>
      <c r="D28" s="39" t="s">
        <v>3</v>
      </c>
      <c r="E28" s="39" t="s">
        <v>4</v>
      </c>
      <c r="F28" s="39" t="s">
        <v>5</v>
      </c>
      <c r="G28" s="39" t="s">
        <v>6</v>
      </c>
      <c r="H28" s="39" t="s">
        <v>7</v>
      </c>
      <c r="I28" s="39" t="s">
        <v>8</v>
      </c>
      <c r="J28" s="39" t="s">
        <v>9</v>
      </c>
      <c r="K28" s="39" t="s">
        <v>10</v>
      </c>
    </row>
    <row r="29">
      <c r="A29" s="1" t="s">
        <v>76</v>
      </c>
      <c r="B29" s="1">
        <f>MEREC!B76</f>
        <v>0.07383636958</v>
      </c>
      <c r="C29" s="1">
        <f>MEREC!C76</f>
        <v>0.07288900642</v>
      </c>
      <c r="D29" s="1">
        <f>MEREC!D76</f>
        <v>0.1060673386</v>
      </c>
      <c r="E29" s="1">
        <f>MEREC!E76</f>
        <v>0.1123657656</v>
      </c>
      <c r="F29" s="1">
        <f>MEREC!F76</f>
        <v>0.1135260312</v>
      </c>
      <c r="G29" s="1">
        <f>MEREC!G76</f>
        <v>0.09855186571</v>
      </c>
      <c r="H29" s="1">
        <f>MEREC!H76</f>
        <v>0.08007078013</v>
      </c>
      <c r="I29" s="1">
        <f>MEREC!I76</f>
        <v>0.1667190326</v>
      </c>
      <c r="J29" s="1">
        <f>MEREC!J76</f>
        <v>0.08457627365</v>
      </c>
      <c r="K29" s="1">
        <f>MEREC!K76</f>
        <v>0.09139753658</v>
      </c>
    </row>
    <row r="30">
      <c r="A30" s="23" t="s">
        <v>11</v>
      </c>
      <c r="B30" s="29">
        <f>MEREC!B26</f>
        <v>1</v>
      </c>
      <c r="C30" s="29">
        <f>MEREC!C26</f>
        <v>1</v>
      </c>
      <c r="D30" s="29">
        <f>MEREC!D26</f>
        <v>1</v>
      </c>
      <c r="E30" s="29">
        <f>MEREC!E26</f>
        <v>0.8</v>
      </c>
      <c r="F30" s="29">
        <f>MEREC!F26</f>
        <v>1</v>
      </c>
      <c r="G30" s="29">
        <f>MEREC!G26</f>
        <v>1</v>
      </c>
      <c r="H30" s="29">
        <f>MEREC!H26</f>
        <v>1</v>
      </c>
      <c r="I30" s="29">
        <f>MEREC!I26</f>
        <v>1</v>
      </c>
      <c r="J30" s="29">
        <f>MEREC!J26</f>
        <v>1</v>
      </c>
      <c r="K30" s="29">
        <f>MEREC!K26</f>
        <v>0.8</v>
      </c>
    </row>
    <row r="31">
      <c r="A31" s="23" t="s">
        <v>12</v>
      </c>
      <c r="B31" s="29">
        <f>MEREC!B27</f>
        <v>1</v>
      </c>
      <c r="C31" s="29">
        <f>MEREC!C27</f>
        <v>1</v>
      </c>
      <c r="D31" s="29">
        <f>MEREC!D27</f>
        <v>0.8</v>
      </c>
      <c r="E31" s="29">
        <f>MEREC!E27</f>
        <v>0.8</v>
      </c>
      <c r="F31" s="29">
        <f>MEREC!F27</f>
        <v>0.8</v>
      </c>
      <c r="G31" s="29">
        <f>MEREC!G27</f>
        <v>0.8</v>
      </c>
      <c r="H31" s="29">
        <f>MEREC!H27</f>
        <v>1</v>
      </c>
      <c r="I31" s="29">
        <f>MEREC!I27</f>
        <v>1</v>
      </c>
      <c r="J31" s="29">
        <f>MEREC!J27</f>
        <v>1</v>
      </c>
      <c r="K31" s="29">
        <f>MEREC!K27</f>
        <v>0.8</v>
      </c>
    </row>
    <row r="32">
      <c r="A32" s="23" t="s">
        <v>13</v>
      </c>
      <c r="B32" s="29">
        <f>MEREC!B28</f>
        <v>0.8</v>
      </c>
      <c r="C32" s="29">
        <f>MEREC!C28</f>
        <v>1</v>
      </c>
      <c r="D32" s="29">
        <f>MEREC!D28</f>
        <v>0.8</v>
      </c>
      <c r="E32" s="29">
        <f>MEREC!E28</f>
        <v>1</v>
      </c>
      <c r="F32" s="29">
        <f>MEREC!F28</f>
        <v>0.8</v>
      </c>
      <c r="G32" s="29">
        <f>MEREC!G28</f>
        <v>0.8</v>
      </c>
      <c r="H32" s="29">
        <f>MEREC!H28</f>
        <v>1</v>
      </c>
      <c r="I32" s="29">
        <f>MEREC!I28</f>
        <v>0.75</v>
      </c>
      <c r="J32" s="29">
        <f>MEREC!J28</f>
        <v>1</v>
      </c>
      <c r="K32" s="29">
        <f>MEREC!K28</f>
        <v>0.8</v>
      </c>
    </row>
    <row r="33">
      <c r="A33" s="23" t="s">
        <v>14</v>
      </c>
      <c r="B33" s="29">
        <f>MEREC!B29</f>
        <v>1</v>
      </c>
      <c r="C33" s="29">
        <f>MEREC!C29</f>
        <v>1</v>
      </c>
      <c r="D33" s="29">
        <f>MEREC!D29</f>
        <v>1</v>
      </c>
      <c r="E33" s="29">
        <f>MEREC!E29</f>
        <v>1</v>
      </c>
      <c r="F33" s="29">
        <f>MEREC!F29</f>
        <v>1</v>
      </c>
      <c r="G33" s="29">
        <f>MEREC!G29</f>
        <v>1</v>
      </c>
      <c r="H33" s="29">
        <f>MEREC!H29</f>
        <v>1</v>
      </c>
      <c r="I33" s="29">
        <f>MEREC!I29</f>
        <v>1</v>
      </c>
      <c r="J33" s="29">
        <f>MEREC!J29</f>
        <v>1</v>
      </c>
      <c r="K33" s="29">
        <f>MEREC!K29</f>
        <v>1</v>
      </c>
    </row>
    <row r="34">
      <c r="A34" s="23" t="s">
        <v>15</v>
      </c>
      <c r="B34" s="29">
        <f>MEREC!B30</f>
        <v>0.8</v>
      </c>
      <c r="C34" s="29">
        <f>MEREC!C30</f>
        <v>1</v>
      </c>
      <c r="D34" s="29">
        <f>MEREC!D30</f>
        <v>0.8</v>
      </c>
      <c r="E34" s="29">
        <f>MEREC!E30</f>
        <v>0.8</v>
      </c>
      <c r="F34" s="29">
        <f>MEREC!F30</f>
        <v>0.8</v>
      </c>
      <c r="G34" s="29">
        <f>MEREC!G30</f>
        <v>1</v>
      </c>
      <c r="H34" s="29">
        <f>MEREC!H30</f>
        <v>1</v>
      </c>
      <c r="I34" s="29">
        <f>MEREC!I30</f>
        <v>0.75</v>
      </c>
      <c r="J34" s="29">
        <f>MEREC!J30</f>
        <v>1</v>
      </c>
      <c r="K34" s="29">
        <f>MEREC!K30</f>
        <v>1</v>
      </c>
    </row>
    <row r="35">
      <c r="A35" s="23" t="s">
        <v>16</v>
      </c>
      <c r="B35" s="29">
        <f>MEREC!B31</f>
        <v>0.8</v>
      </c>
      <c r="C35" s="29">
        <f>MEREC!C31</f>
        <v>0.8</v>
      </c>
      <c r="D35" s="29">
        <f>MEREC!D31</f>
        <v>0.8</v>
      </c>
      <c r="E35" s="29">
        <f>MEREC!E31</f>
        <v>1</v>
      </c>
      <c r="F35" s="29">
        <f>MEREC!F31</f>
        <v>0.6</v>
      </c>
      <c r="G35" s="29">
        <f>MEREC!G31</f>
        <v>0.8</v>
      </c>
      <c r="H35" s="29">
        <f>MEREC!H31</f>
        <v>0.8</v>
      </c>
      <c r="I35" s="29">
        <f>MEREC!I31</f>
        <v>0.5</v>
      </c>
      <c r="J35" s="29">
        <f>MEREC!J31</f>
        <v>0.8</v>
      </c>
      <c r="K35" s="29">
        <f>MEREC!K31</f>
        <v>1</v>
      </c>
    </row>
    <row r="36">
      <c r="A36" s="23" t="s">
        <v>17</v>
      </c>
      <c r="B36" s="29">
        <f>MEREC!B32</f>
        <v>0.8</v>
      </c>
      <c r="C36" s="29">
        <f>MEREC!C32</f>
        <v>0.8</v>
      </c>
      <c r="D36" s="29">
        <f>MEREC!D32</f>
        <v>0.8</v>
      </c>
      <c r="E36" s="29">
        <f>MEREC!E32</f>
        <v>1</v>
      </c>
      <c r="F36" s="29">
        <f>MEREC!F32</f>
        <v>0.8</v>
      </c>
      <c r="G36" s="29">
        <f>MEREC!G32</f>
        <v>0.8</v>
      </c>
      <c r="H36" s="29">
        <f>MEREC!H32</f>
        <v>0.8</v>
      </c>
      <c r="I36" s="29">
        <f>MEREC!I32</f>
        <v>0.75</v>
      </c>
      <c r="J36" s="29">
        <f>MEREC!J32</f>
        <v>1</v>
      </c>
      <c r="K36" s="29">
        <f>MEREC!K32</f>
        <v>1</v>
      </c>
    </row>
    <row r="37">
      <c r="A37" s="23" t="s">
        <v>18</v>
      </c>
      <c r="B37" s="29">
        <f>MEREC!B33</f>
        <v>0.8</v>
      </c>
      <c r="C37" s="29">
        <f>MEREC!C33</f>
        <v>0.8</v>
      </c>
      <c r="D37" s="29">
        <f>MEREC!D33</f>
        <v>0.8</v>
      </c>
      <c r="E37" s="29">
        <f>MEREC!E33</f>
        <v>0.8</v>
      </c>
      <c r="F37" s="29">
        <f>MEREC!F33</f>
        <v>0.6</v>
      </c>
      <c r="G37" s="29">
        <f>MEREC!G33</f>
        <v>0.8</v>
      </c>
      <c r="H37" s="29">
        <f>MEREC!H33</f>
        <v>0.8</v>
      </c>
      <c r="I37" s="29">
        <f>MEREC!I33</f>
        <v>0.5</v>
      </c>
      <c r="J37" s="29">
        <f>MEREC!J33</f>
        <v>0.8</v>
      </c>
      <c r="K37" s="29">
        <f>MEREC!K33</f>
        <v>0.8</v>
      </c>
    </row>
    <row r="38">
      <c r="A38" s="23" t="s">
        <v>19</v>
      </c>
      <c r="B38" s="29">
        <f>MEREC!B34</f>
        <v>0.8</v>
      </c>
      <c r="C38" s="29">
        <f>MEREC!C34</f>
        <v>0.8</v>
      </c>
      <c r="D38" s="29">
        <f>MEREC!D34</f>
        <v>0.8</v>
      </c>
      <c r="E38" s="29">
        <f>MEREC!E34</f>
        <v>0.8</v>
      </c>
      <c r="F38" s="29">
        <f>MEREC!F34</f>
        <v>1</v>
      </c>
      <c r="G38" s="29">
        <f>MEREC!G34</f>
        <v>1</v>
      </c>
      <c r="H38" s="29">
        <f>MEREC!H34</f>
        <v>1</v>
      </c>
      <c r="I38" s="29">
        <f>MEREC!I34</f>
        <v>1</v>
      </c>
      <c r="J38" s="29">
        <f>MEREC!J34</f>
        <v>0.8</v>
      </c>
      <c r="K38" s="29">
        <f>MEREC!K34</f>
        <v>1</v>
      </c>
    </row>
    <row r="39">
      <c r="A39" s="23" t="s">
        <v>20</v>
      </c>
      <c r="B39" s="29">
        <f>MEREC!B35</f>
        <v>0.8</v>
      </c>
      <c r="C39" s="29">
        <f>MEREC!C35</f>
        <v>1</v>
      </c>
      <c r="D39" s="29">
        <f>MEREC!D35</f>
        <v>0.8</v>
      </c>
      <c r="E39" s="29">
        <f>MEREC!E35</f>
        <v>0.8</v>
      </c>
      <c r="F39" s="29">
        <f>MEREC!F35</f>
        <v>0.6</v>
      </c>
      <c r="G39" s="29">
        <f>MEREC!G35</f>
        <v>0.8</v>
      </c>
      <c r="H39" s="29">
        <f>MEREC!H35</f>
        <v>0.8</v>
      </c>
      <c r="I39" s="29">
        <f>MEREC!I35</f>
        <v>0.75</v>
      </c>
      <c r="J39" s="29">
        <f>MEREC!J35</f>
        <v>0.8</v>
      </c>
      <c r="K39" s="29">
        <f>MEREC!K35</f>
        <v>1</v>
      </c>
    </row>
    <row r="40">
      <c r="A40" s="23" t="s">
        <v>21</v>
      </c>
      <c r="B40" s="29">
        <f>MEREC!B36</f>
        <v>0.8</v>
      </c>
      <c r="C40" s="29">
        <f>MEREC!C36</f>
        <v>0.8</v>
      </c>
      <c r="D40" s="29">
        <f>MEREC!D36</f>
        <v>0.6</v>
      </c>
      <c r="E40" s="29">
        <f>MEREC!E36</f>
        <v>0.6</v>
      </c>
      <c r="F40" s="29">
        <f>MEREC!F36</f>
        <v>0.8</v>
      </c>
      <c r="G40" s="29">
        <f>MEREC!G36</f>
        <v>0.8</v>
      </c>
      <c r="H40" s="29">
        <f>MEREC!H36</f>
        <v>0.8</v>
      </c>
      <c r="I40" s="29">
        <f>MEREC!I36</f>
        <v>0.5</v>
      </c>
      <c r="J40" s="29">
        <f>MEREC!J36</f>
        <v>0.8</v>
      </c>
      <c r="K40" s="29">
        <f>MEREC!K36</f>
        <v>0.8</v>
      </c>
    </row>
    <row r="41">
      <c r="A41" s="23" t="s">
        <v>22</v>
      </c>
      <c r="B41" s="29">
        <f>MEREC!B37</f>
        <v>0.8</v>
      </c>
      <c r="C41" s="29">
        <f>MEREC!C37</f>
        <v>0.6</v>
      </c>
      <c r="D41" s="29">
        <f>MEREC!D37</f>
        <v>0.8</v>
      </c>
      <c r="E41" s="29">
        <f>MEREC!E37</f>
        <v>0.8</v>
      </c>
      <c r="F41" s="29">
        <f>MEREC!F37</f>
        <v>0.6</v>
      </c>
      <c r="G41" s="29">
        <f>MEREC!G37</f>
        <v>0.8</v>
      </c>
      <c r="H41" s="29">
        <f>MEREC!H37</f>
        <v>0.8</v>
      </c>
      <c r="I41" s="29">
        <f>MEREC!I37</f>
        <v>0.5</v>
      </c>
      <c r="J41" s="29">
        <f>MEREC!J37</f>
        <v>0.8</v>
      </c>
      <c r="K41" s="29">
        <f>MEREC!K37</f>
        <v>0.8</v>
      </c>
    </row>
    <row r="42">
      <c r="A42" s="23" t="s">
        <v>23</v>
      </c>
      <c r="B42" s="29">
        <f>MEREC!B38</f>
        <v>0.8</v>
      </c>
      <c r="C42" s="29">
        <f>MEREC!C38</f>
        <v>0.8</v>
      </c>
      <c r="D42" s="29">
        <f>MEREC!D38</f>
        <v>0.8</v>
      </c>
      <c r="E42" s="29">
        <f>MEREC!E38</f>
        <v>0.6</v>
      </c>
      <c r="F42" s="29">
        <f>MEREC!F38</f>
        <v>0.6</v>
      </c>
      <c r="G42" s="29">
        <f>MEREC!G38</f>
        <v>0.6</v>
      </c>
      <c r="H42" s="29">
        <f>MEREC!H38</f>
        <v>0.8</v>
      </c>
      <c r="I42" s="29">
        <f>MEREC!I38</f>
        <v>0.5</v>
      </c>
      <c r="J42" s="29">
        <f>MEREC!J38</f>
        <v>1</v>
      </c>
      <c r="K42" s="29">
        <f>MEREC!K38</f>
        <v>0.8</v>
      </c>
    </row>
    <row r="43">
      <c r="A43" s="23" t="s">
        <v>24</v>
      </c>
      <c r="B43" s="29">
        <f>MEREC!B39</f>
        <v>0.8</v>
      </c>
      <c r="C43" s="29">
        <f>MEREC!C39</f>
        <v>0.6</v>
      </c>
      <c r="D43" s="29">
        <f>MEREC!D39</f>
        <v>0.8</v>
      </c>
      <c r="E43" s="29">
        <f>MEREC!E39</f>
        <v>0.8</v>
      </c>
      <c r="F43" s="29">
        <f>MEREC!F39</f>
        <v>0.6</v>
      </c>
      <c r="G43" s="29">
        <f>MEREC!G39</f>
        <v>0.8</v>
      </c>
      <c r="H43" s="29">
        <f>MEREC!H39</f>
        <v>0.8</v>
      </c>
      <c r="I43" s="29">
        <f>MEREC!I39</f>
        <v>0.5</v>
      </c>
      <c r="J43" s="29">
        <f>MEREC!J39</f>
        <v>0.8</v>
      </c>
      <c r="K43" s="29">
        <f>MEREC!K39</f>
        <v>0.6</v>
      </c>
    </row>
    <row r="44">
      <c r="A44" s="23" t="s">
        <v>25</v>
      </c>
      <c r="B44" s="29">
        <f>MEREC!B40</f>
        <v>0.6</v>
      </c>
      <c r="C44" s="29">
        <f>MEREC!C40</f>
        <v>0.6</v>
      </c>
      <c r="D44" s="29">
        <f>MEREC!D40</f>
        <v>0.6</v>
      </c>
      <c r="E44" s="29">
        <f>MEREC!E40</f>
        <v>0.6</v>
      </c>
      <c r="F44" s="29">
        <f>MEREC!F40</f>
        <v>0.8</v>
      </c>
      <c r="G44" s="29">
        <f>MEREC!G40</f>
        <v>0.8</v>
      </c>
      <c r="H44" s="29">
        <f>MEREC!H40</f>
        <v>0.8</v>
      </c>
      <c r="I44" s="29">
        <f>MEREC!I40</f>
        <v>0.25</v>
      </c>
      <c r="J44" s="29">
        <f>MEREC!J40</f>
        <v>0.6</v>
      </c>
      <c r="K44" s="29">
        <f>MEREC!K40</f>
        <v>0.8</v>
      </c>
    </row>
    <row r="45">
      <c r="A45" s="23" t="s">
        <v>26</v>
      </c>
      <c r="B45" s="29">
        <f>MEREC!B41</f>
        <v>0.6</v>
      </c>
      <c r="C45" s="29">
        <f>MEREC!C41</f>
        <v>0.6</v>
      </c>
      <c r="D45" s="29">
        <f>MEREC!D41</f>
        <v>0.8</v>
      </c>
      <c r="E45" s="29">
        <f>MEREC!E41</f>
        <v>0.6</v>
      </c>
      <c r="F45" s="29">
        <f>MEREC!F41</f>
        <v>0.6</v>
      </c>
      <c r="G45" s="29">
        <f>MEREC!G41</f>
        <v>0.6</v>
      </c>
      <c r="H45" s="29">
        <f>MEREC!H41</f>
        <v>0.8</v>
      </c>
      <c r="I45" s="29">
        <f>MEREC!I41</f>
        <v>0.25</v>
      </c>
      <c r="J45" s="29">
        <f>MEREC!J41</f>
        <v>0.8</v>
      </c>
      <c r="K45" s="29">
        <f>MEREC!K41</f>
        <v>0.8</v>
      </c>
    </row>
    <row r="46">
      <c r="A46" s="23" t="s">
        <v>27</v>
      </c>
      <c r="B46" s="29">
        <f>MEREC!B42</f>
        <v>0.6</v>
      </c>
      <c r="C46" s="29">
        <f>MEREC!C42</f>
        <v>0.8</v>
      </c>
      <c r="D46" s="29">
        <f>MEREC!D42</f>
        <v>0.8</v>
      </c>
      <c r="E46" s="29">
        <f>MEREC!E42</f>
        <v>0.8</v>
      </c>
      <c r="F46" s="29">
        <f>MEREC!F42</f>
        <v>0.6</v>
      </c>
      <c r="G46" s="29">
        <f>MEREC!G42</f>
        <v>0.6</v>
      </c>
      <c r="H46" s="29">
        <f>MEREC!H42</f>
        <v>0.8</v>
      </c>
      <c r="I46" s="29">
        <f>MEREC!I42</f>
        <v>0.75</v>
      </c>
      <c r="J46" s="29">
        <f>MEREC!J42</f>
        <v>0.8</v>
      </c>
      <c r="K46" s="29">
        <f>MEREC!K42</f>
        <v>1</v>
      </c>
    </row>
    <row r="47">
      <c r="A47" s="23" t="s">
        <v>28</v>
      </c>
      <c r="B47" s="29">
        <f>MEREC!B43</f>
        <v>0.6</v>
      </c>
      <c r="C47" s="29">
        <f>MEREC!C43</f>
        <v>0.6</v>
      </c>
      <c r="D47" s="29">
        <f>MEREC!D43</f>
        <v>0.8</v>
      </c>
      <c r="E47" s="29">
        <f>MEREC!E43</f>
        <v>0.6</v>
      </c>
      <c r="F47" s="29">
        <f>MEREC!F43</f>
        <v>0.8</v>
      </c>
      <c r="G47" s="29">
        <f>MEREC!G43</f>
        <v>0.6</v>
      </c>
      <c r="H47" s="29">
        <f>MEREC!H43</f>
        <v>0.8</v>
      </c>
      <c r="I47" s="29">
        <f>MEREC!I43</f>
        <v>0.5</v>
      </c>
      <c r="J47" s="29">
        <f>MEREC!J43</f>
        <v>0.6</v>
      </c>
      <c r="K47" s="29">
        <f>MEREC!K43</f>
        <v>0.6</v>
      </c>
    </row>
    <row r="48">
      <c r="A48" s="23" t="s">
        <v>29</v>
      </c>
      <c r="B48" s="29">
        <f>MEREC!B44</f>
        <v>0.6</v>
      </c>
      <c r="C48" s="29">
        <f>MEREC!C44</f>
        <v>0.4</v>
      </c>
      <c r="D48" s="29">
        <f>MEREC!D44</f>
        <v>0.6</v>
      </c>
      <c r="E48" s="29">
        <f>MEREC!E44</f>
        <v>0.6</v>
      </c>
      <c r="F48" s="29">
        <f>MEREC!F44</f>
        <v>0.6</v>
      </c>
      <c r="G48" s="29">
        <f>MEREC!G44</f>
        <v>0.8</v>
      </c>
      <c r="H48" s="29">
        <f>MEREC!H44</f>
        <v>0.6</v>
      </c>
      <c r="I48" s="29">
        <f>MEREC!I44</f>
        <v>0.25</v>
      </c>
      <c r="J48" s="29">
        <f>MEREC!J44</f>
        <v>0.6</v>
      </c>
      <c r="K48" s="29">
        <f>MEREC!K44</f>
        <v>0.6</v>
      </c>
    </row>
    <row r="49">
      <c r="A49" s="23" t="s">
        <v>30</v>
      </c>
      <c r="B49" s="29">
        <f>MEREC!B45</f>
        <v>0.6</v>
      </c>
      <c r="C49" s="29">
        <f>MEREC!C45</f>
        <v>0.6</v>
      </c>
      <c r="D49" s="29">
        <f>MEREC!D45</f>
        <v>0.4</v>
      </c>
      <c r="E49" s="29">
        <f>MEREC!E45</f>
        <v>0.6</v>
      </c>
      <c r="F49" s="29">
        <f>MEREC!F45</f>
        <v>0.6</v>
      </c>
      <c r="G49" s="29">
        <f>MEREC!G45</f>
        <v>0.6</v>
      </c>
      <c r="H49" s="29">
        <f>MEREC!H45</f>
        <v>0.6</v>
      </c>
      <c r="I49" s="29">
        <f>MEREC!I45</f>
        <v>0.5</v>
      </c>
      <c r="J49" s="29">
        <f>MEREC!J45</f>
        <v>0.6</v>
      </c>
      <c r="K49" s="29">
        <f>MEREC!K45</f>
        <v>0.6</v>
      </c>
    </row>
    <row r="50">
      <c r="A50" s="23" t="s">
        <v>77</v>
      </c>
      <c r="B50" s="40">
        <f t="shared" ref="B50:B51" si="3">B23/$B$23</f>
        <v>1</v>
      </c>
      <c r="C50" s="40">
        <f t="shared" ref="C50:C51" si="4">C23/$C$23</f>
        <v>1</v>
      </c>
      <c r="D50" s="40">
        <f t="shared" ref="D50:D51" si="5">D23/$D$23</f>
        <v>1</v>
      </c>
      <c r="E50" s="40">
        <f t="shared" ref="E50:E51" si="6">E23/$E$23</f>
        <v>1</v>
      </c>
      <c r="F50" s="40">
        <f t="shared" ref="F50:F51" si="7">F23/$F$23</f>
        <v>1</v>
      </c>
      <c r="G50" s="40">
        <f t="shared" ref="G50:G51" si="8">G23/$G$23</f>
        <v>1</v>
      </c>
      <c r="H50" s="40">
        <f t="shared" ref="H50:H51" si="9">H23/$H$23</f>
        <v>1</v>
      </c>
      <c r="I50" s="40">
        <f t="shared" ref="I50:I51" si="10">I23/$I$23</f>
        <v>1</v>
      </c>
      <c r="J50" s="40">
        <f t="shared" ref="J50:J51" si="11">J23/$J$23</f>
        <v>1</v>
      </c>
      <c r="K50" s="40">
        <f t="shared" ref="K50:K51" si="12">K23/$K$23</f>
        <v>1</v>
      </c>
    </row>
    <row r="51">
      <c r="A51" s="23" t="s">
        <v>87</v>
      </c>
      <c r="B51" s="41">
        <f t="shared" si="3"/>
        <v>0.6</v>
      </c>
      <c r="C51" s="41">
        <f t="shared" si="4"/>
        <v>0.4</v>
      </c>
      <c r="D51" s="41">
        <f t="shared" si="5"/>
        <v>0.4</v>
      </c>
      <c r="E51" s="41">
        <f t="shared" si="6"/>
        <v>0.6</v>
      </c>
      <c r="F51" s="41">
        <f t="shared" si="7"/>
        <v>0.6</v>
      </c>
      <c r="G51" s="41">
        <f t="shared" si="8"/>
        <v>0.6</v>
      </c>
      <c r="H51" s="41">
        <f t="shared" si="9"/>
        <v>0.6</v>
      </c>
      <c r="I51" s="41">
        <f t="shared" si="10"/>
        <v>0.25</v>
      </c>
      <c r="J51" s="41">
        <f t="shared" si="11"/>
        <v>0.6</v>
      </c>
      <c r="K51" s="41">
        <f t="shared" si="12"/>
        <v>0.6</v>
      </c>
    </row>
    <row r="52">
      <c r="A52" s="3"/>
    </row>
    <row r="53">
      <c r="A53" s="20" t="s">
        <v>89</v>
      </c>
      <c r="B53" s="21"/>
      <c r="C53" s="21"/>
      <c r="D53" s="21"/>
      <c r="E53" s="21"/>
      <c r="F53" s="21"/>
      <c r="G53" s="21"/>
      <c r="H53" s="21"/>
      <c r="I53" s="21"/>
      <c r="J53" s="21"/>
      <c r="K53" s="21"/>
      <c r="L53" s="20" t="s">
        <v>90</v>
      </c>
      <c r="M53" s="21"/>
    </row>
    <row r="54">
      <c r="A54" s="39" t="s">
        <v>0</v>
      </c>
      <c r="B54" s="39" t="s">
        <v>1</v>
      </c>
      <c r="C54" s="39" t="s">
        <v>2</v>
      </c>
      <c r="D54" s="39" t="s">
        <v>3</v>
      </c>
      <c r="E54" s="39" t="s">
        <v>4</v>
      </c>
      <c r="F54" s="39" t="s">
        <v>5</v>
      </c>
      <c r="G54" s="39" t="s">
        <v>6</v>
      </c>
      <c r="H54" s="39" t="s">
        <v>7</v>
      </c>
      <c r="I54" s="39" t="s">
        <v>8</v>
      </c>
      <c r="J54" s="39" t="s">
        <v>9</v>
      </c>
      <c r="K54" s="39" t="s">
        <v>10</v>
      </c>
      <c r="L54" s="39" t="s">
        <v>80</v>
      </c>
      <c r="M54" s="3" t="s">
        <v>91</v>
      </c>
      <c r="N54" s="3" t="s">
        <v>92</v>
      </c>
    </row>
    <row r="55">
      <c r="A55" s="18" t="s">
        <v>11</v>
      </c>
      <c r="B55" s="28">
        <f t="shared" ref="B55:B76" si="13">$B$29*B30</f>
        <v>0.07383636958</v>
      </c>
      <c r="C55" s="28">
        <f t="shared" ref="C55:C76" si="14">$C$29*C30</f>
        <v>0.07288900642</v>
      </c>
      <c r="D55" s="28">
        <f t="shared" ref="D55:D76" si="15">$D$29*D30</f>
        <v>0.1060673386</v>
      </c>
      <c r="E55" s="28">
        <f t="shared" ref="E55:E76" si="16">$E$29*E30</f>
        <v>0.08989261247</v>
      </c>
      <c r="F55" s="28">
        <f t="shared" ref="F55:F76" si="17">$F$29*F30</f>
        <v>0.1135260312</v>
      </c>
      <c r="G55" s="28">
        <f t="shared" ref="G55:G76" si="18">$G$29*G30</f>
        <v>0.09855186571</v>
      </c>
      <c r="H55" s="28">
        <f t="shared" ref="H55:H76" si="19">$H$29*H30</f>
        <v>0.08007078013</v>
      </c>
      <c r="I55" s="28">
        <f t="shared" ref="I55:I76" si="20">$I$29*I30</f>
        <v>0.1667190326</v>
      </c>
      <c r="J55" s="28">
        <f t="shared" ref="J55:J76" si="21">$J$29*J30</f>
        <v>0.08457627365</v>
      </c>
      <c r="K55" s="28">
        <f t="shared" ref="K55:K76" si="22">$K$29*K30</f>
        <v>0.07311802927</v>
      </c>
      <c r="L55" s="28">
        <f t="shared" ref="L55:L76" si="23">SUM(B55:K55)</f>
        <v>0.9592473396</v>
      </c>
      <c r="M55" s="42">
        <f t="shared" ref="M55:M74" si="24">SUM(B55:K55)</f>
        <v>0.9592473396</v>
      </c>
      <c r="N55" s="42">
        <f t="shared" ref="N55:N74" si="25">RANK(M55,$M$55:$M$74,0)</f>
        <v>2</v>
      </c>
    </row>
    <row r="56">
      <c r="A56" s="18" t="s">
        <v>12</v>
      </c>
      <c r="B56" s="28">
        <f t="shared" si="13"/>
        <v>0.07383636958</v>
      </c>
      <c r="C56" s="28">
        <f t="shared" si="14"/>
        <v>0.07288900642</v>
      </c>
      <c r="D56" s="28">
        <f t="shared" si="15"/>
        <v>0.0848538709</v>
      </c>
      <c r="E56" s="28">
        <f t="shared" si="16"/>
        <v>0.08989261247</v>
      </c>
      <c r="F56" s="28">
        <f t="shared" si="17"/>
        <v>0.09082082493</v>
      </c>
      <c r="G56" s="28">
        <f t="shared" si="18"/>
        <v>0.07884149257</v>
      </c>
      <c r="H56" s="28">
        <f t="shared" si="19"/>
        <v>0.08007078013</v>
      </c>
      <c r="I56" s="28">
        <f t="shared" si="20"/>
        <v>0.1667190326</v>
      </c>
      <c r="J56" s="28">
        <f t="shared" si="21"/>
        <v>0.08457627365</v>
      </c>
      <c r="K56" s="28">
        <f t="shared" si="22"/>
        <v>0.07311802927</v>
      </c>
      <c r="L56" s="28">
        <f t="shared" si="23"/>
        <v>0.8956182925</v>
      </c>
      <c r="M56" s="42">
        <f t="shared" si="24"/>
        <v>0.8956182925</v>
      </c>
      <c r="N56" s="42">
        <f t="shared" si="25"/>
        <v>4</v>
      </c>
    </row>
    <row r="57">
      <c r="A57" s="18" t="s">
        <v>13</v>
      </c>
      <c r="B57" s="28">
        <f t="shared" si="13"/>
        <v>0.05906909566</v>
      </c>
      <c r="C57" s="28">
        <f t="shared" si="14"/>
        <v>0.07288900642</v>
      </c>
      <c r="D57" s="28">
        <f t="shared" si="15"/>
        <v>0.0848538709</v>
      </c>
      <c r="E57" s="28">
        <f t="shared" si="16"/>
        <v>0.1123657656</v>
      </c>
      <c r="F57" s="28">
        <f t="shared" si="17"/>
        <v>0.09082082493</v>
      </c>
      <c r="G57" s="28">
        <f t="shared" si="18"/>
        <v>0.07884149257</v>
      </c>
      <c r="H57" s="28">
        <f t="shared" si="19"/>
        <v>0.08007078013</v>
      </c>
      <c r="I57" s="28">
        <f t="shared" si="20"/>
        <v>0.1250392744</v>
      </c>
      <c r="J57" s="28">
        <f t="shared" si="21"/>
        <v>0.08457627365</v>
      </c>
      <c r="K57" s="28">
        <f t="shared" si="22"/>
        <v>0.07311802927</v>
      </c>
      <c r="L57" s="28">
        <f t="shared" si="23"/>
        <v>0.8616444135</v>
      </c>
      <c r="M57" s="42">
        <f t="shared" si="24"/>
        <v>0.8616444135</v>
      </c>
      <c r="N57" s="42">
        <f t="shared" si="25"/>
        <v>6</v>
      </c>
    </row>
    <row r="58">
      <c r="A58" s="18" t="s">
        <v>14</v>
      </c>
      <c r="B58" s="28">
        <f t="shared" si="13"/>
        <v>0.07383636958</v>
      </c>
      <c r="C58" s="28">
        <f t="shared" si="14"/>
        <v>0.07288900642</v>
      </c>
      <c r="D58" s="28">
        <f t="shared" si="15"/>
        <v>0.1060673386</v>
      </c>
      <c r="E58" s="28">
        <f t="shared" si="16"/>
        <v>0.1123657656</v>
      </c>
      <c r="F58" s="28">
        <f t="shared" si="17"/>
        <v>0.1135260312</v>
      </c>
      <c r="G58" s="28">
        <f t="shared" si="18"/>
        <v>0.09855186571</v>
      </c>
      <c r="H58" s="28">
        <f t="shared" si="19"/>
        <v>0.08007078013</v>
      </c>
      <c r="I58" s="28">
        <f t="shared" si="20"/>
        <v>0.1667190326</v>
      </c>
      <c r="J58" s="28">
        <f t="shared" si="21"/>
        <v>0.08457627365</v>
      </c>
      <c r="K58" s="28">
        <f t="shared" si="22"/>
        <v>0.09139753658</v>
      </c>
      <c r="L58" s="28">
        <f t="shared" si="23"/>
        <v>1</v>
      </c>
      <c r="M58" s="42">
        <f t="shared" si="24"/>
        <v>1</v>
      </c>
      <c r="N58" s="42">
        <f t="shared" si="25"/>
        <v>1</v>
      </c>
    </row>
    <row r="59">
      <c r="A59" s="18" t="s">
        <v>15</v>
      </c>
      <c r="B59" s="28">
        <f t="shared" si="13"/>
        <v>0.05906909566</v>
      </c>
      <c r="C59" s="28">
        <f t="shared" si="14"/>
        <v>0.07288900642</v>
      </c>
      <c r="D59" s="28">
        <f t="shared" si="15"/>
        <v>0.0848538709</v>
      </c>
      <c r="E59" s="28">
        <f t="shared" si="16"/>
        <v>0.08989261247</v>
      </c>
      <c r="F59" s="28">
        <f t="shared" si="17"/>
        <v>0.09082082493</v>
      </c>
      <c r="G59" s="28">
        <f t="shared" si="18"/>
        <v>0.09855186571</v>
      </c>
      <c r="H59" s="28">
        <f t="shared" si="19"/>
        <v>0.08007078013</v>
      </c>
      <c r="I59" s="28">
        <f t="shared" si="20"/>
        <v>0.1250392744</v>
      </c>
      <c r="J59" s="28">
        <f t="shared" si="21"/>
        <v>0.08457627365</v>
      </c>
      <c r="K59" s="28">
        <f t="shared" si="22"/>
        <v>0.09139753658</v>
      </c>
      <c r="L59" s="28">
        <f t="shared" si="23"/>
        <v>0.8771611409</v>
      </c>
      <c r="M59" s="42">
        <f t="shared" si="24"/>
        <v>0.8771611409</v>
      </c>
      <c r="N59" s="42">
        <f t="shared" si="25"/>
        <v>5</v>
      </c>
    </row>
    <row r="60">
      <c r="A60" s="18" t="s">
        <v>16</v>
      </c>
      <c r="B60" s="28">
        <f t="shared" si="13"/>
        <v>0.05906909566</v>
      </c>
      <c r="C60" s="28">
        <f t="shared" si="14"/>
        <v>0.05831120514</v>
      </c>
      <c r="D60" s="28">
        <f t="shared" si="15"/>
        <v>0.0848538709</v>
      </c>
      <c r="E60" s="28">
        <f t="shared" si="16"/>
        <v>0.1123657656</v>
      </c>
      <c r="F60" s="28">
        <f t="shared" si="17"/>
        <v>0.0681156187</v>
      </c>
      <c r="G60" s="28">
        <f t="shared" si="18"/>
        <v>0.07884149257</v>
      </c>
      <c r="H60" s="28">
        <f t="shared" si="19"/>
        <v>0.0640566241</v>
      </c>
      <c r="I60" s="28">
        <f t="shared" si="20"/>
        <v>0.08335951628</v>
      </c>
      <c r="J60" s="28">
        <f t="shared" si="21"/>
        <v>0.06766101892</v>
      </c>
      <c r="K60" s="28">
        <f t="shared" si="22"/>
        <v>0.09139753658</v>
      </c>
      <c r="L60" s="28">
        <f t="shared" si="23"/>
        <v>0.7680317444</v>
      </c>
      <c r="M60" s="42">
        <f t="shared" si="24"/>
        <v>0.7680317444</v>
      </c>
      <c r="N60" s="42">
        <f t="shared" si="25"/>
        <v>9</v>
      </c>
    </row>
    <row r="61">
      <c r="A61" s="18" t="s">
        <v>17</v>
      </c>
      <c r="B61" s="28">
        <f t="shared" si="13"/>
        <v>0.05906909566</v>
      </c>
      <c r="C61" s="28">
        <f t="shared" si="14"/>
        <v>0.05831120514</v>
      </c>
      <c r="D61" s="28">
        <f t="shared" si="15"/>
        <v>0.0848538709</v>
      </c>
      <c r="E61" s="28">
        <f t="shared" si="16"/>
        <v>0.1123657656</v>
      </c>
      <c r="F61" s="28">
        <f t="shared" si="17"/>
        <v>0.09082082493</v>
      </c>
      <c r="G61" s="28">
        <f t="shared" si="18"/>
        <v>0.07884149257</v>
      </c>
      <c r="H61" s="28">
        <f t="shared" si="19"/>
        <v>0.0640566241</v>
      </c>
      <c r="I61" s="28">
        <f t="shared" si="20"/>
        <v>0.1250392744</v>
      </c>
      <c r="J61" s="28">
        <f t="shared" si="21"/>
        <v>0.08457627365</v>
      </c>
      <c r="K61" s="28">
        <f t="shared" si="22"/>
        <v>0.09139753658</v>
      </c>
      <c r="L61" s="28">
        <f t="shared" si="23"/>
        <v>0.8493319635</v>
      </c>
      <c r="M61" s="42">
        <f t="shared" si="24"/>
        <v>0.8493319635</v>
      </c>
      <c r="N61" s="42">
        <f t="shared" si="25"/>
        <v>7</v>
      </c>
    </row>
    <row r="62">
      <c r="A62" s="18" t="s">
        <v>18</v>
      </c>
      <c r="B62" s="28">
        <f t="shared" si="13"/>
        <v>0.05906909566</v>
      </c>
      <c r="C62" s="28">
        <f t="shared" si="14"/>
        <v>0.05831120514</v>
      </c>
      <c r="D62" s="28">
        <f t="shared" si="15"/>
        <v>0.0848538709</v>
      </c>
      <c r="E62" s="28">
        <f t="shared" si="16"/>
        <v>0.08989261247</v>
      </c>
      <c r="F62" s="28">
        <f t="shared" si="17"/>
        <v>0.0681156187</v>
      </c>
      <c r="G62" s="28">
        <f t="shared" si="18"/>
        <v>0.07884149257</v>
      </c>
      <c r="H62" s="28">
        <f t="shared" si="19"/>
        <v>0.0640566241</v>
      </c>
      <c r="I62" s="28">
        <f t="shared" si="20"/>
        <v>0.08335951628</v>
      </c>
      <c r="J62" s="28">
        <f t="shared" si="21"/>
        <v>0.06766101892</v>
      </c>
      <c r="K62" s="28">
        <f t="shared" si="22"/>
        <v>0.07311802927</v>
      </c>
      <c r="L62" s="28">
        <f t="shared" si="23"/>
        <v>0.727279084</v>
      </c>
      <c r="M62" s="42">
        <f t="shared" si="24"/>
        <v>0.727279084</v>
      </c>
      <c r="N62" s="42">
        <f t="shared" si="25"/>
        <v>11</v>
      </c>
    </row>
    <row r="63">
      <c r="A63" s="18" t="s">
        <v>19</v>
      </c>
      <c r="B63" s="28">
        <f t="shared" si="13"/>
        <v>0.05906909566</v>
      </c>
      <c r="C63" s="28">
        <f t="shared" si="14"/>
        <v>0.05831120514</v>
      </c>
      <c r="D63" s="28">
        <f t="shared" si="15"/>
        <v>0.0848538709</v>
      </c>
      <c r="E63" s="28">
        <f t="shared" si="16"/>
        <v>0.08989261247</v>
      </c>
      <c r="F63" s="28">
        <f t="shared" si="17"/>
        <v>0.1135260312</v>
      </c>
      <c r="G63" s="28">
        <f t="shared" si="18"/>
        <v>0.09855186571</v>
      </c>
      <c r="H63" s="28">
        <f t="shared" si="19"/>
        <v>0.08007078013</v>
      </c>
      <c r="I63" s="28">
        <f t="shared" si="20"/>
        <v>0.1667190326</v>
      </c>
      <c r="J63" s="28">
        <f t="shared" si="21"/>
        <v>0.06766101892</v>
      </c>
      <c r="K63" s="28">
        <f t="shared" si="22"/>
        <v>0.09139753658</v>
      </c>
      <c r="L63" s="28">
        <f t="shared" si="23"/>
        <v>0.9100530492</v>
      </c>
      <c r="M63" s="42">
        <f t="shared" si="24"/>
        <v>0.9100530492</v>
      </c>
      <c r="N63" s="42">
        <f t="shared" si="25"/>
        <v>3</v>
      </c>
    </row>
    <row r="64">
      <c r="A64" s="18" t="s">
        <v>20</v>
      </c>
      <c r="B64" s="28">
        <f t="shared" si="13"/>
        <v>0.05906909566</v>
      </c>
      <c r="C64" s="28">
        <f t="shared" si="14"/>
        <v>0.07288900642</v>
      </c>
      <c r="D64" s="28">
        <f t="shared" si="15"/>
        <v>0.0848538709</v>
      </c>
      <c r="E64" s="28">
        <f t="shared" si="16"/>
        <v>0.08989261247</v>
      </c>
      <c r="F64" s="28">
        <f t="shared" si="17"/>
        <v>0.0681156187</v>
      </c>
      <c r="G64" s="28">
        <f t="shared" si="18"/>
        <v>0.07884149257</v>
      </c>
      <c r="H64" s="28">
        <f t="shared" si="19"/>
        <v>0.0640566241</v>
      </c>
      <c r="I64" s="28">
        <f t="shared" si="20"/>
        <v>0.1250392744</v>
      </c>
      <c r="J64" s="28">
        <f t="shared" si="21"/>
        <v>0.06766101892</v>
      </c>
      <c r="K64" s="28">
        <f t="shared" si="22"/>
        <v>0.09139753658</v>
      </c>
      <c r="L64" s="28">
        <f t="shared" si="23"/>
        <v>0.8018161507</v>
      </c>
      <c r="M64" s="42">
        <f t="shared" si="24"/>
        <v>0.8018161507</v>
      </c>
      <c r="N64" s="42">
        <f t="shared" si="25"/>
        <v>8</v>
      </c>
    </row>
    <row r="65">
      <c r="A65" s="18" t="s">
        <v>21</v>
      </c>
      <c r="B65" s="28">
        <f t="shared" si="13"/>
        <v>0.05906909566</v>
      </c>
      <c r="C65" s="28">
        <f t="shared" si="14"/>
        <v>0.05831120514</v>
      </c>
      <c r="D65" s="28">
        <f t="shared" si="15"/>
        <v>0.06364040317</v>
      </c>
      <c r="E65" s="28">
        <f t="shared" si="16"/>
        <v>0.06741945935</v>
      </c>
      <c r="F65" s="28">
        <f t="shared" si="17"/>
        <v>0.09082082493</v>
      </c>
      <c r="G65" s="28">
        <f t="shared" si="18"/>
        <v>0.07884149257</v>
      </c>
      <c r="H65" s="28">
        <f t="shared" si="19"/>
        <v>0.0640566241</v>
      </c>
      <c r="I65" s="28">
        <f t="shared" si="20"/>
        <v>0.08335951628</v>
      </c>
      <c r="J65" s="28">
        <f t="shared" si="21"/>
        <v>0.06766101892</v>
      </c>
      <c r="K65" s="28">
        <f t="shared" si="22"/>
        <v>0.07311802927</v>
      </c>
      <c r="L65" s="28">
        <f t="shared" si="23"/>
        <v>0.7062976694</v>
      </c>
      <c r="M65" s="42">
        <f t="shared" si="24"/>
        <v>0.7062976694</v>
      </c>
      <c r="N65" s="42">
        <f t="shared" si="25"/>
        <v>13</v>
      </c>
    </row>
    <row r="66">
      <c r="A66" s="18" t="s">
        <v>22</v>
      </c>
      <c r="B66" s="28">
        <f t="shared" si="13"/>
        <v>0.05906909566</v>
      </c>
      <c r="C66" s="28">
        <f t="shared" si="14"/>
        <v>0.04373340385</v>
      </c>
      <c r="D66" s="28">
        <f t="shared" si="15"/>
        <v>0.0848538709</v>
      </c>
      <c r="E66" s="28">
        <f t="shared" si="16"/>
        <v>0.08989261247</v>
      </c>
      <c r="F66" s="28">
        <f t="shared" si="17"/>
        <v>0.0681156187</v>
      </c>
      <c r="G66" s="28">
        <f t="shared" si="18"/>
        <v>0.07884149257</v>
      </c>
      <c r="H66" s="28">
        <f t="shared" si="19"/>
        <v>0.0640566241</v>
      </c>
      <c r="I66" s="28">
        <f t="shared" si="20"/>
        <v>0.08335951628</v>
      </c>
      <c r="J66" s="28">
        <f t="shared" si="21"/>
        <v>0.06766101892</v>
      </c>
      <c r="K66" s="28">
        <f t="shared" si="22"/>
        <v>0.07311802927</v>
      </c>
      <c r="L66" s="28">
        <f t="shared" si="23"/>
        <v>0.7127012827</v>
      </c>
      <c r="M66" s="42">
        <f t="shared" si="24"/>
        <v>0.7127012827</v>
      </c>
      <c r="N66" s="42">
        <f t="shared" si="25"/>
        <v>12</v>
      </c>
    </row>
    <row r="67">
      <c r="A67" s="18" t="s">
        <v>23</v>
      </c>
      <c r="B67" s="28">
        <f t="shared" si="13"/>
        <v>0.05906909566</v>
      </c>
      <c r="C67" s="28">
        <f t="shared" si="14"/>
        <v>0.05831120514</v>
      </c>
      <c r="D67" s="28">
        <f t="shared" si="15"/>
        <v>0.0848538709</v>
      </c>
      <c r="E67" s="28">
        <f t="shared" si="16"/>
        <v>0.06741945935</v>
      </c>
      <c r="F67" s="28">
        <f t="shared" si="17"/>
        <v>0.0681156187</v>
      </c>
      <c r="G67" s="28">
        <f t="shared" si="18"/>
        <v>0.05913111943</v>
      </c>
      <c r="H67" s="28">
        <f t="shared" si="19"/>
        <v>0.0640566241</v>
      </c>
      <c r="I67" s="28">
        <f t="shared" si="20"/>
        <v>0.08335951628</v>
      </c>
      <c r="J67" s="28">
        <f t="shared" si="21"/>
        <v>0.08457627365</v>
      </c>
      <c r="K67" s="28">
        <f t="shared" si="22"/>
        <v>0.07311802927</v>
      </c>
      <c r="L67" s="28">
        <f t="shared" si="23"/>
        <v>0.7020108125</v>
      </c>
      <c r="M67" s="42">
        <f t="shared" si="24"/>
        <v>0.7020108125</v>
      </c>
      <c r="N67" s="42">
        <f t="shared" si="25"/>
        <v>14</v>
      </c>
    </row>
    <row r="68">
      <c r="A68" s="18" t="s">
        <v>24</v>
      </c>
      <c r="B68" s="28">
        <f t="shared" si="13"/>
        <v>0.05906909566</v>
      </c>
      <c r="C68" s="28">
        <f t="shared" si="14"/>
        <v>0.04373340385</v>
      </c>
      <c r="D68" s="28">
        <f t="shared" si="15"/>
        <v>0.0848538709</v>
      </c>
      <c r="E68" s="28">
        <f t="shared" si="16"/>
        <v>0.08989261247</v>
      </c>
      <c r="F68" s="28">
        <f t="shared" si="17"/>
        <v>0.0681156187</v>
      </c>
      <c r="G68" s="28">
        <f t="shared" si="18"/>
        <v>0.07884149257</v>
      </c>
      <c r="H68" s="28">
        <f t="shared" si="19"/>
        <v>0.0640566241</v>
      </c>
      <c r="I68" s="28">
        <f t="shared" si="20"/>
        <v>0.08335951628</v>
      </c>
      <c r="J68" s="28">
        <f t="shared" si="21"/>
        <v>0.06766101892</v>
      </c>
      <c r="K68" s="28">
        <f t="shared" si="22"/>
        <v>0.05483852195</v>
      </c>
      <c r="L68" s="28">
        <f t="shared" si="23"/>
        <v>0.6944217754</v>
      </c>
      <c r="M68" s="42">
        <f t="shared" si="24"/>
        <v>0.6944217754</v>
      </c>
      <c r="N68" s="42">
        <f t="shared" si="25"/>
        <v>15</v>
      </c>
    </row>
    <row r="69">
      <c r="A69" s="18" t="s">
        <v>25</v>
      </c>
      <c r="B69" s="28">
        <f t="shared" si="13"/>
        <v>0.04430182175</v>
      </c>
      <c r="C69" s="28">
        <f t="shared" si="14"/>
        <v>0.04373340385</v>
      </c>
      <c r="D69" s="28">
        <f t="shared" si="15"/>
        <v>0.06364040317</v>
      </c>
      <c r="E69" s="28">
        <f t="shared" si="16"/>
        <v>0.06741945935</v>
      </c>
      <c r="F69" s="28">
        <f t="shared" si="17"/>
        <v>0.09082082493</v>
      </c>
      <c r="G69" s="28">
        <f t="shared" si="18"/>
        <v>0.07884149257</v>
      </c>
      <c r="H69" s="28">
        <f t="shared" si="19"/>
        <v>0.0640566241</v>
      </c>
      <c r="I69" s="28">
        <f t="shared" si="20"/>
        <v>0.04167975814</v>
      </c>
      <c r="J69" s="28">
        <f t="shared" si="21"/>
        <v>0.05074576419</v>
      </c>
      <c r="K69" s="28">
        <f t="shared" si="22"/>
        <v>0.07311802927</v>
      </c>
      <c r="L69" s="28">
        <f t="shared" si="23"/>
        <v>0.6183575813</v>
      </c>
      <c r="M69" s="42">
        <f t="shared" si="24"/>
        <v>0.6183575813</v>
      </c>
      <c r="N69" s="42">
        <f t="shared" si="25"/>
        <v>17</v>
      </c>
    </row>
    <row r="70">
      <c r="A70" s="18" t="s">
        <v>26</v>
      </c>
      <c r="B70" s="28">
        <f t="shared" si="13"/>
        <v>0.04430182175</v>
      </c>
      <c r="C70" s="28">
        <f t="shared" si="14"/>
        <v>0.04373340385</v>
      </c>
      <c r="D70" s="28">
        <f t="shared" si="15"/>
        <v>0.0848538709</v>
      </c>
      <c r="E70" s="28">
        <f t="shared" si="16"/>
        <v>0.06741945935</v>
      </c>
      <c r="F70" s="28">
        <f t="shared" si="17"/>
        <v>0.0681156187</v>
      </c>
      <c r="G70" s="28">
        <f t="shared" si="18"/>
        <v>0.05913111943</v>
      </c>
      <c r="H70" s="28">
        <f t="shared" si="19"/>
        <v>0.0640566241</v>
      </c>
      <c r="I70" s="28">
        <f t="shared" si="20"/>
        <v>0.04167975814</v>
      </c>
      <c r="J70" s="28">
        <f t="shared" si="21"/>
        <v>0.06766101892</v>
      </c>
      <c r="K70" s="28">
        <f t="shared" si="22"/>
        <v>0.07311802927</v>
      </c>
      <c r="L70" s="28">
        <f t="shared" si="23"/>
        <v>0.6140707244</v>
      </c>
      <c r="M70" s="42">
        <f t="shared" si="24"/>
        <v>0.6140707244</v>
      </c>
      <c r="N70" s="42">
        <f t="shared" si="25"/>
        <v>18</v>
      </c>
    </row>
    <row r="71">
      <c r="A71" s="18" t="s">
        <v>27</v>
      </c>
      <c r="B71" s="28">
        <f t="shared" si="13"/>
        <v>0.04430182175</v>
      </c>
      <c r="C71" s="28">
        <f t="shared" si="14"/>
        <v>0.05831120514</v>
      </c>
      <c r="D71" s="28">
        <f t="shared" si="15"/>
        <v>0.0848538709</v>
      </c>
      <c r="E71" s="28">
        <f t="shared" si="16"/>
        <v>0.08989261247</v>
      </c>
      <c r="F71" s="28">
        <f t="shared" si="17"/>
        <v>0.0681156187</v>
      </c>
      <c r="G71" s="28">
        <f t="shared" si="18"/>
        <v>0.05913111943</v>
      </c>
      <c r="H71" s="28">
        <f t="shared" si="19"/>
        <v>0.0640566241</v>
      </c>
      <c r="I71" s="28">
        <f t="shared" si="20"/>
        <v>0.1250392744</v>
      </c>
      <c r="J71" s="28">
        <f t="shared" si="21"/>
        <v>0.06766101892</v>
      </c>
      <c r="K71" s="28">
        <f t="shared" si="22"/>
        <v>0.09139753658</v>
      </c>
      <c r="L71" s="28">
        <f t="shared" si="23"/>
        <v>0.7527607024</v>
      </c>
      <c r="M71" s="42">
        <f t="shared" si="24"/>
        <v>0.7527607024</v>
      </c>
      <c r="N71" s="42">
        <f t="shared" si="25"/>
        <v>10</v>
      </c>
    </row>
    <row r="72">
      <c r="A72" s="18" t="s">
        <v>28</v>
      </c>
      <c r="B72" s="28">
        <f t="shared" si="13"/>
        <v>0.04430182175</v>
      </c>
      <c r="C72" s="28">
        <f t="shared" si="14"/>
        <v>0.04373340385</v>
      </c>
      <c r="D72" s="28">
        <f t="shared" si="15"/>
        <v>0.0848538709</v>
      </c>
      <c r="E72" s="28">
        <f t="shared" si="16"/>
        <v>0.06741945935</v>
      </c>
      <c r="F72" s="28">
        <f t="shared" si="17"/>
        <v>0.09082082493</v>
      </c>
      <c r="G72" s="28">
        <f t="shared" si="18"/>
        <v>0.05913111943</v>
      </c>
      <c r="H72" s="28">
        <f t="shared" si="19"/>
        <v>0.0640566241</v>
      </c>
      <c r="I72" s="28">
        <f t="shared" si="20"/>
        <v>0.08335951628</v>
      </c>
      <c r="J72" s="28">
        <f t="shared" si="21"/>
        <v>0.05074576419</v>
      </c>
      <c r="K72" s="28">
        <f t="shared" si="22"/>
        <v>0.05483852195</v>
      </c>
      <c r="L72" s="28">
        <f t="shared" si="23"/>
        <v>0.6432609267</v>
      </c>
      <c r="M72" s="42">
        <f t="shared" si="24"/>
        <v>0.6432609267</v>
      </c>
      <c r="N72" s="42">
        <f t="shared" si="25"/>
        <v>16</v>
      </c>
    </row>
    <row r="73">
      <c r="A73" s="18" t="s">
        <v>29</v>
      </c>
      <c r="B73" s="28">
        <f t="shared" si="13"/>
        <v>0.04430182175</v>
      </c>
      <c r="C73" s="28">
        <f t="shared" si="14"/>
        <v>0.02915560257</v>
      </c>
      <c r="D73" s="28">
        <f t="shared" si="15"/>
        <v>0.06364040317</v>
      </c>
      <c r="E73" s="28">
        <f t="shared" si="16"/>
        <v>0.06741945935</v>
      </c>
      <c r="F73" s="28">
        <f t="shared" si="17"/>
        <v>0.0681156187</v>
      </c>
      <c r="G73" s="28">
        <f t="shared" si="18"/>
        <v>0.07884149257</v>
      </c>
      <c r="H73" s="28">
        <f t="shared" si="19"/>
        <v>0.04804246808</v>
      </c>
      <c r="I73" s="28">
        <f t="shared" si="20"/>
        <v>0.04167975814</v>
      </c>
      <c r="J73" s="28">
        <f t="shared" si="21"/>
        <v>0.05074576419</v>
      </c>
      <c r="K73" s="28">
        <f t="shared" si="22"/>
        <v>0.05483852195</v>
      </c>
      <c r="L73" s="28">
        <f t="shared" si="23"/>
        <v>0.5467809105</v>
      </c>
      <c r="M73" s="42">
        <f t="shared" si="24"/>
        <v>0.5467809105</v>
      </c>
      <c r="N73" s="42">
        <f t="shared" si="25"/>
        <v>20</v>
      </c>
    </row>
    <row r="74">
      <c r="A74" s="18" t="s">
        <v>30</v>
      </c>
      <c r="B74" s="28">
        <f t="shared" si="13"/>
        <v>0.04430182175</v>
      </c>
      <c r="C74" s="28">
        <f t="shared" si="14"/>
        <v>0.04373340385</v>
      </c>
      <c r="D74" s="28">
        <f t="shared" si="15"/>
        <v>0.04242693545</v>
      </c>
      <c r="E74" s="28">
        <f t="shared" si="16"/>
        <v>0.06741945935</v>
      </c>
      <c r="F74" s="28">
        <f t="shared" si="17"/>
        <v>0.0681156187</v>
      </c>
      <c r="G74" s="28">
        <f t="shared" si="18"/>
        <v>0.05913111943</v>
      </c>
      <c r="H74" s="28">
        <f t="shared" si="19"/>
        <v>0.04804246808</v>
      </c>
      <c r="I74" s="28">
        <f t="shared" si="20"/>
        <v>0.08335951628</v>
      </c>
      <c r="J74" s="28">
        <f t="shared" si="21"/>
        <v>0.05074576419</v>
      </c>
      <c r="K74" s="28">
        <f t="shared" si="22"/>
        <v>0.05483852195</v>
      </c>
      <c r="L74" s="28">
        <f t="shared" si="23"/>
        <v>0.562114629</v>
      </c>
      <c r="M74" s="42">
        <f t="shared" si="24"/>
        <v>0.562114629</v>
      </c>
      <c r="N74" s="42">
        <f t="shared" si="25"/>
        <v>19</v>
      </c>
    </row>
    <row r="75">
      <c r="A75" s="22" t="s">
        <v>77</v>
      </c>
      <c r="B75" s="43">
        <f t="shared" si="13"/>
        <v>0.07383636958</v>
      </c>
      <c r="C75" s="43">
        <f t="shared" si="14"/>
        <v>0.07288900642</v>
      </c>
      <c r="D75" s="43">
        <f t="shared" si="15"/>
        <v>0.1060673386</v>
      </c>
      <c r="E75" s="43">
        <f t="shared" si="16"/>
        <v>0.1123657656</v>
      </c>
      <c r="F75" s="43">
        <f t="shared" si="17"/>
        <v>0.1135260312</v>
      </c>
      <c r="G75" s="43">
        <f t="shared" si="18"/>
        <v>0.09855186571</v>
      </c>
      <c r="H75" s="43">
        <f t="shared" si="19"/>
        <v>0.08007078013</v>
      </c>
      <c r="I75" s="43">
        <f t="shared" si="20"/>
        <v>0.1667190326</v>
      </c>
      <c r="J75" s="43">
        <f t="shared" si="21"/>
        <v>0.08457627365</v>
      </c>
      <c r="K75" s="43">
        <f t="shared" si="22"/>
        <v>0.09139753658</v>
      </c>
      <c r="L75" s="43">
        <f t="shared" si="23"/>
        <v>1</v>
      </c>
    </row>
    <row r="76">
      <c r="A76" s="19" t="s">
        <v>87</v>
      </c>
      <c r="B76" s="9">
        <f t="shared" si="13"/>
        <v>0.04430182175</v>
      </c>
      <c r="C76" s="9">
        <f t="shared" si="14"/>
        <v>0.02915560257</v>
      </c>
      <c r="D76" s="9">
        <f t="shared" si="15"/>
        <v>0.04242693545</v>
      </c>
      <c r="E76" s="9">
        <f t="shared" si="16"/>
        <v>0.06741945935</v>
      </c>
      <c r="F76" s="9">
        <f t="shared" si="17"/>
        <v>0.0681156187</v>
      </c>
      <c r="G76" s="9">
        <f t="shared" si="18"/>
        <v>0.05913111943</v>
      </c>
      <c r="H76" s="9">
        <f t="shared" si="19"/>
        <v>0.04804246808</v>
      </c>
      <c r="I76" s="9">
        <f t="shared" si="20"/>
        <v>0.04167975814</v>
      </c>
      <c r="J76" s="9">
        <f t="shared" si="21"/>
        <v>0.05074576419</v>
      </c>
      <c r="K76" s="9">
        <f t="shared" si="22"/>
        <v>0.05483852195</v>
      </c>
      <c r="L76" s="9">
        <f t="shared" si="23"/>
        <v>0.5058570696</v>
      </c>
    </row>
    <row r="78">
      <c r="A78" s="21"/>
      <c r="B78" s="20" t="s">
        <v>93</v>
      </c>
      <c r="C78" s="20" t="s">
        <v>94</v>
      </c>
      <c r="D78" s="20" t="s">
        <v>95</v>
      </c>
      <c r="E78" s="20" t="s">
        <v>96</v>
      </c>
      <c r="F78" s="20" t="s">
        <v>97</v>
      </c>
      <c r="G78" s="20" t="s">
        <v>98</v>
      </c>
      <c r="H78" s="20" t="s">
        <v>99</v>
      </c>
      <c r="I78" s="21"/>
      <c r="J78" s="21"/>
    </row>
    <row r="79">
      <c r="A79" s="22" t="s">
        <v>11</v>
      </c>
      <c r="B79" s="44">
        <f t="shared" ref="B79:B98" si="26">L55/$L$76</f>
        <v>1.896281375</v>
      </c>
      <c r="C79" s="44">
        <f t="shared" ref="C79:C98" si="27">L55/$L$75</f>
        <v>0.9592473396</v>
      </c>
      <c r="D79" s="45">
        <f t="shared" ref="D79:D98" si="28">C79/(C79+B79)</f>
        <v>0.3359263504</v>
      </c>
      <c r="E79" s="44">
        <f t="shared" ref="E79:E98" si="29">B79/(C79+B79)</f>
        <v>0.6640736496</v>
      </c>
      <c r="F79" s="44">
        <f t="shared" ref="F79:F98" si="30">(C79+B79)/(1+((1-E79)/E79)+((1-D79)/D79))</f>
        <v>0.8199180719</v>
      </c>
      <c r="G79" s="46">
        <f t="shared" ref="G79:G98" si="31">RANK(F79,$F$79:$F$98,0)</f>
        <v>2</v>
      </c>
      <c r="H79" s="47" t="str">
        <f t="array" ref="H79:H98">SORT(A79:A98,G79:G98,1)</f>
        <v>SARITUA MARPAUNG</v>
      </c>
    </row>
    <row r="80">
      <c r="A80" s="22" t="s">
        <v>12</v>
      </c>
      <c r="B80" s="44">
        <f t="shared" si="26"/>
        <v>1.77049674</v>
      </c>
      <c r="C80" s="44">
        <f t="shared" si="27"/>
        <v>0.8956182925</v>
      </c>
      <c r="D80" s="45">
        <f t="shared" si="28"/>
        <v>0.3359263504</v>
      </c>
      <c r="E80" s="44">
        <f t="shared" si="29"/>
        <v>0.6640736496</v>
      </c>
      <c r="F80" s="44">
        <f t="shared" si="30"/>
        <v>0.7655310505</v>
      </c>
      <c r="G80" s="46">
        <f t="shared" si="31"/>
        <v>4</v>
      </c>
      <c r="H80" s="47" t="s">
        <v>11</v>
      </c>
    </row>
    <row r="81">
      <c r="A81" s="22" t="s">
        <v>13</v>
      </c>
      <c r="B81" s="44">
        <f t="shared" si="26"/>
        <v>1.703335715</v>
      </c>
      <c r="C81" s="44">
        <f t="shared" si="27"/>
        <v>0.8616444135</v>
      </c>
      <c r="D81" s="45">
        <f t="shared" si="28"/>
        <v>0.3359263504</v>
      </c>
      <c r="E81" s="44">
        <f t="shared" si="29"/>
        <v>0.6640736496</v>
      </c>
      <c r="F81" s="44">
        <f t="shared" si="30"/>
        <v>0.7364918276</v>
      </c>
      <c r="G81" s="46">
        <f t="shared" si="31"/>
        <v>6</v>
      </c>
      <c r="H81" s="47" t="s">
        <v>19</v>
      </c>
    </row>
    <row r="82">
      <c r="A82" s="22" t="s">
        <v>14</v>
      </c>
      <c r="B82" s="44">
        <f t="shared" si="26"/>
        <v>1.976842986</v>
      </c>
      <c r="C82" s="44">
        <f t="shared" si="27"/>
        <v>1</v>
      </c>
      <c r="D82" s="45">
        <f t="shared" si="28"/>
        <v>0.3359263504</v>
      </c>
      <c r="E82" s="44">
        <f t="shared" si="29"/>
        <v>0.6640736496</v>
      </c>
      <c r="F82" s="44">
        <f t="shared" si="30"/>
        <v>0.8547514683</v>
      </c>
      <c r="G82" s="46">
        <f t="shared" si="31"/>
        <v>1</v>
      </c>
      <c r="H82" s="47" t="s">
        <v>12</v>
      </c>
    </row>
    <row r="83">
      <c r="A83" s="22" t="s">
        <v>15</v>
      </c>
      <c r="B83" s="44">
        <f t="shared" si="26"/>
        <v>1.734009849</v>
      </c>
      <c r="C83" s="44">
        <f t="shared" si="27"/>
        <v>0.8771611409</v>
      </c>
      <c r="D83" s="45">
        <f t="shared" si="28"/>
        <v>0.3359263504</v>
      </c>
      <c r="E83" s="44">
        <f t="shared" si="29"/>
        <v>0.6640736496</v>
      </c>
      <c r="F83" s="44">
        <f t="shared" si="30"/>
        <v>0.7497547731</v>
      </c>
      <c r="G83" s="46">
        <f t="shared" si="31"/>
        <v>5</v>
      </c>
      <c r="H83" s="47" t="s">
        <v>15</v>
      </c>
    </row>
    <row r="84">
      <c r="A84" s="22" t="s">
        <v>16</v>
      </c>
      <c r="B84" s="44">
        <f t="shared" si="26"/>
        <v>1.518278167</v>
      </c>
      <c r="C84" s="44">
        <f t="shared" si="27"/>
        <v>0.7680317444</v>
      </c>
      <c r="D84" s="45">
        <f t="shared" si="28"/>
        <v>0.3359263504</v>
      </c>
      <c r="E84" s="44">
        <f t="shared" si="29"/>
        <v>0.6640736496</v>
      </c>
      <c r="F84" s="44">
        <f t="shared" si="30"/>
        <v>0.6564762612</v>
      </c>
      <c r="G84" s="46">
        <f t="shared" si="31"/>
        <v>9</v>
      </c>
      <c r="H84" s="47" t="s">
        <v>13</v>
      </c>
    </row>
    <row r="85">
      <c r="A85" s="22" t="s">
        <v>17</v>
      </c>
      <c r="B85" s="44">
        <f t="shared" si="26"/>
        <v>1.678995935</v>
      </c>
      <c r="C85" s="44">
        <f t="shared" si="27"/>
        <v>0.8493319635</v>
      </c>
      <c r="D85" s="45">
        <f t="shared" si="28"/>
        <v>0.3359263504</v>
      </c>
      <c r="E85" s="44">
        <f t="shared" si="29"/>
        <v>0.6640736496</v>
      </c>
      <c r="F85" s="44">
        <f t="shared" si="30"/>
        <v>0.7259677429</v>
      </c>
      <c r="G85" s="46">
        <f t="shared" si="31"/>
        <v>7</v>
      </c>
      <c r="H85" s="47" t="s">
        <v>17</v>
      </c>
    </row>
    <row r="86">
      <c r="A86" s="22" t="s">
        <v>18</v>
      </c>
      <c r="B86" s="44">
        <f t="shared" si="26"/>
        <v>1.437716556</v>
      </c>
      <c r="C86" s="44">
        <f t="shared" si="27"/>
        <v>0.727279084</v>
      </c>
      <c r="D86" s="45">
        <f t="shared" si="28"/>
        <v>0.3359263504</v>
      </c>
      <c r="E86" s="44">
        <f t="shared" si="29"/>
        <v>0.6640736496</v>
      </c>
      <c r="F86" s="44">
        <f t="shared" si="30"/>
        <v>0.6216428649</v>
      </c>
      <c r="G86" s="46">
        <f t="shared" si="31"/>
        <v>11</v>
      </c>
      <c r="H86" s="47" t="s">
        <v>20</v>
      </c>
    </row>
    <row r="87">
      <c r="A87" s="22" t="s">
        <v>19</v>
      </c>
      <c r="B87" s="44">
        <f t="shared" si="26"/>
        <v>1.799031987</v>
      </c>
      <c r="C87" s="44">
        <f t="shared" si="27"/>
        <v>0.9100530492</v>
      </c>
      <c r="D87" s="45">
        <f t="shared" si="28"/>
        <v>0.3359263504</v>
      </c>
      <c r="E87" s="44">
        <f t="shared" si="29"/>
        <v>0.6640736496</v>
      </c>
      <c r="F87" s="44">
        <f t="shared" si="30"/>
        <v>0.77786918</v>
      </c>
      <c r="G87" s="46">
        <f t="shared" si="31"/>
        <v>3</v>
      </c>
      <c r="H87" s="47" t="s">
        <v>16</v>
      </c>
    </row>
    <row r="88">
      <c r="A88" s="22" t="s">
        <v>20</v>
      </c>
      <c r="B88" s="44">
        <f t="shared" si="26"/>
        <v>1.585064634</v>
      </c>
      <c r="C88" s="44">
        <f t="shared" si="27"/>
        <v>0.8018161507</v>
      </c>
      <c r="D88" s="45">
        <f t="shared" si="28"/>
        <v>0.3359263504</v>
      </c>
      <c r="E88" s="44">
        <f t="shared" si="29"/>
        <v>0.6640736496</v>
      </c>
      <c r="F88" s="44">
        <f t="shared" si="30"/>
        <v>0.6853535321</v>
      </c>
      <c r="G88" s="46">
        <f t="shared" si="31"/>
        <v>8</v>
      </c>
      <c r="H88" s="47" t="s">
        <v>27</v>
      </c>
    </row>
    <row r="89">
      <c r="A89" s="22" t="s">
        <v>21</v>
      </c>
      <c r="B89" s="44">
        <f t="shared" si="26"/>
        <v>1.396239594</v>
      </c>
      <c r="C89" s="44">
        <f t="shared" si="27"/>
        <v>0.7062976694</v>
      </c>
      <c r="D89" s="45">
        <f t="shared" si="28"/>
        <v>0.3359263504</v>
      </c>
      <c r="E89" s="44">
        <f t="shared" si="29"/>
        <v>0.6640736496</v>
      </c>
      <c r="F89" s="44">
        <f t="shared" si="30"/>
        <v>0.6037089699</v>
      </c>
      <c r="G89" s="46">
        <f t="shared" si="31"/>
        <v>13</v>
      </c>
      <c r="H89" s="47" t="s">
        <v>18</v>
      </c>
    </row>
    <row r="90">
      <c r="A90" s="22" t="s">
        <v>22</v>
      </c>
      <c r="B90" s="44">
        <f t="shared" si="26"/>
        <v>1.408898532</v>
      </c>
      <c r="C90" s="44">
        <f t="shared" si="27"/>
        <v>0.7127012827</v>
      </c>
      <c r="D90" s="45">
        <f t="shared" si="28"/>
        <v>0.3359263504</v>
      </c>
      <c r="E90" s="44">
        <f t="shared" si="29"/>
        <v>0.6640736496</v>
      </c>
      <c r="F90" s="44">
        <f t="shared" si="30"/>
        <v>0.6091824678</v>
      </c>
      <c r="G90" s="46">
        <f t="shared" si="31"/>
        <v>12</v>
      </c>
      <c r="H90" s="47" t="s">
        <v>22</v>
      </c>
    </row>
    <row r="91">
      <c r="A91" s="22" t="s">
        <v>23</v>
      </c>
      <c r="B91" s="44">
        <f t="shared" si="26"/>
        <v>1.387765151</v>
      </c>
      <c r="C91" s="44">
        <f t="shared" si="27"/>
        <v>0.7020108125</v>
      </c>
      <c r="D91" s="45">
        <f t="shared" si="28"/>
        <v>0.3359263504</v>
      </c>
      <c r="E91" s="44">
        <f t="shared" si="29"/>
        <v>0.6640736496</v>
      </c>
      <c r="F91" s="44">
        <f t="shared" si="30"/>
        <v>0.6000447727</v>
      </c>
      <c r="G91" s="46">
        <f t="shared" si="31"/>
        <v>14</v>
      </c>
      <c r="H91" s="47" t="s">
        <v>21</v>
      </c>
    </row>
    <row r="92">
      <c r="A92" s="22" t="s">
        <v>24</v>
      </c>
      <c r="B92" s="44">
        <f t="shared" si="26"/>
        <v>1.372762816</v>
      </c>
      <c r="C92" s="44">
        <f t="shared" si="27"/>
        <v>0.6944217754</v>
      </c>
      <c r="D92" s="45">
        <f t="shared" si="28"/>
        <v>0.3359263504</v>
      </c>
      <c r="E92" s="44">
        <f t="shared" si="29"/>
        <v>0.6640736496</v>
      </c>
      <c r="F92" s="44">
        <f t="shared" si="30"/>
        <v>0.5935580321</v>
      </c>
      <c r="G92" s="46">
        <f t="shared" si="31"/>
        <v>15</v>
      </c>
      <c r="H92" s="47" t="s">
        <v>23</v>
      </c>
    </row>
    <row r="93">
      <c r="A93" s="22" t="s">
        <v>25</v>
      </c>
      <c r="B93" s="44">
        <f t="shared" si="26"/>
        <v>1.222395848</v>
      </c>
      <c r="C93" s="44">
        <f t="shared" si="27"/>
        <v>0.6183575813</v>
      </c>
      <c r="D93" s="45">
        <f t="shared" si="28"/>
        <v>0.3359263504</v>
      </c>
      <c r="E93" s="44">
        <f t="shared" si="29"/>
        <v>0.6640736496</v>
      </c>
      <c r="F93" s="44">
        <f t="shared" si="30"/>
        <v>0.5285420505</v>
      </c>
      <c r="G93" s="46">
        <f t="shared" si="31"/>
        <v>17</v>
      </c>
      <c r="H93" s="47" t="s">
        <v>24</v>
      </c>
    </row>
    <row r="94">
      <c r="A94" s="22" t="s">
        <v>26</v>
      </c>
      <c r="B94" s="44">
        <f t="shared" si="26"/>
        <v>1.213921404</v>
      </c>
      <c r="C94" s="44">
        <f t="shared" si="27"/>
        <v>0.6140707244</v>
      </c>
      <c r="D94" s="45">
        <f t="shared" si="28"/>
        <v>0.3359263504</v>
      </c>
      <c r="E94" s="44">
        <f t="shared" si="29"/>
        <v>0.6640736496</v>
      </c>
      <c r="F94" s="44">
        <f t="shared" si="30"/>
        <v>0.5248778533</v>
      </c>
      <c r="G94" s="46">
        <f t="shared" si="31"/>
        <v>18</v>
      </c>
      <c r="H94" s="47" t="s">
        <v>28</v>
      </c>
    </row>
    <row r="95">
      <c r="A95" s="22" t="s">
        <v>27</v>
      </c>
      <c r="B95" s="44">
        <f t="shared" si="26"/>
        <v>1.488089715</v>
      </c>
      <c r="C95" s="44">
        <f t="shared" si="27"/>
        <v>0.7527607024</v>
      </c>
      <c r="D95" s="45">
        <f t="shared" si="28"/>
        <v>0.3359263504</v>
      </c>
      <c r="E95" s="44">
        <f t="shared" si="29"/>
        <v>0.6640736496</v>
      </c>
      <c r="F95" s="44">
        <f t="shared" si="30"/>
        <v>0.6434233156</v>
      </c>
      <c r="G95" s="46">
        <f t="shared" si="31"/>
        <v>10</v>
      </c>
      <c r="H95" s="47" t="s">
        <v>25</v>
      </c>
    </row>
    <row r="96">
      <c r="A96" s="22" t="s">
        <v>28</v>
      </c>
      <c r="B96" s="44">
        <f t="shared" si="26"/>
        <v>1.271625851</v>
      </c>
      <c r="C96" s="44">
        <f t="shared" si="27"/>
        <v>0.6432609267</v>
      </c>
      <c r="D96" s="45">
        <f t="shared" si="28"/>
        <v>0.3359263504</v>
      </c>
      <c r="E96" s="44">
        <f t="shared" si="29"/>
        <v>0.6640736496</v>
      </c>
      <c r="F96" s="44">
        <f t="shared" si="30"/>
        <v>0.5498282216</v>
      </c>
      <c r="G96" s="46">
        <f t="shared" si="31"/>
        <v>16</v>
      </c>
      <c r="H96" s="47" t="s">
        <v>26</v>
      </c>
    </row>
    <row r="97">
      <c r="A97" s="22" t="s">
        <v>29</v>
      </c>
      <c r="B97" s="44">
        <f t="shared" si="26"/>
        <v>1.080900008</v>
      </c>
      <c r="C97" s="44">
        <f t="shared" si="27"/>
        <v>0.5467809105</v>
      </c>
      <c r="D97" s="45">
        <f t="shared" si="28"/>
        <v>0.3359263504</v>
      </c>
      <c r="E97" s="44">
        <f t="shared" si="29"/>
        <v>0.6640736496</v>
      </c>
      <c r="F97" s="44">
        <f t="shared" si="30"/>
        <v>0.467361786</v>
      </c>
      <c r="G97" s="46">
        <f t="shared" si="31"/>
        <v>20</v>
      </c>
      <c r="H97" s="47" t="s">
        <v>30</v>
      </c>
    </row>
    <row r="98">
      <c r="A98" s="22" t="s">
        <v>30</v>
      </c>
      <c r="B98" s="44">
        <f t="shared" si="26"/>
        <v>1.111212362</v>
      </c>
      <c r="C98" s="44">
        <f t="shared" si="27"/>
        <v>0.562114629</v>
      </c>
      <c r="D98" s="45">
        <f t="shared" si="28"/>
        <v>0.3359263504</v>
      </c>
      <c r="E98" s="44">
        <f t="shared" si="29"/>
        <v>0.6640736496</v>
      </c>
      <c r="F98" s="44">
        <f t="shared" si="30"/>
        <v>0.4804683045</v>
      </c>
      <c r="G98" s="46">
        <f t="shared" si="31"/>
        <v>19</v>
      </c>
      <c r="H98" s="47" t="s">
        <v>29</v>
      </c>
    </row>
    <row r="101">
      <c r="A101" s="48" t="s">
        <v>100</v>
      </c>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50" t="str">
        <f t="shared" ref="A102:K102" si="32">A27</f>
        <v>NORMALISASI BOBOT</v>
      </c>
      <c r="B102" s="42" t="str">
        <f t="shared" si="32"/>
        <v/>
      </c>
      <c r="C102" s="42" t="str">
        <f t="shared" si="32"/>
        <v/>
      </c>
      <c r="D102" s="42" t="str">
        <f t="shared" si="32"/>
        <v/>
      </c>
      <c r="E102" s="42" t="str">
        <f t="shared" si="32"/>
        <v/>
      </c>
      <c r="F102" s="42" t="str">
        <f t="shared" si="32"/>
        <v/>
      </c>
      <c r="G102" s="42" t="str">
        <f t="shared" si="32"/>
        <v/>
      </c>
      <c r="H102" s="42" t="str">
        <f t="shared" si="32"/>
        <v/>
      </c>
      <c r="I102" s="42" t="str">
        <f t="shared" si="32"/>
        <v/>
      </c>
      <c r="J102" s="42" t="str">
        <f t="shared" si="32"/>
        <v/>
      </c>
      <c r="K102" s="42" t="str">
        <f t="shared" si="32"/>
        <v/>
      </c>
    </row>
    <row r="103">
      <c r="A103" s="46" t="str">
        <f t="shared" ref="A103:K103" si="33">A28</f>
        <v>ALTERNATIF</v>
      </c>
      <c r="B103" s="46" t="str">
        <f t="shared" si="33"/>
        <v>C1</v>
      </c>
      <c r="C103" s="46" t="str">
        <f t="shared" si="33"/>
        <v>C2</v>
      </c>
      <c r="D103" s="46" t="str">
        <f t="shared" si="33"/>
        <v>C3</v>
      </c>
      <c r="E103" s="46" t="str">
        <f t="shared" si="33"/>
        <v>C4</v>
      </c>
      <c r="F103" s="46" t="str">
        <f t="shared" si="33"/>
        <v>C5</v>
      </c>
      <c r="G103" s="46" t="str">
        <f t="shared" si="33"/>
        <v>C6</v>
      </c>
      <c r="H103" s="46" t="str">
        <f t="shared" si="33"/>
        <v>C7</v>
      </c>
      <c r="I103" s="46" t="str">
        <f t="shared" si="33"/>
        <v>C8</v>
      </c>
      <c r="J103" s="46" t="str">
        <f t="shared" si="33"/>
        <v>C9</v>
      </c>
      <c r="K103" s="46" t="str">
        <f t="shared" si="33"/>
        <v>C10</v>
      </c>
    </row>
    <row r="104">
      <c r="A104" s="47" t="str">
        <f t="shared" ref="A104:A127" si="34">A29</f>
        <v>BOBOT</v>
      </c>
      <c r="B104" s="47">
        <f>FUCOM!L89</f>
        <v>0.085</v>
      </c>
      <c r="C104" s="47">
        <f>FUCOM!L90</f>
        <v>0.1266666667</v>
      </c>
      <c r="D104" s="47">
        <f>FUCOM!L91</f>
        <v>0.1233333333</v>
      </c>
      <c r="E104" s="47">
        <f>FUCOM!L92</f>
        <v>0.085</v>
      </c>
      <c r="F104" s="47">
        <f>FUCOM!L93</f>
        <v>0.065</v>
      </c>
      <c r="G104" s="47">
        <f>FUCOM!L94</f>
        <v>0.095</v>
      </c>
      <c r="H104" s="51">
        <f>FUCOM!L95</f>
        <v>0.12</v>
      </c>
      <c r="I104" s="47">
        <f>FUCOM!L96</f>
        <v>0.1</v>
      </c>
      <c r="J104" s="47">
        <f>FUCOM!L97</f>
        <v>0.115</v>
      </c>
      <c r="K104" s="47">
        <f>FUCOM!L98</f>
        <v>0.085</v>
      </c>
    </row>
    <row r="105">
      <c r="A105" s="44" t="str">
        <f t="shared" si="34"/>
        <v>AMANDA NABABAN</v>
      </c>
      <c r="B105" s="42">
        <f t="shared" ref="B105:K105" si="35">B30</f>
        <v>1</v>
      </c>
      <c r="C105" s="42">
        <f t="shared" si="35"/>
        <v>1</v>
      </c>
      <c r="D105" s="42">
        <f t="shared" si="35"/>
        <v>1</v>
      </c>
      <c r="E105" s="42">
        <f t="shared" si="35"/>
        <v>0.8</v>
      </c>
      <c r="F105" s="42">
        <f t="shared" si="35"/>
        <v>1</v>
      </c>
      <c r="G105" s="42">
        <f t="shared" si="35"/>
        <v>1</v>
      </c>
      <c r="H105" s="42">
        <f t="shared" si="35"/>
        <v>1</v>
      </c>
      <c r="I105" s="42">
        <f t="shared" si="35"/>
        <v>1</v>
      </c>
      <c r="J105" s="42">
        <f t="shared" si="35"/>
        <v>1</v>
      </c>
      <c r="K105" s="42">
        <f t="shared" si="35"/>
        <v>0.8</v>
      </c>
    </row>
    <row r="106">
      <c r="A106" s="44" t="str">
        <f t="shared" si="34"/>
        <v>ARNITA NABABAN</v>
      </c>
      <c r="B106" s="42">
        <f t="shared" ref="B106:K106" si="36">B31</f>
        <v>1</v>
      </c>
      <c r="C106" s="42">
        <f t="shared" si="36"/>
        <v>1</v>
      </c>
      <c r="D106" s="42">
        <f t="shared" si="36"/>
        <v>0.8</v>
      </c>
      <c r="E106" s="42">
        <f t="shared" si="36"/>
        <v>0.8</v>
      </c>
      <c r="F106" s="42">
        <f t="shared" si="36"/>
        <v>0.8</v>
      </c>
      <c r="G106" s="42">
        <f t="shared" si="36"/>
        <v>0.8</v>
      </c>
      <c r="H106" s="42">
        <f t="shared" si="36"/>
        <v>1</v>
      </c>
      <c r="I106" s="42">
        <f t="shared" si="36"/>
        <v>1</v>
      </c>
      <c r="J106" s="42">
        <f t="shared" si="36"/>
        <v>1</v>
      </c>
      <c r="K106" s="42">
        <f t="shared" si="36"/>
        <v>0.8</v>
      </c>
    </row>
    <row r="107">
      <c r="A107" s="44" t="str">
        <f t="shared" si="34"/>
        <v>MORES NABABAN</v>
      </c>
      <c r="B107" s="42">
        <f t="shared" ref="B107:K107" si="37">B32</f>
        <v>0.8</v>
      </c>
      <c r="C107" s="42">
        <f t="shared" si="37"/>
        <v>1</v>
      </c>
      <c r="D107" s="42">
        <f t="shared" si="37"/>
        <v>0.8</v>
      </c>
      <c r="E107" s="42">
        <f t="shared" si="37"/>
        <v>1</v>
      </c>
      <c r="F107" s="42">
        <f t="shared" si="37"/>
        <v>0.8</v>
      </c>
      <c r="G107" s="42">
        <f t="shared" si="37"/>
        <v>0.8</v>
      </c>
      <c r="H107" s="42">
        <f t="shared" si="37"/>
        <v>1</v>
      </c>
      <c r="I107" s="42">
        <f t="shared" si="37"/>
        <v>0.75</v>
      </c>
      <c r="J107" s="42">
        <f t="shared" si="37"/>
        <v>1</v>
      </c>
      <c r="K107" s="42">
        <f t="shared" si="37"/>
        <v>0.8</v>
      </c>
    </row>
    <row r="108">
      <c r="A108" s="44" t="str">
        <f t="shared" si="34"/>
        <v>SARITUA MARPAUNG</v>
      </c>
      <c r="B108" s="42">
        <f t="shared" ref="B108:K108" si="38">B33</f>
        <v>1</v>
      </c>
      <c r="C108" s="42">
        <f t="shared" si="38"/>
        <v>1</v>
      </c>
      <c r="D108" s="42">
        <f t="shared" si="38"/>
        <v>1</v>
      </c>
      <c r="E108" s="42">
        <f t="shared" si="38"/>
        <v>1</v>
      </c>
      <c r="F108" s="42">
        <f t="shared" si="38"/>
        <v>1</v>
      </c>
      <c r="G108" s="42">
        <f t="shared" si="38"/>
        <v>1</v>
      </c>
      <c r="H108" s="42">
        <f t="shared" si="38"/>
        <v>1</v>
      </c>
      <c r="I108" s="42">
        <f t="shared" si="38"/>
        <v>1</v>
      </c>
      <c r="J108" s="42">
        <f t="shared" si="38"/>
        <v>1</v>
      </c>
      <c r="K108" s="42">
        <f t="shared" si="38"/>
        <v>1</v>
      </c>
    </row>
    <row r="109">
      <c r="A109" s="44" t="str">
        <f t="shared" si="34"/>
        <v>ELSA NABABAN</v>
      </c>
      <c r="B109" s="42">
        <f t="shared" ref="B109:K109" si="39">B34</f>
        <v>0.8</v>
      </c>
      <c r="C109" s="42">
        <f t="shared" si="39"/>
        <v>1</v>
      </c>
      <c r="D109" s="42">
        <f t="shared" si="39"/>
        <v>0.8</v>
      </c>
      <c r="E109" s="42">
        <f t="shared" si="39"/>
        <v>0.8</v>
      </c>
      <c r="F109" s="42">
        <f t="shared" si="39"/>
        <v>0.8</v>
      </c>
      <c r="G109" s="42">
        <f t="shared" si="39"/>
        <v>1</v>
      </c>
      <c r="H109" s="42">
        <f t="shared" si="39"/>
        <v>1</v>
      </c>
      <c r="I109" s="42">
        <f t="shared" si="39"/>
        <v>0.75</v>
      </c>
      <c r="J109" s="42">
        <f t="shared" si="39"/>
        <v>1</v>
      </c>
      <c r="K109" s="42">
        <f t="shared" si="39"/>
        <v>1</v>
      </c>
    </row>
    <row r="110">
      <c r="A110" s="44" t="str">
        <f t="shared" si="34"/>
        <v>HADI SAPUTRA</v>
      </c>
      <c r="B110" s="42">
        <f t="shared" ref="B110:K110" si="40">B35</f>
        <v>0.8</v>
      </c>
      <c r="C110" s="42">
        <f t="shared" si="40"/>
        <v>0.8</v>
      </c>
      <c r="D110" s="42">
        <f t="shared" si="40"/>
        <v>0.8</v>
      </c>
      <c r="E110" s="42">
        <f t="shared" si="40"/>
        <v>1</v>
      </c>
      <c r="F110" s="42">
        <f t="shared" si="40"/>
        <v>0.6</v>
      </c>
      <c r="G110" s="42">
        <f t="shared" si="40"/>
        <v>0.8</v>
      </c>
      <c r="H110" s="42">
        <f t="shared" si="40"/>
        <v>0.8</v>
      </c>
      <c r="I110" s="42">
        <f t="shared" si="40"/>
        <v>0.5</v>
      </c>
      <c r="J110" s="42">
        <f t="shared" si="40"/>
        <v>0.8</v>
      </c>
      <c r="K110" s="42">
        <f t="shared" si="40"/>
        <v>1</v>
      </c>
    </row>
    <row r="111">
      <c r="A111" s="44" t="str">
        <f t="shared" si="34"/>
        <v>IRFAN AGUS</v>
      </c>
      <c r="B111" s="42">
        <f t="shared" ref="B111:K111" si="41">B36</f>
        <v>0.8</v>
      </c>
      <c r="C111" s="42">
        <f t="shared" si="41"/>
        <v>0.8</v>
      </c>
      <c r="D111" s="42">
        <f t="shared" si="41"/>
        <v>0.8</v>
      </c>
      <c r="E111" s="42">
        <f t="shared" si="41"/>
        <v>1</v>
      </c>
      <c r="F111" s="42">
        <f t="shared" si="41"/>
        <v>0.8</v>
      </c>
      <c r="G111" s="42">
        <f t="shared" si="41"/>
        <v>0.8</v>
      </c>
      <c r="H111" s="42">
        <f t="shared" si="41"/>
        <v>0.8</v>
      </c>
      <c r="I111" s="42">
        <f t="shared" si="41"/>
        <v>0.75</v>
      </c>
      <c r="J111" s="42">
        <f t="shared" si="41"/>
        <v>1</v>
      </c>
      <c r="K111" s="42">
        <f t="shared" si="41"/>
        <v>1</v>
      </c>
    </row>
    <row r="112">
      <c r="A112" s="44" t="str">
        <f t="shared" si="34"/>
        <v>LESTARI SIBAGARIANG</v>
      </c>
      <c r="B112" s="42">
        <f t="shared" ref="B112:K112" si="42">B37</f>
        <v>0.8</v>
      </c>
      <c r="C112" s="42">
        <f t="shared" si="42"/>
        <v>0.8</v>
      </c>
      <c r="D112" s="42">
        <f t="shared" si="42"/>
        <v>0.8</v>
      </c>
      <c r="E112" s="42">
        <f t="shared" si="42"/>
        <v>0.8</v>
      </c>
      <c r="F112" s="42">
        <f t="shared" si="42"/>
        <v>0.6</v>
      </c>
      <c r="G112" s="42">
        <f t="shared" si="42"/>
        <v>0.8</v>
      </c>
      <c r="H112" s="42">
        <f t="shared" si="42"/>
        <v>0.8</v>
      </c>
      <c r="I112" s="42">
        <f t="shared" si="42"/>
        <v>0.5</v>
      </c>
      <c r="J112" s="42">
        <f t="shared" si="42"/>
        <v>0.8</v>
      </c>
      <c r="K112" s="42">
        <f t="shared" si="42"/>
        <v>0.8</v>
      </c>
    </row>
    <row r="113">
      <c r="A113" s="44" t="str">
        <f t="shared" si="34"/>
        <v>JOSIA NABABAN</v>
      </c>
      <c r="B113" s="42">
        <f t="shared" ref="B113:K113" si="43">B38</f>
        <v>0.8</v>
      </c>
      <c r="C113" s="42">
        <f t="shared" si="43"/>
        <v>0.8</v>
      </c>
      <c r="D113" s="42">
        <f t="shared" si="43"/>
        <v>0.8</v>
      </c>
      <c r="E113" s="42">
        <f t="shared" si="43"/>
        <v>0.8</v>
      </c>
      <c r="F113" s="42">
        <f t="shared" si="43"/>
        <v>1</v>
      </c>
      <c r="G113" s="42">
        <f t="shared" si="43"/>
        <v>1</v>
      </c>
      <c r="H113" s="42">
        <f t="shared" si="43"/>
        <v>1</v>
      </c>
      <c r="I113" s="42">
        <f t="shared" si="43"/>
        <v>1</v>
      </c>
      <c r="J113" s="42">
        <f t="shared" si="43"/>
        <v>0.8</v>
      </c>
      <c r="K113" s="42">
        <f t="shared" si="43"/>
        <v>1</v>
      </c>
    </row>
    <row r="114">
      <c r="A114" s="44" t="str">
        <f t="shared" si="34"/>
        <v>IRMA SIANIPAR</v>
      </c>
      <c r="B114" s="42">
        <f t="shared" ref="B114:K114" si="44">B39</f>
        <v>0.8</v>
      </c>
      <c r="C114" s="42">
        <f t="shared" si="44"/>
        <v>1</v>
      </c>
      <c r="D114" s="42">
        <f t="shared" si="44"/>
        <v>0.8</v>
      </c>
      <c r="E114" s="42">
        <f t="shared" si="44"/>
        <v>0.8</v>
      </c>
      <c r="F114" s="42">
        <f t="shared" si="44"/>
        <v>0.6</v>
      </c>
      <c r="G114" s="42">
        <f t="shared" si="44"/>
        <v>0.8</v>
      </c>
      <c r="H114" s="42">
        <f t="shared" si="44"/>
        <v>0.8</v>
      </c>
      <c r="I114" s="42">
        <f t="shared" si="44"/>
        <v>0.75</v>
      </c>
      <c r="J114" s="42">
        <f t="shared" si="44"/>
        <v>0.8</v>
      </c>
      <c r="K114" s="42">
        <f t="shared" si="44"/>
        <v>1</v>
      </c>
    </row>
    <row r="115">
      <c r="A115" s="44" t="str">
        <f t="shared" si="34"/>
        <v>LAMTIUR NABABAN</v>
      </c>
      <c r="B115" s="42">
        <f t="shared" ref="B115:K115" si="45">B40</f>
        <v>0.8</v>
      </c>
      <c r="C115" s="42">
        <f t="shared" si="45"/>
        <v>0.8</v>
      </c>
      <c r="D115" s="42">
        <f t="shared" si="45"/>
        <v>0.6</v>
      </c>
      <c r="E115" s="42">
        <f t="shared" si="45"/>
        <v>0.6</v>
      </c>
      <c r="F115" s="42">
        <f t="shared" si="45"/>
        <v>0.8</v>
      </c>
      <c r="G115" s="42">
        <f t="shared" si="45"/>
        <v>0.8</v>
      </c>
      <c r="H115" s="42">
        <f t="shared" si="45"/>
        <v>0.8</v>
      </c>
      <c r="I115" s="42">
        <f t="shared" si="45"/>
        <v>0.5</v>
      </c>
      <c r="J115" s="42">
        <f t="shared" si="45"/>
        <v>0.8</v>
      </c>
      <c r="K115" s="42">
        <f t="shared" si="45"/>
        <v>0.8</v>
      </c>
    </row>
    <row r="116">
      <c r="A116" s="44" t="str">
        <f t="shared" si="34"/>
        <v>RAHUL NABABAN</v>
      </c>
      <c r="B116" s="42">
        <f t="shared" ref="B116:K116" si="46">B41</f>
        <v>0.8</v>
      </c>
      <c r="C116" s="42">
        <f t="shared" si="46"/>
        <v>0.6</v>
      </c>
      <c r="D116" s="42">
        <f t="shared" si="46"/>
        <v>0.8</v>
      </c>
      <c r="E116" s="42">
        <f t="shared" si="46"/>
        <v>0.8</v>
      </c>
      <c r="F116" s="42">
        <f t="shared" si="46"/>
        <v>0.6</v>
      </c>
      <c r="G116" s="42">
        <f t="shared" si="46"/>
        <v>0.8</v>
      </c>
      <c r="H116" s="42">
        <f t="shared" si="46"/>
        <v>0.8</v>
      </c>
      <c r="I116" s="42">
        <f t="shared" si="46"/>
        <v>0.5</v>
      </c>
      <c r="J116" s="42">
        <f t="shared" si="46"/>
        <v>0.8</v>
      </c>
      <c r="K116" s="42">
        <f t="shared" si="46"/>
        <v>0.8</v>
      </c>
    </row>
    <row r="117">
      <c r="A117" s="44" t="str">
        <f t="shared" si="34"/>
        <v>HOSIANA NABABAN</v>
      </c>
      <c r="B117" s="42">
        <f t="shared" ref="B117:K117" si="47">B42</f>
        <v>0.8</v>
      </c>
      <c r="C117" s="42">
        <f t="shared" si="47"/>
        <v>0.8</v>
      </c>
      <c r="D117" s="42">
        <f t="shared" si="47"/>
        <v>0.8</v>
      </c>
      <c r="E117" s="42">
        <f t="shared" si="47"/>
        <v>0.6</v>
      </c>
      <c r="F117" s="42">
        <f t="shared" si="47"/>
        <v>0.6</v>
      </c>
      <c r="G117" s="42">
        <f t="shared" si="47"/>
        <v>0.6</v>
      </c>
      <c r="H117" s="42">
        <f t="shared" si="47"/>
        <v>0.8</v>
      </c>
      <c r="I117" s="42">
        <f t="shared" si="47"/>
        <v>0.5</v>
      </c>
      <c r="J117" s="42">
        <f t="shared" si="47"/>
        <v>1</v>
      </c>
      <c r="K117" s="42">
        <f t="shared" si="47"/>
        <v>0.8</v>
      </c>
    </row>
    <row r="118">
      <c r="A118" s="44" t="str">
        <f t="shared" si="34"/>
        <v>ESTER NABABAN</v>
      </c>
      <c r="B118" s="42">
        <f t="shared" ref="B118:K118" si="48">B43</f>
        <v>0.8</v>
      </c>
      <c r="C118" s="42">
        <f t="shared" si="48"/>
        <v>0.6</v>
      </c>
      <c r="D118" s="42">
        <f t="shared" si="48"/>
        <v>0.8</v>
      </c>
      <c r="E118" s="42">
        <f t="shared" si="48"/>
        <v>0.8</v>
      </c>
      <c r="F118" s="42">
        <f t="shared" si="48"/>
        <v>0.6</v>
      </c>
      <c r="G118" s="42">
        <f t="shared" si="48"/>
        <v>0.8</v>
      </c>
      <c r="H118" s="42">
        <f t="shared" si="48"/>
        <v>0.8</v>
      </c>
      <c r="I118" s="42">
        <f t="shared" si="48"/>
        <v>0.5</v>
      </c>
      <c r="J118" s="42">
        <f t="shared" si="48"/>
        <v>0.8</v>
      </c>
      <c r="K118" s="42">
        <f t="shared" si="48"/>
        <v>0.6</v>
      </c>
    </row>
    <row r="119">
      <c r="A119" s="44" t="str">
        <f t="shared" si="34"/>
        <v>ANWAR NABABAN</v>
      </c>
      <c r="B119" s="42">
        <f t="shared" ref="B119:K119" si="49">B44</f>
        <v>0.6</v>
      </c>
      <c r="C119" s="42">
        <f t="shared" si="49"/>
        <v>0.6</v>
      </c>
      <c r="D119" s="42">
        <f t="shared" si="49"/>
        <v>0.6</v>
      </c>
      <c r="E119" s="42">
        <f t="shared" si="49"/>
        <v>0.6</v>
      </c>
      <c r="F119" s="42">
        <f t="shared" si="49"/>
        <v>0.8</v>
      </c>
      <c r="G119" s="42">
        <f t="shared" si="49"/>
        <v>0.8</v>
      </c>
      <c r="H119" s="42">
        <f t="shared" si="49"/>
        <v>0.8</v>
      </c>
      <c r="I119" s="42">
        <f t="shared" si="49"/>
        <v>0.25</v>
      </c>
      <c r="J119" s="42">
        <f t="shared" si="49"/>
        <v>0.6</v>
      </c>
      <c r="K119" s="42">
        <f t="shared" si="49"/>
        <v>0.8</v>
      </c>
    </row>
    <row r="120">
      <c r="A120" s="44" t="str">
        <f t="shared" si="34"/>
        <v>MORISCA SIBAGARIANG</v>
      </c>
      <c r="B120" s="42">
        <f t="shared" ref="B120:K120" si="50">B45</f>
        <v>0.6</v>
      </c>
      <c r="C120" s="42">
        <f t="shared" si="50"/>
        <v>0.6</v>
      </c>
      <c r="D120" s="42">
        <f t="shared" si="50"/>
        <v>0.8</v>
      </c>
      <c r="E120" s="42">
        <f t="shared" si="50"/>
        <v>0.6</v>
      </c>
      <c r="F120" s="42">
        <f t="shared" si="50"/>
        <v>0.6</v>
      </c>
      <c r="G120" s="42">
        <f t="shared" si="50"/>
        <v>0.6</v>
      </c>
      <c r="H120" s="42">
        <f t="shared" si="50"/>
        <v>0.8</v>
      </c>
      <c r="I120" s="42">
        <f t="shared" si="50"/>
        <v>0.25</v>
      </c>
      <c r="J120" s="42">
        <f t="shared" si="50"/>
        <v>0.8</v>
      </c>
      <c r="K120" s="42">
        <f t="shared" si="50"/>
        <v>0.8</v>
      </c>
    </row>
    <row r="121">
      <c r="A121" s="44" t="str">
        <f t="shared" si="34"/>
        <v>ELFRIDA SITINJAK</v>
      </c>
      <c r="B121" s="42">
        <f t="shared" ref="B121:K121" si="51">B46</f>
        <v>0.6</v>
      </c>
      <c r="C121" s="42">
        <f t="shared" si="51"/>
        <v>0.8</v>
      </c>
      <c r="D121" s="42">
        <f t="shared" si="51"/>
        <v>0.8</v>
      </c>
      <c r="E121" s="42">
        <f t="shared" si="51"/>
        <v>0.8</v>
      </c>
      <c r="F121" s="42">
        <f t="shared" si="51"/>
        <v>0.6</v>
      </c>
      <c r="G121" s="42">
        <f t="shared" si="51"/>
        <v>0.6</v>
      </c>
      <c r="H121" s="42">
        <f t="shared" si="51"/>
        <v>0.8</v>
      </c>
      <c r="I121" s="42">
        <f t="shared" si="51"/>
        <v>0.75</v>
      </c>
      <c r="J121" s="42">
        <f t="shared" si="51"/>
        <v>0.8</v>
      </c>
      <c r="K121" s="42">
        <f t="shared" si="51"/>
        <v>1</v>
      </c>
    </row>
    <row r="122">
      <c r="A122" s="44" t="str">
        <f t="shared" si="34"/>
        <v>CREDO NABABAN</v>
      </c>
      <c r="B122" s="42">
        <f t="shared" ref="B122:K122" si="52">B47</f>
        <v>0.6</v>
      </c>
      <c r="C122" s="42">
        <f t="shared" si="52"/>
        <v>0.6</v>
      </c>
      <c r="D122" s="42">
        <f t="shared" si="52"/>
        <v>0.8</v>
      </c>
      <c r="E122" s="42">
        <f t="shared" si="52"/>
        <v>0.6</v>
      </c>
      <c r="F122" s="42">
        <f t="shared" si="52"/>
        <v>0.8</v>
      </c>
      <c r="G122" s="42">
        <f t="shared" si="52"/>
        <v>0.6</v>
      </c>
      <c r="H122" s="42">
        <f t="shared" si="52"/>
        <v>0.8</v>
      </c>
      <c r="I122" s="42">
        <f t="shared" si="52"/>
        <v>0.5</v>
      </c>
      <c r="J122" s="42">
        <f t="shared" si="52"/>
        <v>0.6</v>
      </c>
      <c r="K122" s="42">
        <f t="shared" si="52"/>
        <v>0.6</v>
      </c>
    </row>
    <row r="123">
      <c r="A123" s="44" t="str">
        <f t="shared" si="34"/>
        <v>SERDI SILITONGA</v>
      </c>
      <c r="B123" s="42">
        <f t="shared" ref="B123:K123" si="53">B48</f>
        <v>0.6</v>
      </c>
      <c r="C123" s="42">
        <f t="shared" si="53"/>
        <v>0.4</v>
      </c>
      <c r="D123" s="42">
        <f t="shared" si="53"/>
        <v>0.6</v>
      </c>
      <c r="E123" s="42">
        <f t="shared" si="53"/>
        <v>0.6</v>
      </c>
      <c r="F123" s="42">
        <f t="shared" si="53"/>
        <v>0.6</v>
      </c>
      <c r="G123" s="42">
        <f t="shared" si="53"/>
        <v>0.8</v>
      </c>
      <c r="H123" s="42">
        <f t="shared" si="53"/>
        <v>0.6</v>
      </c>
      <c r="I123" s="42">
        <f t="shared" si="53"/>
        <v>0.25</v>
      </c>
      <c r="J123" s="42">
        <f t="shared" si="53"/>
        <v>0.6</v>
      </c>
      <c r="K123" s="42">
        <f t="shared" si="53"/>
        <v>0.6</v>
      </c>
    </row>
    <row r="124">
      <c r="A124" s="44" t="str">
        <f t="shared" si="34"/>
        <v>JELMANRO SILITONGA</v>
      </c>
      <c r="B124" s="42">
        <f t="shared" ref="B124:K124" si="54">B49</f>
        <v>0.6</v>
      </c>
      <c r="C124" s="42">
        <f t="shared" si="54"/>
        <v>0.6</v>
      </c>
      <c r="D124" s="42">
        <f t="shared" si="54"/>
        <v>0.4</v>
      </c>
      <c r="E124" s="42">
        <f t="shared" si="54"/>
        <v>0.6</v>
      </c>
      <c r="F124" s="42">
        <f t="shared" si="54"/>
        <v>0.6</v>
      </c>
      <c r="G124" s="42">
        <f t="shared" si="54"/>
        <v>0.6</v>
      </c>
      <c r="H124" s="42">
        <f t="shared" si="54"/>
        <v>0.6</v>
      </c>
      <c r="I124" s="42">
        <f t="shared" si="54"/>
        <v>0.5</v>
      </c>
      <c r="J124" s="42">
        <f t="shared" si="54"/>
        <v>0.6</v>
      </c>
      <c r="K124" s="42">
        <f t="shared" si="54"/>
        <v>0.6</v>
      </c>
    </row>
    <row r="125">
      <c r="A125" s="41" t="str">
        <f t="shared" si="34"/>
        <v>AI</v>
      </c>
      <c r="B125" s="41">
        <f t="shared" ref="B125:K125" si="55">B50</f>
        <v>1</v>
      </c>
      <c r="C125" s="41">
        <f t="shared" si="55"/>
        <v>1</v>
      </c>
      <c r="D125" s="41">
        <f t="shared" si="55"/>
        <v>1</v>
      </c>
      <c r="E125" s="41">
        <f t="shared" si="55"/>
        <v>1</v>
      </c>
      <c r="F125" s="41">
        <f t="shared" si="55"/>
        <v>1</v>
      </c>
      <c r="G125" s="41">
        <f t="shared" si="55"/>
        <v>1</v>
      </c>
      <c r="H125" s="41">
        <f t="shared" si="55"/>
        <v>1</v>
      </c>
      <c r="I125" s="41">
        <f t="shared" si="55"/>
        <v>1</v>
      </c>
      <c r="J125" s="41">
        <f t="shared" si="55"/>
        <v>1</v>
      </c>
      <c r="K125" s="41">
        <f t="shared" si="55"/>
        <v>1</v>
      </c>
    </row>
    <row r="126">
      <c r="A126" s="28" t="str">
        <f t="shared" si="34"/>
        <v>AAI</v>
      </c>
      <c r="B126" s="28">
        <f t="shared" ref="B126:K126" si="56">B51</f>
        <v>0.6</v>
      </c>
      <c r="C126" s="28">
        <f t="shared" si="56"/>
        <v>0.4</v>
      </c>
      <c r="D126" s="28">
        <f t="shared" si="56"/>
        <v>0.4</v>
      </c>
      <c r="E126" s="28">
        <f t="shared" si="56"/>
        <v>0.6</v>
      </c>
      <c r="F126" s="28">
        <f t="shared" si="56"/>
        <v>0.6</v>
      </c>
      <c r="G126" s="28">
        <f t="shared" si="56"/>
        <v>0.6</v>
      </c>
      <c r="H126" s="28">
        <f t="shared" si="56"/>
        <v>0.6</v>
      </c>
      <c r="I126" s="28">
        <f t="shared" si="56"/>
        <v>0.25</v>
      </c>
      <c r="J126" s="28">
        <f t="shared" si="56"/>
        <v>0.6</v>
      </c>
      <c r="K126" s="28">
        <f t="shared" si="56"/>
        <v>0.6</v>
      </c>
    </row>
    <row r="127">
      <c r="A127" s="42" t="str">
        <f t="shared" si="34"/>
        <v/>
      </c>
      <c r="B127" s="42" t="str">
        <f t="shared" ref="B127:K127" si="57">B52</f>
        <v/>
      </c>
      <c r="C127" s="42" t="str">
        <f t="shared" si="57"/>
        <v/>
      </c>
      <c r="D127" s="42" t="str">
        <f t="shared" si="57"/>
        <v/>
      </c>
      <c r="E127" s="42" t="str">
        <f t="shared" si="57"/>
        <v/>
      </c>
      <c r="F127" s="42" t="str">
        <f t="shared" si="57"/>
        <v/>
      </c>
      <c r="G127" s="42" t="str">
        <f t="shared" si="57"/>
        <v/>
      </c>
      <c r="H127" s="42" t="str">
        <f t="shared" si="57"/>
        <v/>
      </c>
      <c r="I127" s="42" t="str">
        <f t="shared" si="57"/>
        <v/>
      </c>
      <c r="J127" s="42" t="str">
        <f t="shared" si="57"/>
        <v/>
      </c>
      <c r="K127" s="42" t="str">
        <f t="shared" si="57"/>
        <v/>
      </c>
    </row>
    <row r="128">
      <c r="A128" s="20" t="s">
        <v>89</v>
      </c>
      <c r="B128" s="21"/>
    </row>
    <row r="129">
      <c r="A129" s="46" t="str">
        <f t="shared" ref="A129:K129" si="58">A54</f>
        <v>ALTERNATIF</v>
      </c>
      <c r="B129" s="46" t="str">
        <f t="shared" si="58"/>
        <v>C1</v>
      </c>
      <c r="C129" s="46" t="str">
        <f t="shared" si="58"/>
        <v>C2</v>
      </c>
      <c r="D129" s="46" t="str">
        <f t="shared" si="58"/>
        <v>C3</v>
      </c>
      <c r="E129" s="46" t="str">
        <f t="shared" si="58"/>
        <v>C4</v>
      </c>
      <c r="F129" s="46" t="str">
        <f t="shared" si="58"/>
        <v>C5</v>
      </c>
      <c r="G129" s="46" t="str">
        <f t="shared" si="58"/>
        <v>C6</v>
      </c>
      <c r="H129" s="46" t="str">
        <f t="shared" si="58"/>
        <v>C7</v>
      </c>
      <c r="I129" s="46" t="str">
        <f t="shared" si="58"/>
        <v>C8</v>
      </c>
      <c r="J129" s="46" t="str">
        <f t="shared" si="58"/>
        <v>C9</v>
      </c>
      <c r="K129" s="46" t="str">
        <f t="shared" si="58"/>
        <v>C10</v>
      </c>
      <c r="L129" s="52" t="s">
        <v>80</v>
      </c>
      <c r="M129" s="6" t="s">
        <v>101</v>
      </c>
      <c r="N129" s="6" t="s">
        <v>102</v>
      </c>
    </row>
    <row r="130">
      <c r="A130" s="44" t="str">
        <f t="shared" ref="A130:A152" si="59">A55</f>
        <v>AMANDA NABABAN</v>
      </c>
      <c r="B130" s="42">
        <f t="shared" ref="B130:B151" si="60">$B$104*B105</f>
        <v>0.085</v>
      </c>
      <c r="C130" s="42">
        <f t="shared" ref="C130:C151" si="61">$C$104*C105</f>
        <v>0.1266666667</v>
      </c>
      <c r="D130" s="42">
        <f t="shared" ref="D130:D151" si="62">$D$104*D105</f>
        <v>0.1233333333</v>
      </c>
      <c r="E130" s="42">
        <f t="shared" ref="E130:E151" si="63">$E$104*E105</f>
        <v>0.068</v>
      </c>
      <c r="F130" s="42">
        <f t="shared" ref="F130:F151" si="64">$F$104*F105</f>
        <v>0.065</v>
      </c>
      <c r="G130" s="42">
        <f t="shared" ref="G130:G151" si="65">$G$104*G105</f>
        <v>0.095</v>
      </c>
      <c r="H130" s="42">
        <f t="shared" ref="H130:H151" si="66">$H$104*H105</f>
        <v>0.12</v>
      </c>
      <c r="I130" s="42">
        <f t="shared" ref="I130:I151" si="67">$I$104*I105</f>
        <v>0.1</v>
      </c>
      <c r="J130" s="42">
        <f t="shared" ref="J130:J151" si="68">$J$104*J105</f>
        <v>0.115</v>
      </c>
      <c r="K130" s="42">
        <f t="shared" ref="K130:K151" si="69">$K$104*K105</f>
        <v>0.068</v>
      </c>
      <c r="L130" s="42">
        <f t="shared" ref="L130:L151" si="70">SUM(B130:K130)</f>
        <v>0.966</v>
      </c>
      <c r="M130" s="53">
        <f t="shared" ref="M130:M149" si="71">SUM(B130:K130)</f>
        <v>0.966</v>
      </c>
      <c r="N130" s="9">
        <f t="shared" ref="N130:N149" si="72">RANK(M130,$M$130:$M$149,0)</f>
        <v>2</v>
      </c>
    </row>
    <row r="131">
      <c r="A131" s="44" t="str">
        <f t="shared" si="59"/>
        <v>ARNITA NABABAN</v>
      </c>
      <c r="B131" s="42">
        <f t="shared" si="60"/>
        <v>0.085</v>
      </c>
      <c r="C131" s="42">
        <f t="shared" si="61"/>
        <v>0.1266666667</v>
      </c>
      <c r="D131" s="42">
        <f t="shared" si="62"/>
        <v>0.09866666667</v>
      </c>
      <c r="E131" s="42">
        <f t="shared" si="63"/>
        <v>0.068</v>
      </c>
      <c r="F131" s="42">
        <f t="shared" si="64"/>
        <v>0.052</v>
      </c>
      <c r="G131" s="42">
        <f t="shared" si="65"/>
        <v>0.076</v>
      </c>
      <c r="H131" s="42">
        <f t="shared" si="66"/>
        <v>0.12</v>
      </c>
      <c r="I131" s="42">
        <f t="shared" si="67"/>
        <v>0.1</v>
      </c>
      <c r="J131" s="42">
        <f t="shared" si="68"/>
        <v>0.115</v>
      </c>
      <c r="K131" s="42">
        <f t="shared" si="69"/>
        <v>0.068</v>
      </c>
      <c r="L131" s="42">
        <f t="shared" si="70"/>
        <v>0.9093333333</v>
      </c>
      <c r="M131" s="53">
        <f t="shared" si="71"/>
        <v>0.9093333333</v>
      </c>
      <c r="N131" s="9">
        <f t="shared" si="72"/>
        <v>3</v>
      </c>
    </row>
    <row r="132">
      <c r="A132" s="44" t="str">
        <f t="shared" si="59"/>
        <v>MORES NABABAN</v>
      </c>
      <c r="B132" s="42">
        <f t="shared" si="60"/>
        <v>0.068</v>
      </c>
      <c r="C132" s="42">
        <f t="shared" si="61"/>
        <v>0.1266666667</v>
      </c>
      <c r="D132" s="42">
        <f t="shared" si="62"/>
        <v>0.09866666667</v>
      </c>
      <c r="E132" s="42">
        <f t="shared" si="63"/>
        <v>0.085</v>
      </c>
      <c r="F132" s="42">
        <f t="shared" si="64"/>
        <v>0.052</v>
      </c>
      <c r="G132" s="42">
        <f t="shared" si="65"/>
        <v>0.076</v>
      </c>
      <c r="H132" s="42">
        <f t="shared" si="66"/>
        <v>0.12</v>
      </c>
      <c r="I132" s="42">
        <f t="shared" si="67"/>
        <v>0.075</v>
      </c>
      <c r="J132" s="42">
        <f t="shared" si="68"/>
        <v>0.115</v>
      </c>
      <c r="K132" s="42">
        <f t="shared" si="69"/>
        <v>0.068</v>
      </c>
      <c r="L132" s="42">
        <f t="shared" si="70"/>
        <v>0.8843333333</v>
      </c>
      <c r="M132" s="53">
        <f t="shared" si="71"/>
        <v>0.8843333333</v>
      </c>
      <c r="N132" s="9">
        <f t="shared" si="72"/>
        <v>6</v>
      </c>
    </row>
    <row r="133">
      <c r="A133" s="44" t="str">
        <f t="shared" si="59"/>
        <v>SARITUA MARPAUNG</v>
      </c>
      <c r="B133" s="42">
        <f t="shared" si="60"/>
        <v>0.085</v>
      </c>
      <c r="C133" s="42">
        <f t="shared" si="61"/>
        <v>0.1266666667</v>
      </c>
      <c r="D133" s="42">
        <f t="shared" si="62"/>
        <v>0.1233333333</v>
      </c>
      <c r="E133" s="42">
        <f t="shared" si="63"/>
        <v>0.085</v>
      </c>
      <c r="F133" s="42">
        <f t="shared" si="64"/>
        <v>0.065</v>
      </c>
      <c r="G133" s="42">
        <f t="shared" si="65"/>
        <v>0.095</v>
      </c>
      <c r="H133" s="42">
        <f t="shared" si="66"/>
        <v>0.12</v>
      </c>
      <c r="I133" s="42">
        <f t="shared" si="67"/>
        <v>0.1</v>
      </c>
      <c r="J133" s="42">
        <f t="shared" si="68"/>
        <v>0.115</v>
      </c>
      <c r="K133" s="42">
        <f t="shared" si="69"/>
        <v>0.085</v>
      </c>
      <c r="L133" s="42">
        <f t="shared" si="70"/>
        <v>1</v>
      </c>
      <c r="M133" s="53">
        <f t="shared" si="71"/>
        <v>1</v>
      </c>
      <c r="N133" s="9">
        <f t="shared" si="72"/>
        <v>1</v>
      </c>
    </row>
    <row r="134">
      <c r="A134" s="44" t="str">
        <f t="shared" si="59"/>
        <v>ELSA NABABAN</v>
      </c>
      <c r="B134" s="42">
        <f t="shared" si="60"/>
        <v>0.068</v>
      </c>
      <c r="C134" s="42">
        <f t="shared" si="61"/>
        <v>0.1266666667</v>
      </c>
      <c r="D134" s="42">
        <f t="shared" si="62"/>
        <v>0.09866666667</v>
      </c>
      <c r="E134" s="42">
        <f t="shared" si="63"/>
        <v>0.068</v>
      </c>
      <c r="F134" s="42">
        <f t="shared" si="64"/>
        <v>0.052</v>
      </c>
      <c r="G134" s="42">
        <f t="shared" si="65"/>
        <v>0.095</v>
      </c>
      <c r="H134" s="42">
        <f t="shared" si="66"/>
        <v>0.12</v>
      </c>
      <c r="I134" s="42">
        <f t="shared" si="67"/>
        <v>0.075</v>
      </c>
      <c r="J134" s="42">
        <f t="shared" si="68"/>
        <v>0.115</v>
      </c>
      <c r="K134" s="42">
        <f t="shared" si="69"/>
        <v>0.085</v>
      </c>
      <c r="L134" s="42">
        <f t="shared" si="70"/>
        <v>0.9033333333</v>
      </c>
      <c r="M134" s="53">
        <f t="shared" si="71"/>
        <v>0.9033333333</v>
      </c>
      <c r="N134" s="9">
        <f t="shared" si="72"/>
        <v>4</v>
      </c>
    </row>
    <row r="135">
      <c r="A135" s="44" t="str">
        <f t="shared" si="59"/>
        <v>HADI SAPUTRA</v>
      </c>
      <c r="B135" s="42">
        <f t="shared" si="60"/>
        <v>0.068</v>
      </c>
      <c r="C135" s="42">
        <f t="shared" si="61"/>
        <v>0.1013333333</v>
      </c>
      <c r="D135" s="42">
        <f t="shared" si="62"/>
        <v>0.09866666667</v>
      </c>
      <c r="E135" s="42">
        <f t="shared" si="63"/>
        <v>0.085</v>
      </c>
      <c r="F135" s="42">
        <f t="shared" si="64"/>
        <v>0.039</v>
      </c>
      <c r="G135" s="42">
        <f t="shared" si="65"/>
        <v>0.076</v>
      </c>
      <c r="H135" s="42">
        <f t="shared" si="66"/>
        <v>0.096</v>
      </c>
      <c r="I135" s="42">
        <f t="shared" si="67"/>
        <v>0.05</v>
      </c>
      <c r="J135" s="42">
        <f t="shared" si="68"/>
        <v>0.092</v>
      </c>
      <c r="K135" s="42">
        <f t="shared" si="69"/>
        <v>0.085</v>
      </c>
      <c r="L135" s="42">
        <f t="shared" si="70"/>
        <v>0.791</v>
      </c>
      <c r="M135" s="53">
        <f t="shared" si="71"/>
        <v>0.791</v>
      </c>
      <c r="N135" s="9">
        <f t="shared" si="72"/>
        <v>9</v>
      </c>
    </row>
    <row r="136">
      <c r="A136" s="44" t="str">
        <f t="shared" si="59"/>
        <v>IRFAN AGUS</v>
      </c>
      <c r="B136" s="42">
        <f t="shared" si="60"/>
        <v>0.068</v>
      </c>
      <c r="C136" s="42">
        <f t="shared" si="61"/>
        <v>0.1013333333</v>
      </c>
      <c r="D136" s="42">
        <f t="shared" si="62"/>
        <v>0.09866666667</v>
      </c>
      <c r="E136" s="42">
        <f t="shared" si="63"/>
        <v>0.085</v>
      </c>
      <c r="F136" s="42">
        <f t="shared" si="64"/>
        <v>0.052</v>
      </c>
      <c r="G136" s="42">
        <f t="shared" si="65"/>
        <v>0.076</v>
      </c>
      <c r="H136" s="42">
        <f t="shared" si="66"/>
        <v>0.096</v>
      </c>
      <c r="I136" s="42">
        <f t="shared" si="67"/>
        <v>0.075</v>
      </c>
      <c r="J136" s="42">
        <f t="shared" si="68"/>
        <v>0.115</v>
      </c>
      <c r="K136" s="42">
        <f t="shared" si="69"/>
        <v>0.085</v>
      </c>
      <c r="L136" s="42">
        <f t="shared" si="70"/>
        <v>0.852</v>
      </c>
      <c r="M136" s="53">
        <f t="shared" si="71"/>
        <v>0.852</v>
      </c>
      <c r="N136" s="9">
        <f t="shared" si="72"/>
        <v>7</v>
      </c>
    </row>
    <row r="137">
      <c r="A137" s="44" t="str">
        <f t="shared" si="59"/>
        <v>LESTARI SIBAGARIANG</v>
      </c>
      <c r="B137" s="42">
        <f t="shared" si="60"/>
        <v>0.068</v>
      </c>
      <c r="C137" s="42">
        <f t="shared" si="61"/>
        <v>0.1013333333</v>
      </c>
      <c r="D137" s="42">
        <f t="shared" si="62"/>
        <v>0.09866666667</v>
      </c>
      <c r="E137" s="42">
        <f t="shared" si="63"/>
        <v>0.068</v>
      </c>
      <c r="F137" s="42">
        <f t="shared" si="64"/>
        <v>0.039</v>
      </c>
      <c r="G137" s="42">
        <f t="shared" si="65"/>
        <v>0.076</v>
      </c>
      <c r="H137" s="42">
        <f t="shared" si="66"/>
        <v>0.096</v>
      </c>
      <c r="I137" s="42">
        <f t="shared" si="67"/>
        <v>0.05</v>
      </c>
      <c r="J137" s="42">
        <f t="shared" si="68"/>
        <v>0.092</v>
      </c>
      <c r="K137" s="42">
        <f t="shared" si="69"/>
        <v>0.068</v>
      </c>
      <c r="L137" s="42">
        <f t="shared" si="70"/>
        <v>0.757</v>
      </c>
      <c r="M137" s="53">
        <f t="shared" si="71"/>
        <v>0.757</v>
      </c>
      <c r="N137" s="9">
        <f t="shared" si="72"/>
        <v>11</v>
      </c>
    </row>
    <row r="138">
      <c r="A138" s="44" t="str">
        <f t="shared" si="59"/>
        <v>JOSIA NABABAN</v>
      </c>
      <c r="B138" s="42">
        <f t="shared" si="60"/>
        <v>0.068</v>
      </c>
      <c r="C138" s="42">
        <f t="shared" si="61"/>
        <v>0.1013333333</v>
      </c>
      <c r="D138" s="42">
        <f t="shared" si="62"/>
        <v>0.09866666667</v>
      </c>
      <c r="E138" s="42">
        <f t="shared" si="63"/>
        <v>0.068</v>
      </c>
      <c r="F138" s="42">
        <f t="shared" si="64"/>
        <v>0.065</v>
      </c>
      <c r="G138" s="42">
        <f t="shared" si="65"/>
        <v>0.095</v>
      </c>
      <c r="H138" s="42">
        <f t="shared" si="66"/>
        <v>0.12</v>
      </c>
      <c r="I138" s="42">
        <f t="shared" si="67"/>
        <v>0.1</v>
      </c>
      <c r="J138" s="42">
        <f t="shared" si="68"/>
        <v>0.092</v>
      </c>
      <c r="K138" s="42">
        <f t="shared" si="69"/>
        <v>0.085</v>
      </c>
      <c r="L138" s="42">
        <f t="shared" si="70"/>
        <v>0.893</v>
      </c>
      <c r="M138" s="53">
        <f t="shared" si="71"/>
        <v>0.893</v>
      </c>
      <c r="N138" s="9">
        <f t="shared" si="72"/>
        <v>5</v>
      </c>
    </row>
    <row r="139">
      <c r="A139" s="44" t="str">
        <f t="shared" si="59"/>
        <v>IRMA SIANIPAR</v>
      </c>
      <c r="B139" s="42">
        <f t="shared" si="60"/>
        <v>0.068</v>
      </c>
      <c r="C139" s="42">
        <f t="shared" si="61"/>
        <v>0.1266666667</v>
      </c>
      <c r="D139" s="42">
        <f t="shared" si="62"/>
        <v>0.09866666667</v>
      </c>
      <c r="E139" s="42">
        <f t="shared" si="63"/>
        <v>0.068</v>
      </c>
      <c r="F139" s="42">
        <f t="shared" si="64"/>
        <v>0.039</v>
      </c>
      <c r="G139" s="42">
        <f t="shared" si="65"/>
        <v>0.076</v>
      </c>
      <c r="H139" s="42">
        <f t="shared" si="66"/>
        <v>0.096</v>
      </c>
      <c r="I139" s="42">
        <f t="shared" si="67"/>
        <v>0.075</v>
      </c>
      <c r="J139" s="42">
        <f t="shared" si="68"/>
        <v>0.092</v>
      </c>
      <c r="K139" s="42">
        <f t="shared" si="69"/>
        <v>0.085</v>
      </c>
      <c r="L139" s="42">
        <f t="shared" si="70"/>
        <v>0.8243333333</v>
      </c>
      <c r="M139" s="53">
        <f t="shared" si="71"/>
        <v>0.8243333333</v>
      </c>
      <c r="N139" s="9">
        <f t="shared" si="72"/>
        <v>8</v>
      </c>
    </row>
    <row r="140">
      <c r="A140" s="44" t="str">
        <f t="shared" si="59"/>
        <v>LAMTIUR NABABAN</v>
      </c>
      <c r="B140" s="42">
        <f t="shared" si="60"/>
        <v>0.068</v>
      </c>
      <c r="C140" s="42">
        <f t="shared" si="61"/>
        <v>0.1013333333</v>
      </c>
      <c r="D140" s="42">
        <f t="shared" si="62"/>
        <v>0.074</v>
      </c>
      <c r="E140" s="42">
        <f t="shared" si="63"/>
        <v>0.051</v>
      </c>
      <c r="F140" s="42">
        <f t="shared" si="64"/>
        <v>0.052</v>
      </c>
      <c r="G140" s="42">
        <f t="shared" si="65"/>
        <v>0.076</v>
      </c>
      <c r="H140" s="42">
        <f t="shared" si="66"/>
        <v>0.096</v>
      </c>
      <c r="I140" s="42">
        <f t="shared" si="67"/>
        <v>0.05</v>
      </c>
      <c r="J140" s="42">
        <f t="shared" si="68"/>
        <v>0.092</v>
      </c>
      <c r="K140" s="42">
        <f t="shared" si="69"/>
        <v>0.068</v>
      </c>
      <c r="L140" s="42">
        <f t="shared" si="70"/>
        <v>0.7283333333</v>
      </c>
      <c r="M140" s="53">
        <f t="shared" si="71"/>
        <v>0.7283333333</v>
      </c>
      <c r="N140" s="9">
        <f t="shared" si="72"/>
        <v>14</v>
      </c>
    </row>
    <row r="141">
      <c r="A141" s="44" t="str">
        <f t="shared" si="59"/>
        <v>RAHUL NABABAN</v>
      </c>
      <c r="B141" s="42">
        <f t="shared" si="60"/>
        <v>0.068</v>
      </c>
      <c r="C141" s="42">
        <f t="shared" si="61"/>
        <v>0.076</v>
      </c>
      <c r="D141" s="42">
        <f t="shared" si="62"/>
        <v>0.09866666667</v>
      </c>
      <c r="E141" s="42">
        <f t="shared" si="63"/>
        <v>0.068</v>
      </c>
      <c r="F141" s="42">
        <f t="shared" si="64"/>
        <v>0.039</v>
      </c>
      <c r="G141" s="42">
        <f t="shared" si="65"/>
        <v>0.076</v>
      </c>
      <c r="H141" s="42">
        <f t="shared" si="66"/>
        <v>0.096</v>
      </c>
      <c r="I141" s="42">
        <f t="shared" si="67"/>
        <v>0.05</v>
      </c>
      <c r="J141" s="42">
        <f t="shared" si="68"/>
        <v>0.092</v>
      </c>
      <c r="K141" s="42">
        <f t="shared" si="69"/>
        <v>0.068</v>
      </c>
      <c r="L141" s="42">
        <f t="shared" si="70"/>
        <v>0.7316666667</v>
      </c>
      <c r="M141" s="53">
        <f t="shared" si="71"/>
        <v>0.7316666667</v>
      </c>
      <c r="N141" s="9">
        <f t="shared" si="72"/>
        <v>13</v>
      </c>
    </row>
    <row r="142">
      <c r="A142" s="44" t="str">
        <f t="shared" si="59"/>
        <v>HOSIANA NABABAN</v>
      </c>
      <c r="B142" s="42">
        <f t="shared" si="60"/>
        <v>0.068</v>
      </c>
      <c r="C142" s="42">
        <f t="shared" si="61"/>
        <v>0.1013333333</v>
      </c>
      <c r="D142" s="42">
        <f t="shared" si="62"/>
        <v>0.09866666667</v>
      </c>
      <c r="E142" s="42">
        <f t="shared" si="63"/>
        <v>0.051</v>
      </c>
      <c r="F142" s="42">
        <f t="shared" si="64"/>
        <v>0.039</v>
      </c>
      <c r="G142" s="42">
        <f t="shared" si="65"/>
        <v>0.057</v>
      </c>
      <c r="H142" s="42">
        <f t="shared" si="66"/>
        <v>0.096</v>
      </c>
      <c r="I142" s="42">
        <f t="shared" si="67"/>
        <v>0.05</v>
      </c>
      <c r="J142" s="42">
        <f t="shared" si="68"/>
        <v>0.115</v>
      </c>
      <c r="K142" s="42">
        <f t="shared" si="69"/>
        <v>0.068</v>
      </c>
      <c r="L142" s="42">
        <f t="shared" si="70"/>
        <v>0.744</v>
      </c>
      <c r="M142" s="53">
        <f t="shared" si="71"/>
        <v>0.744</v>
      </c>
      <c r="N142" s="9">
        <f t="shared" si="72"/>
        <v>12</v>
      </c>
    </row>
    <row r="143">
      <c r="A143" s="44" t="str">
        <f t="shared" si="59"/>
        <v>ESTER NABABAN</v>
      </c>
      <c r="B143" s="42">
        <f t="shared" si="60"/>
        <v>0.068</v>
      </c>
      <c r="C143" s="42">
        <f t="shared" si="61"/>
        <v>0.076</v>
      </c>
      <c r="D143" s="42">
        <f t="shared" si="62"/>
        <v>0.09866666667</v>
      </c>
      <c r="E143" s="42">
        <f t="shared" si="63"/>
        <v>0.068</v>
      </c>
      <c r="F143" s="42">
        <f t="shared" si="64"/>
        <v>0.039</v>
      </c>
      <c r="G143" s="42">
        <f t="shared" si="65"/>
        <v>0.076</v>
      </c>
      <c r="H143" s="42">
        <f t="shared" si="66"/>
        <v>0.096</v>
      </c>
      <c r="I143" s="42">
        <f t="shared" si="67"/>
        <v>0.05</v>
      </c>
      <c r="J143" s="42">
        <f t="shared" si="68"/>
        <v>0.092</v>
      </c>
      <c r="K143" s="42">
        <f t="shared" si="69"/>
        <v>0.051</v>
      </c>
      <c r="L143" s="42">
        <f t="shared" si="70"/>
        <v>0.7146666667</v>
      </c>
      <c r="M143" s="53">
        <f t="shared" si="71"/>
        <v>0.7146666667</v>
      </c>
      <c r="N143" s="9">
        <f t="shared" si="72"/>
        <v>15</v>
      </c>
    </row>
    <row r="144">
      <c r="A144" s="44" t="str">
        <f t="shared" si="59"/>
        <v>ANWAR NABABAN</v>
      </c>
      <c r="B144" s="42">
        <f t="shared" si="60"/>
        <v>0.051</v>
      </c>
      <c r="C144" s="42">
        <f t="shared" si="61"/>
        <v>0.076</v>
      </c>
      <c r="D144" s="42">
        <f t="shared" si="62"/>
        <v>0.074</v>
      </c>
      <c r="E144" s="42">
        <f t="shared" si="63"/>
        <v>0.051</v>
      </c>
      <c r="F144" s="42">
        <f t="shared" si="64"/>
        <v>0.052</v>
      </c>
      <c r="G144" s="42">
        <f t="shared" si="65"/>
        <v>0.076</v>
      </c>
      <c r="H144" s="42">
        <f t="shared" si="66"/>
        <v>0.096</v>
      </c>
      <c r="I144" s="42">
        <f t="shared" si="67"/>
        <v>0.025</v>
      </c>
      <c r="J144" s="42">
        <f t="shared" si="68"/>
        <v>0.069</v>
      </c>
      <c r="K144" s="42">
        <f t="shared" si="69"/>
        <v>0.068</v>
      </c>
      <c r="L144" s="42">
        <f t="shared" si="70"/>
        <v>0.638</v>
      </c>
      <c r="M144" s="53">
        <f t="shared" si="71"/>
        <v>0.638</v>
      </c>
      <c r="N144" s="9">
        <f t="shared" si="72"/>
        <v>18</v>
      </c>
    </row>
    <row r="145">
      <c r="A145" s="44" t="str">
        <f t="shared" si="59"/>
        <v>MORISCA SIBAGARIANG</v>
      </c>
      <c r="B145" s="42">
        <f t="shared" si="60"/>
        <v>0.051</v>
      </c>
      <c r="C145" s="42">
        <f t="shared" si="61"/>
        <v>0.076</v>
      </c>
      <c r="D145" s="42">
        <f t="shared" si="62"/>
        <v>0.09866666667</v>
      </c>
      <c r="E145" s="42">
        <f t="shared" si="63"/>
        <v>0.051</v>
      </c>
      <c r="F145" s="42">
        <f t="shared" si="64"/>
        <v>0.039</v>
      </c>
      <c r="G145" s="42">
        <f t="shared" si="65"/>
        <v>0.057</v>
      </c>
      <c r="H145" s="42">
        <f t="shared" si="66"/>
        <v>0.096</v>
      </c>
      <c r="I145" s="42">
        <f t="shared" si="67"/>
        <v>0.025</v>
      </c>
      <c r="J145" s="42">
        <f t="shared" si="68"/>
        <v>0.092</v>
      </c>
      <c r="K145" s="42">
        <f t="shared" si="69"/>
        <v>0.068</v>
      </c>
      <c r="L145" s="42">
        <f t="shared" si="70"/>
        <v>0.6536666667</v>
      </c>
      <c r="M145" s="53">
        <f t="shared" si="71"/>
        <v>0.6536666667</v>
      </c>
      <c r="N145" s="9">
        <f t="shared" si="72"/>
        <v>16</v>
      </c>
    </row>
    <row r="146">
      <c r="A146" s="44" t="str">
        <f t="shared" si="59"/>
        <v>ELFRIDA SITINJAK</v>
      </c>
      <c r="B146" s="42">
        <f t="shared" si="60"/>
        <v>0.051</v>
      </c>
      <c r="C146" s="42">
        <f t="shared" si="61"/>
        <v>0.1013333333</v>
      </c>
      <c r="D146" s="42">
        <f t="shared" si="62"/>
        <v>0.09866666667</v>
      </c>
      <c r="E146" s="42">
        <f t="shared" si="63"/>
        <v>0.068</v>
      </c>
      <c r="F146" s="42">
        <f t="shared" si="64"/>
        <v>0.039</v>
      </c>
      <c r="G146" s="42">
        <f t="shared" si="65"/>
        <v>0.057</v>
      </c>
      <c r="H146" s="42">
        <f t="shared" si="66"/>
        <v>0.096</v>
      </c>
      <c r="I146" s="42">
        <f t="shared" si="67"/>
        <v>0.075</v>
      </c>
      <c r="J146" s="42">
        <f t="shared" si="68"/>
        <v>0.092</v>
      </c>
      <c r="K146" s="42">
        <f t="shared" si="69"/>
        <v>0.085</v>
      </c>
      <c r="L146" s="42">
        <f t="shared" si="70"/>
        <v>0.763</v>
      </c>
      <c r="M146" s="53">
        <f t="shared" si="71"/>
        <v>0.763</v>
      </c>
      <c r="N146" s="9">
        <f t="shared" si="72"/>
        <v>10</v>
      </c>
    </row>
    <row r="147">
      <c r="A147" s="44" t="str">
        <f t="shared" si="59"/>
        <v>CREDO NABABAN</v>
      </c>
      <c r="B147" s="42">
        <f t="shared" si="60"/>
        <v>0.051</v>
      </c>
      <c r="C147" s="42">
        <f t="shared" si="61"/>
        <v>0.076</v>
      </c>
      <c r="D147" s="42">
        <f t="shared" si="62"/>
        <v>0.09866666667</v>
      </c>
      <c r="E147" s="42">
        <f t="shared" si="63"/>
        <v>0.051</v>
      </c>
      <c r="F147" s="42">
        <f t="shared" si="64"/>
        <v>0.052</v>
      </c>
      <c r="G147" s="42">
        <f t="shared" si="65"/>
        <v>0.057</v>
      </c>
      <c r="H147" s="42">
        <f t="shared" si="66"/>
        <v>0.096</v>
      </c>
      <c r="I147" s="42">
        <f t="shared" si="67"/>
        <v>0.05</v>
      </c>
      <c r="J147" s="42">
        <f t="shared" si="68"/>
        <v>0.069</v>
      </c>
      <c r="K147" s="42">
        <f t="shared" si="69"/>
        <v>0.051</v>
      </c>
      <c r="L147" s="42">
        <f t="shared" si="70"/>
        <v>0.6516666667</v>
      </c>
      <c r="M147" s="53">
        <f t="shared" si="71"/>
        <v>0.6516666667</v>
      </c>
      <c r="N147" s="9">
        <f t="shared" si="72"/>
        <v>17</v>
      </c>
    </row>
    <row r="148">
      <c r="A148" s="44" t="str">
        <f t="shared" si="59"/>
        <v>SERDI SILITONGA</v>
      </c>
      <c r="B148" s="42">
        <f t="shared" si="60"/>
        <v>0.051</v>
      </c>
      <c r="C148" s="42">
        <f t="shared" si="61"/>
        <v>0.05066666667</v>
      </c>
      <c r="D148" s="42">
        <f t="shared" si="62"/>
        <v>0.074</v>
      </c>
      <c r="E148" s="42">
        <f t="shared" si="63"/>
        <v>0.051</v>
      </c>
      <c r="F148" s="42">
        <f t="shared" si="64"/>
        <v>0.039</v>
      </c>
      <c r="G148" s="42">
        <f t="shared" si="65"/>
        <v>0.076</v>
      </c>
      <c r="H148" s="42">
        <f t="shared" si="66"/>
        <v>0.072</v>
      </c>
      <c r="I148" s="42">
        <f t="shared" si="67"/>
        <v>0.025</v>
      </c>
      <c r="J148" s="42">
        <f t="shared" si="68"/>
        <v>0.069</v>
      </c>
      <c r="K148" s="42">
        <f t="shared" si="69"/>
        <v>0.051</v>
      </c>
      <c r="L148" s="42">
        <f t="shared" si="70"/>
        <v>0.5586666667</v>
      </c>
      <c r="M148" s="53">
        <f t="shared" si="71"/>
        <v>0.5586666667</v>
      </c>
      <c r="N148" s="9">
        <f t="shared" si="72"/>
        <v>20</v>
      </c>
    </row>
    <row r="149">
      <c r="A149" s="44" t="str">
        <f t="shared" si="59"/>
        <v>JELMANRO SILITONGA</v>
      </c>
      <c r="B149" s="42">
        <f t="shared" si="60"/>
        <v>0.051</v>
      </c>
      <c r="C149" s="42">
        <f t="shared" si="61"/>
        <v>0.076</v>
      </c>
      <c r="D149" s="42">
        <f t="shared" si="62"/>
        <v>0.04933333333</v>
      </c>
      <c r="E149" s="42">
        <f t="shared" si="63"/>
        <v>0.051</v>
      </c>
      <c r="F149" s="42">
        <f t="shared" si="64"/>
        <v>0.039</v>
      </c>
      <c r="G149" s="42">
        <f t="shared" si="65"/>
        <v>0.057</v>
      </c>
      <c r="H149" s="42">
        <f t="shared" si="66"/>
        <v>0.072</v>
      </c>
      <c r="I149" s="42">
        <f t="shared" si="67"/>
        <v>0.05</v>
      </c>
      <c r="J149" s="42">
        <f t="shared" si="68"/>
        <v>0.069</v>
      </c>
      <c r="K149" s="42">
        <f t="shared" si="69"/>
        <v>0.051</v>
      </c>
      <c r="L149" s="42">
        <f t="shared" si="70"/>
        <v>0.5653333333</v>
      </c>
      <c r="M149" s="53">
        <f t="shared" si="71"/>
        <v>0.5653333333</v>
      </c>
      <c r="N149" s="9">
        <f t="shared" si="72"/>
        <v>19</v>
      </c>
    </row>
    <row r="150">
      <c r="A150" s="41" t="str">
        <f t="shared" si="59"/>
        <v>AI</v>
      </c>
      <c r="B150" s="41">
        <f t="shared" si="60"/>
        <v>0.085</v>
      </c>
      <c r="C150" s="41">
        <f t="shared" si="61"/>
        <v>0.1266666667</v>
      </c>
      <c r="D150" s="41">
        <f t="shared" si="62"/>
        <v>0.1233333333</v>
      </c>
      <c r="E150" s="41">
        <f t="shared" si="63"/>
        <v>0.085</v>
      </c>
      <c r="F150" s="41">
        <f t="shared" si="64"/>
        <v>0.065</v>
      </c>
      <c r="G150" s="41">
        <f t="shared" si="65"/>
        <v>0.095</v>
      </c>
      <c r="H150" s="41">
        <f t="shared" si="66"/>
        <v>0.12</v>
      </c>
      <c r="I150" s="41">
        <f t="shared" si="67"/>
        <v>0.1</v>
      </c>
      <c r="J150" s="41">
        <f t="shared" si="68"/>
        <v>0.115</v>
      </c>
      <c r="K150" s="41">
        <f t="shared" si="69"/>
        <v>0.085</v>
      </c>
      <c r="L150" s="41">
        <f t="shared" si="70"/>
        <v>1</v>
      </c>
    </row>
    <row r="151">
      <c r="A151" s="28" t="str">
        <f t="shared" si="59"/>
        <v>AAI</v>
      </c>
      <c r="B151" s="28">
        <f t="shared" si="60"/>
        <v>0.051</v>
      </c>
      <c r="C151" s="28">
        <f t="shared" si="61"/>
        <v>0.05066666667</v>
      </c>
      <c r="D151" s="28">
        <f t="shared" si="62"/>
        <v>0.04933333333</v>
      </c>
      <c r="E151" s="28">
        <f t="shared" si="63"/>
        <v>0.051</v>
      </c>
      <c r="F151" s="28">
        <f t="shared" si="64"/>
        <v>0.039</v>
      </c>
      <c r="G151" s="28">
        <f t="shared" si="65"/>
        <v>0.057</v>
      </c>
      <c r="H151" s="28">
        <f t="shared" si="66"/>
        <v>0.072</v>
      </c>
      <c r="I151" s="28">
        <f t="shared" si="67"/>
        <v>0.025</v>
      </c>
      <c r="J151" s="28">
        <f t="shared" si="68"/>
        <v>0.069</v>
      </c>
      <c r="K151" s="28">
        <f t="shared" si="69"/>
        <v>0.051</v>
      </c>
      <c r="L151" s="28">
        <f t="shared" si="70"/>
        <v>0.515</v>
      </c>
    </row>
    <row r="152">
      <c r="A152" s="42" t="str">
        <f t="shared" si="59"/>
        <v/>
      </c>
    </row>
    <row r="153">
      <c r="A153" s="21"/>
      <c r="B153" s="20" t="s">
        <v>93</v>
      </c>
      <c r="C153" s="20" t="s">
        <v>94</v>
      </c>
      <c r="D153" s="20" t="s">
        <v>103</v>
      </c>
      <c r="E153" s="20" t="s">
        <v>104</v>
      </c>
      <c r="F153" s="20" t="s">
        <v>105</v>
      </c>
      <c r="G153" s="20" t="s">
        <v>106</v>
      </c>
    </row>
    <row r="154">
      <c r="A154" s="22" t="s">
        <v>11</v>
      </c>
      <c r="B154" s="42">
        <f t="shared" ref="B154:B173" si="73">L130/$L$151</f>
        <v>1.875728155</v>
      </c>
      <c r="C154" s="42">
        <f t="shared" ref="C154:C173" si="74">L130/$L$150</f>
        <v>0.966</v>
      </c>
      <c r="D154" s="42">
        <f t="shared" ref="D154:D173" si="75">(C154/(C154+B154))</f>
        <v>0.3399339934</v>
      </c>
      <c r="E154" s="42">
        <f t="shared" ref="E154:E173" si="76">(B154/(B154+C154))</f>
        <v>0.6600660066</v>
      </c>
      <c r="F154" s="42">
        <f t="shared" ref="F154:F173" si="77">(C154+B154)/(1+((1-E154)/E154)+((1-D154)/D154))</f>
        <v>0.8220814785</v>
      </c>
      <c r="G154" s="9">
        <f t="shared" ref="G154:G173" si="78">RANK(F154,$F$154:$F$173,0)</f>
        <v>2</v>
      </c>
    </row>
    <row r="155">
      <c r="A155" s="22" t="s">
        <v>12</v>
      </c>
      <c r="B155" s="42">
        <f t="shared" si="73"/>
        <v>1.765695793</v>
      </c>
      <c r="C155" s="42">
        <f t="shared" si="74"/>
        <v>0.9093333333</v>
      </c>
      <c r="D155" s="42">
        <f t="shared" si="75"/>
        <v>0.3399339934</v>
      </c>
      <c r="E155" s="42">
        <f t="shared" si="76"/>
        <v>0.6600660066</v>
      </c>
      <c r="F155" s="42">
        <f t="shared" si="77"/>
        <v>0.7738572371</v>
      </c>
      <c r="G155" s="9">
        <f t="shared" si="78"/>
        <v>3</v>
      </c>
    </row>
    <row r="156">
      <c r="A156" s="22" t="s">
        <v>13</v>
      </c>
      <c r="B156" s="42">
        <f t="shared" si="73"/>
        <v>1.717152104</v>
      </c>
      <c r="C156" s="42">
        <f t="shared" si="74"/>
        <v>0.8843333333</v>
      </c>
      <c r="D156" s="42">
        <f t="shared" si="75"/>
        <v>0.3399339934</v>
      </c>
      <c r="E156" s="42">
        <f t="shared" si="76"/>
        <v>0.6600660066</v>
      </c>
      <c r="F156" s="42">
        <f t="shared" si="77"/>
        <v>0.7525818366</v>
      </c>
      <c r="G156" s="9">
        <f t="shared" si="78"/>
        <v>6</v>
      </c>
    </row>
    <row r="157">
      <c r="A157" s="22" t="s">
        <v>14</v>
      </c>
      <c r="B157" s="42">
        <f t="shared" si="73"/>
        <v>1.941747573</v>
      </c>
      <c r="C157" s="42">
        <f t="shared" si="74"/>
        <v>1</v>
      </c>
      <c r="D157" s="42">
        <f t="shared" si="75"/>
        <v>0.3399339934</v>
      </c>
      <c r="E157" s="42">
        <f t="shared" si="76"/>
        <v>0.6600660066</v>
      </c>
      <c r="F157" s="42">
        <f t="shared" si="77"/>
        <v>0.8510160233</v>
      </c>
      <c r="G157" s="9">
        <f t="shared" si="78"/>
        <v>1</v>
      </c>
    </row>
    <row r="158">
      <c r="A158" s="22" t="s">
        <v>15</v>
      </c>
      <c r="B158" s="42">
        <f t="shared" si="73"/>
        <v>1.754045307</v>
      </c>
      <c r="C158" s="42">
        <f t="shared" si="74"/>
        <v>0.9033333333</v>
      </c>
      <c r="D158" s="42">
        <f t="shared" si="75"/>
        <v>0.3399339934</v>
      </c>
      <c r="E158" s="42">
        <f t="shared" si="76"/>
        <v>0.6600660066</v>
      </c>
      <c r="F158" s="42">
        <f t="shared" si="77"/>
        <v>0.768751141</v>
      </c>
      <c r="G158" s="9">
        <f t="shared" si="78"/>
        <v>4</v>
      </c>
    </row>
    <row r="159">
      <c r="A159" s="22" t="s">
        <v>16</v>
      </c>
      <c r="B159" s="42">
        <f t="shared" si="73"/>
        <v>1.53592233</v>
      </c>
      <c r="C159" s="42">
        <f t="shared" si="74"/>
        <v>0.791</v>
      </c>
      <c r="D159" s="42">
        <f t="shared" si="75"/>
        <v>0.3399339934</v>
      </c>
      <c r="E159" s="42">
        <f t="shared" si="76"/>
        <v>0.6600660066</v>
      </c>
      <c r="F159" s="42">
        <f t="shared" si="77"/>
        <v>0.6731536744</v>
      </c>
      <c r="G159" s="9">
        <f t="shared" si="78"/>
        <v>9</v>
      </c>
    </row>
    <row r="160">
      <c r="A160" s="22" t="s">
        <v>17</v>
      </c>
      <c r="B160" s="42">
        <f t="shared" si="73"/>
        <v>1.654368932</v>
      </c>
      <c r="C160" s="42">
        <f t="shared" si="74"/>
        <v>0.852</v>
      </c>
      <c r="D160" s="42">
        <f t="shared" si="75"/>
        <v>0.3399339934</v>
      </c>
      <c r="E160" s="42">
        <f t="shared" si="76"/>
        <v>0.6600660066</v>
      </c>
      <c r="F160" s="42">
        <f t="shared" si="77"/>
        <v>0.7250656518</v>
      </c>
      <c r="G160" s="9">
        <f t="shared" si="78"/>
        <v>7</v>
      </c>
    </row>
    <row r="161">
      <c r="A161" s="22" t="s">
        <v>18</v>
      </c>
      <c r="B161" s="42">
        <f t="shared" si="73"/>
        <v>1.469902913</v>
      </c>
      <c r="C161" s="42">
        <f t="shared" si="74"/>
        <v>0.757</v>
      </c>
      <c r="D161" s="42">
        <f t="shared" si="75"/>
        <v>0.3399339934</v>
      </c>
      <c r="E161" s="42">
        <f t="shared" si="76"/>
        <v>0.6600660066</v>
      </c>
      <c r="F161" s="42">
        <f t="shared" si="77"/>
        <v>0.6442191296</v>
      </c>
      <c r="G161" s="9">
        <f t="shared" si="78"/>
        <v>11</v>
      </c>
    </row>
    <row r="162">
      <c r="A162" s="22" t="s">
        <v>19</v>
      </c>
      <c r="B162" s="42">
        <f t="shared" si="73"/>
        <v>1.733980583</v>
      </c>
      <c r="C162" s="42">
        <f t="shared" si="74"/>
        <v>0.893</v>
      </c>
      <c r="D162" s="42">
        <f t="shared" si="75"/>
        <v>0.3399339934</v>
      </c>
      <c r="E162" s="42">
        <f t="shared" si="76"/>
        <v>0.6600660066</v>
      </c>
      <c r="F162" s="42">
        <f t="shared" si="77"/>
        <v>0.7599573088</v>
      </c>
      <c r="G162" s="9">
        <f t="shared" si="78"/>
        <v>5</v>
      </c>
    </row>
    <row r="163">
      <c r="A163" s="22" t="s">
        <v>20</v>
      </c>
      <c r="B163" s="42">
        <f t="shared" si="73"/>
        <v>1.600647249</v>
      </c>
      <c r="C163" s="42">
        <f t="shared" si="74"/>
        <v>0.8243333333</v>
      </c>
      <c r="D163" s="42">
        <f t="shared" si="75"/>
        <v>0.3399339934</v>
      </c>
      <c r="E163" s="42">
        <f t="shared" si="76"/>
        <v>0.6600660066</v>
      </c>
      <c r="F163" s="42">
        <f t="shared" si="77"/>
        <v>0.7015208752</v>
      </c>
      <c r="G163" s="9">
        <f t="shared" si="78"/>
        <v>8</v>
      </c>
    </row>
    <row r="164">
      <c r="A164" s="22" t="s">
        <v>21</v>
      </c>
      <c r="B164" s="42">
        <f t="shared" si="73"/>
        <v>1.414239482</v>
      </c>
      <c r="C164" s="42">
        <f t="shared" si="74"/>
        <v>0.7283333333</v>
      </c>
      <c r="D164" s="42">
        <f t="shared" si="75"/>
        <v>0.3399339934</v>
      </c>
      <c r="E164" s="42">
        <f t="shared" si="76"/>
        <v>0.6600660066</v>
      </c>
      <c r="F164" s="42">
        <f t="shared" si="77"/>
        <v>0.6198233369</v>
      </c>
      <c r="G164" s="9">
        <f t="shared" si="78"/>
        <v>14</v>
      </c>
    </row>
    <row r="165">
      <c r="A165" s="22" t="s">
        <v>22</v>
      </c>
      <c r="B165" s="42">
        <f t="shared" si="73"/>
        <v>1.420711974</v>
      </c>
      <c r="C165" s="42">
        <f t="shared" si="74"/>
        <v>0.7316666667</v>
      </c>
      <c r="D165" s="42">
        <f t="shared" si="75"/>
        <v>0.3399339934</v>
      </c>
      <c r="E165" s="42">
        <f t="shared" si="76"/>
        <v>0.6600660066</v>
      </c>
      <c r="F165" s="42">
        <f t="shared" si="77"/>
        <v>0.622660057</v>
      </c>
      <c r="G165" s="9">
        <f t="shared" si="78"/>
        <v>13</v>
      </c>
    </row>
    <row r="166">
      <c r="A166" s="22" t="s">
        <v>23</v>
      </c>
      <c r="B166" s="42">
        <f t="shared" si="73"/>
        <v>1.444660194</v>
      </c>
      <c r="C166" s="42">
        <f t="shared" si="74"/>
        <v>0.744</v>
      </c>
      <c r="D166" s="42">
        <f t="shared" si="75"/>
        <v>0.3399339934</v>
      </c>
      <c r="E166" s="42">
        <f t="shared" si="76"/>
        <v>0.6600660066</v>
      </c>
      <c r="F166" s="42">
        <f t="shared" si="77"/>
        <v>0.6331559213</v>
      </c>
      <c r="G166" s="9">
        <f t="shared" si="78"/>
        <v>12</v>
      </c>
    </row>
    <row r="167">
      <c r="A167" s="22" t="s">
        <v>24</v>
      </c>
      <c r="B167" s="42">
        <f t="shared" si="73"/>
        <v>1.387702265</v>
      </c>
      <c r="C167" s="42">
        <f t="shared" si="74"/>
        <v>0.7146666667</v>
      </c>
      <c r="D167" s="42">
        <f t="shared" si="75"/>
        <v>0.3399339934</v>
      </c>
      <c r="E167" s="42">
        <f t="shared" si="76"/>
        <v>0.6600660066</v>
      </c>
      <c r="F167" s="42">
        <f t="shared" si="77"/>
        <v>0.6081927846</v>
      </c>
      <c r="G167" s="9">
        <f t="shared" si="78"/>
        <v>15</v>
      </c>
    </row>
    <row r="168">
      <c r="A168" s="22" t="s">
        <v>25</v>
      </c>
      <c r="B168" s="42">
        <f t="shared" si="73"/>
        <v>1.238834951</v>
      </c>
      <c r="C168" s="42">
        <f t="shared" si="74"/>
        <v>0.638</v>
      </c>
      <c r="D168" s="42">
        <f t="shared" si="75"/>
        <v>0.3399339934</v>
      </c>
      <c r="E168" s="42">
        <f t="shared" si="76"/>
        <v>0.6600660066</v>
      </c>
      <c r="F168" s="42">
        <f t="shared" si="77"/>
        <v>0.5429482228</v>
      </c>
      <c r="G168" s="9">
        <f t="shared" si="78"/>
        <v>18</v>
      </c>
    </row>
    <row r="169">
      <c r="A169" s="22" t="s">
        <v>26</v>
      </c>
      <c r="B169" s="42">
        <f t="shared" si="73"/>
        <v>1.269255663</v>
      </c>
      <c r="C169" s="42">
        <f t="shared" si="74"/>
        <v>0.6536666667</v>
      </c>
      <c r="D169" s="42">
        <f t="shared" si="75"/>
        <v>0.3399339934</v>
      </c>
      <c r="E169" s="42">
        <f t="shared" si="76"/>
        <v>0.6600660066</v>
      </c>
      <c r="F169" s="42">
        <f t="shared" si="77"/>
        <v>0.5562808072</v>
      </c>
      <c r="G169" s="9">
        <f t="shared" si="78"/>
        <v>16</v>
      </c>
    </row>
    <row r="170">
      <c r="A170" s="22" t="s">
        <v>27</v>
      </c>
      <c r="B170" s="42">
        <f t="shared" si="73"/>
        <v>1.481553398</v>
      </c>
      <c r="C170" s="42">
        <f t="shared" si="74"/>
        <v>0.763</v>
      </c>
      <c r="D170" s="42">
        <f t="shared" si="75"/>
        <v>0.3399339934</v>
      </c>
      <c r="E170" s="42">
        <f t="shared" si="76"/>
        <v>0.6600660066</v>
      </c>
      <c r="F170" s="42">
        <f t="shared" si="77"/>
        <v>0.6493252257</v>
      </c>
      <c r="G170" s="9">
        <f t="shared" si="78"/>
        <v>10</v>
      </c>
    </row>
    <row r="171">
      <c r="A171" s="22" t="s">
        <v>28</v>
      </c>
      <c r="B171" s="42">
        <f t="shared" si="73"/>
        <v>1.265372168</v>
      </c>
      <c r="C171" s="42">
        <f t="shared" si="74"/>
        <v>0.6516666667</v>
      </c>
      <c r="D171" s="42">
        <f t="shared" si="75"/>
        <v>0.3399339934</v>
      </c>
      <c r="E171" s="42">
        <f t="shared" si="76"/>
        <v>0.6600660066</v>
      </c>
      <c r="F171" s="42">
        <f t="shared" si="77"/>
        <v>0.5545787752</v>
      </c>
      <c r="G171" s="9">
        <f t="shared" si="78"/>
        <v>17</v>
      </c>
    </row>
    <row r="172">
      <c r="A172" s="22" t="s">
        <v>29</v>
      </c>
      <c r="B172" s="42">
        <f t="shared" si="73"/>
        <v>1.084789644</v>
      </c>
      <c r="C172" s="42">
        <f t="shared" si="74"/>
        <v>0.5586666667</v>
      </c>
      <c r="D172" s="42">
        <f t="shared" si="75"/>
        <v>0.3399339934</v>
      </c>
      <c r="E172" s="42">
        <f t="shared" si="76"/>
        <v>0.6600660066</v>
      </c>
      <c r="F172" s="42">
        <f t="shared" si="77"/>
        <v>0.475434285</v>
      </c>
      <c r="G172" s="9">
        <f t="shared" si="78"/>
        <v>20</v>
      </c>
    </row>
    <row r="173">
      <c r="A173" s="22" t="s">
        <v>30</v>
      </c>
      <c r="B173" s="42">
        <f t="shared" si="73"/>
        <v>1.097734628</v>
      </c>
      <c r="C173" s="42">
        <f t="shared" si="74"/>
        <v>0.5653333333</v>
      </c>
      <c r="D173" s="42">
        <f t="shared" si="75"/>
        <v>0.3399339934</v>
      </c>
      <c r="E173" s="42">
        <f t="shared" si="76"/>
        <v>0.6600660066</v>
      </c>
      <c r="F173" s="42">
        <f t="shared" si="77"/>
        <v>0.4811077251</v>
      </c>
      <c r="G173" s="9">
        <f t="shared" si="78"/>
        <v>19</v>
      </c>
    </row>
    <row r="175">
      <c r="A175" s="48" t="s">
        <v>107</v>
      </c>
      <c r="B175" s="49"/>
      <c r="C175" s="49"/>
      <c r="D175" s="49"/>
      <c r="E175" s="49"/>
      <c r="F175" s="49"/>
      <c r="G175" s="49"/>
      <c r="H175" s="49"/>
      <c r="I175" s="49"/>
      <c r="J175" s="49"/>
      <c r="K175" s="49"/>
      <c r="L175" s="49"/>
      <c r="M175" s="49"/>
      <c r="N175" s="49"/>
      <c r="O175" s="49"/>
      <c r="P175" s="54" t="s">
        <v>108</v>
      </c>
      <c r="Q175" s="55"/>
      <c r="R175" s="49"/>
      <c r="S175" s="49"/>
      <c r="T175" s="49"/>
      <c r="U175" s="49"/>
      <c r="V175" s="49"/>
      <c r="W175" s="49"/>
      <c r="X175" s="49"/>
      <c r="Y175" s="49"/>
      <c r="Z175" s="49"/>
    </row>
    <row r="176">
      <c r="A176" s="39" t="s">
        <v>0</v>
      </c>
      <c r="B176" s="39" t="s">
        <v>1</v>
      </c>
      <c r="C176" s="39" t="s">
        <v>2</v>
      </c>
      <c r="D176" s="39" t="s">
        <v>3</v>
      </c>
      <c r="E176" s="39" t="s">
        <v>4</v>
      </c>
      <c r="F176" s="39" t="s">
        <v>5</v>
      </c>
      <c r="G176" s="39" t="s">
        <v>6</v>
      </c>
      <c r="H176" s="39" t="s">
        <v>7</v>
      </c>
      <c r="I176" s="39" t="s">
        <v>8</v>
      </c>
      <c r="J176" s="39" t="s">
        <v>9</v>
      </c>
      <c r="K176" s="39" t="s">
        <v>10</v>
      </c>
      <c r="P176" s="56" t="s">
        <v>1</v>
      </c>
      <c r="Q176" s="56">
        <v>0.16</v>
      </c>
    </row>
    <row r="177">
      <c r="A177" s="1" t="s">
        <v>76</v>
      </c>
      <c r="B177" s="47">
        <f>Q176</f>
        <v>0.16</v>
      </c>
      <c r="C177" s="47">
        <f>Q177</f>
        <v>0.14</v>
      </c>
      <c r="D177" s="47">
        <f>Q178</f>
        <v>0.08</v>
      </c>
      <c r="E177" s="47">
        <f>Q179</f>
        <v>0.13</v>
      </c>
      <c r="F177" s="47">
        <f>Q180</f>
        <v>0.07</v>
      </c>
      <c r="G177" s="47">
        <f>Q181</f>
        <v>0.12</v>
      </c>
      <c r="H177" s="47">
        <f>Q182</f>
        <v>0.09</v>
      </c>
      <c r="I177" s="47">
        <f>Q183</f>
        <v>0.06</v>
      </c>
      <c r="J177" s="47">
        <f>Q184</f>
        <v>0.05</v>
      </c>
      <c r="K177" s="47">
        <f>Q185</f>
        <v>0.1</v>
      </c>
      <c r="L177" s="6" t="s">
        <v>109</v>
      </c>
      <c r="M177" s="6" t="s">
        <v>92</v>
      </c>
      <c r="P177" s="56" t="s">
        <v>2</v>
      </c>
      <c r="Q177" s="56">
        <v>0.14</v>
      </c>
    </row>
    <row r="178">
      <c r="A178" s="18" t="s">
        <v>11</v>
      </c>
      <c r="B178" s="42">
        <f t="shared" ref="B178:B199" si="79">$B$177*B105</f>
        <v>0.16</v>
      </c>
      <c r="C178" s="42">
        <f t="shared" ref="C178:C199" si="80">$C$177*C105</f>
        <v>0.14</v>
      </c>
      <c r="D178" s="42">
        <f t="shared" ref="D178:D199" si="81">$D$177*D105</f>
        <v>0.08</v>
      </c>
      <c r="E178" s="42">
        <f t="shared" ref="E178:E199" si="82">$E$177*E105</f>
        <v>0.104</v>
      </c>
      <c r="F178" s="42">
        <f t="shared" ref="F178:F199" si="83">$F$177*F105</f>
        <v>0.07</v>
      </c>
      <c r="G178" s="42">
        <f t="shared" ref="G178:G199" si="84">$G$177*G105</f>
        <v>0.12</v>
      </c>
      <c r="H178" s="42">
        <f t="shared" ref="H178:H199" si="85">$H$177*H105</f>
        <v>0.09</v>
      </c>
      <c r="I178" s="42">
        <f t="shared" ref="I178:I199" si="86">$I$177*I105</f>
        <v>0.06</v>
      </c>
      <c r="J178" s="42">
        <f t="shared" ref="J178:J199" si="87">$J$177*J105</f>
        <v>0.05</v>
      </c>
      <c r="K178" s="42">
        <f t="shared" ref="K178:K199" si="88">$K$177*K105</f>
        <v>0.08</v>
      </c>
      <c r="L178" s="53">
        <f t="shared" ref="L178:L199" si="89">SUM(B178:K178)</f>
        <v>0.954</v>
      </c>
      <c r="M178" s="9">
        <f t="shared" ref="M178:M197" si="90">RANK(L178,$L$178:$L$197,0)</f>
        <v>2</v>
      </c>
      <c r="P178" s="56" t="s">
        <v>3</v>
      </c>
      <c r="Q178" s="56">
        <v>0.08</v>
      </c>
    </row>
    <row r="179">
      <c r="A179" s="18" t="s">
        <v>12</v>
      </c>
      <c r="B179" s="42">
        <f t="shared" si="79"/>
        <v>0.16</v>
      </c>
      <c r="C179" s="42">
        <f t="shared" si="80"/>
        <v>0.14</v>
      </c>
      <c r="D179" s="42">
        <f t="shared" si="81"/>
        <v>0.064</v>
      </c>
      <c r="E179" s="42">
        <f t="shared" si="82"/>
        <v>0.104</v>
      </c>
      <c r="F179" s="42">
        <f t="shared" si="83"/>
        <v>0.056</v>
      </c>
      <c r="G179" s="42">
        <f t="shared" si="84"/>
        <v>0.096</v>
      </c>
      <c r="H179" s="42">
        <f t="shared" si="85"/>
        <v>0.09</v>
      </c>
      <c r="I179" s="42">
        <f t="shared" si="86"/>
        <v>0.06</v>
      </c>
      <c r="J179" s="42">
        <f t="shared" si="87"/>
        <v>0.05</v>
      </c>
      <c r="K179" s="42">
        <f t="shared" si="88"/>
        <v>0.08</v>
      </c>
      <c r="L179" s="53">
        <f t="shared" si="89"/>
        <v>0.9</v>
      </c>
      <c r="M179" s="9">
        <f t="shared" si="90"/>
        <v>3</v>
      </c>
      <c r="P179" s="56" t="s">
        <v>4</v>
      </c>
      <c r="Q179" s="56">
        <v>0.13</v>
      </c>
    </row>
    <row r="180">
      <c r="A180" s="18" t="s">
        <v>13</v>
      </c>
      <c r="B180" s="42">
        <f t="shared" si="79"/>
        <v>0.128</v>
      </c>
      <c r="C180" s="42">
        <f t="shared" si="80"/>
        <v>0.14</v>
      </c>
      <c r="D180" s="42">
        <f t="shared" si="81"/>
        <v>0.064</v>
      </c>
      <c r="E180" s="42">
        <f t="shared" si="82"/>
        <v>0.13</v>
      </c>
      <c r="F180" s="42">
        <f t="shared" si="83"/>
        <v>0.056</v>
      </c>
      <c r="G180" s="42">
        <f t="shared" si="84"/>
        <v>0.096</v>
      </c>
      <c r="H180" s="42">
        <f t="shared" si="85"/>
        <v>0.09</v>
      </c>
      <c r="I180" s="42">
        <f t="shared" si="86"/>
        <v>0.045</v>
      </c>
      <c r="J180" s="42">
        <f t="shared" si="87"/>
        <v>0.05</v>
      </c>
      <c r="K180" s="42">
        <f t="shared" si="88"/>
        <v>0.08</v>
      </c>
      <c r="L180" s="53">
        <f t="shared" si="89"/>
        <v>0.879</v>
      </c>
      <c r="M180" s="9">
        <f t="shared" si="90"/>
        <v>6</v>
      </c>
      <c r="P180" s="56" t="s">
        <v>5</v>
      </c>
      <c r="Q180" s="56">
        <v>0.07</v>
      </c>
    </row>
    <row r="181">
      <c r="A181" s="18" t="s">
        <v>14</v>
      </c>
      <c r="B181" s="42">
        <f t="shared" si="79"/>
        <v>0.16</v>
      </c>
      <c r="C181" s="42">
        <f t="shared" si="80"/>
        <v>0.14</v>
      </c>
      <c r="D181" s="42">
        <f t="shared" si="81"/>
        <v>0.08</v>
      </c>
      <c r="E181" s="42">
        <f t="shared" si="82"/>
        <v>0.13</v>
      </c>
      <c r="F181" s="42">
        <f t="shared" si="83"/>
        <v>0.07</v>
      </c>
      <c r="G181" s="42">
        <f t="shared" si="84"/>
        <v>0.12</v>
      </c>
      <c r="H181" s="42">
        <f t="shared" si="85"/>
        <v>0.09</v>
      </c>
      <c r="I181" s="42">
        <f t="shared" si="86"/>
        <v>0.06</v>
      </c>
      <c r="J181" s="42">
        <f t="shared" si="87"/>
        <v>0.05</v>
      </c>
      <c r="K181" s="42">
        <f t="shared" si="88"/>
        <v>0.1</v>
      </c>
      <c r="L181" s="53">
        <f t="shared" si="89"/>
        <v>1</v>
      </c>
      <c r="M181" s="9">
        <f t="shared" si="90"/>
        <v>1</v>
      </c>
      <c r="P181" s="56" t="s">
        <v>6</v>
      </c>
      <c r="Q181" s="56">
        <v>0.12</v>
      </c>
    </row>
    <row r="182">
      <c r="A182" s="18" t="s">
        <v>15</v>
      </c>
      <c r="B182" s="42">
        <f t="shared" si="79"/>
        <v>0.128</v>
      </c>
      <c r="C182" s="42">
        <f t="shared" si="80"/>
        <v>0.14</v>
      </c>
      <c r="D182" s="42">
        <f t="shared" si="81"/>
        <v>0.064</v>
      </c>
      <c r="E182" s="42">
        <f t="shared" si="82"/>
        <v>0.104</v>
      </c>
      <c r="F182" s="42">
        <f t="shared" si="83"/>
        <v>0.056</v>
      </c>
      <c r="G182" s="42">
        <f t="shared" si="84"/>
        <v>0.12</v>
      </c>
      <c r="H182" s="42">
        <f t="shared" si="85"/>
        <v>0.09</v>
      </c>
      <c r="I182" s="42">
        <f t="shared" si="86"/>
        <v>0.045</v>
      </c>
      <c r="J182" s="42">
        <f t="shared" si="87"/>
        <v>0.05</v>
      </c>
      <c r="K182" s="42">
        <f t="shared" si="88"/>
        <v>0.1</v>
      </c>
      <c r="L182" s="53">
        <f t="shared" si="89"/>
        <v>0.897</v>
      </c>
      <c r="M182" s="9">
        <f t="shared" si="90"/>
        <v>4</v>
      </c>
      <c r="P182" s="56" t="s">
        <v>7</v>
      </c>
      <c r="Q182" s="56">
        <v>0.09</v>
      </c>
    </row>
    <row r="183">
      <c r="A183" s="18" t="s">
        <v>16</v>
      </c>
      <c r="B183" s="42">
        <f t="shared" si="79"/>
        <v>0.128</v>
      </c>
      <c r="C183" s="42">
        <f t="shared" si="80"/>
        <v>0.112</v>
      </c>
      <c r="D183" s="42">
        <f t="shared" si="81"/>
        <v>0.064</v>
      </c>
      <c r="E183" s="42">
        <f t="shared" si="82"/>
        <v>0.13</v>
      </c>
      <c r="F183" s="42">
        <f t="shared" si="83"/>
        <v>0.042</v>
      </c>
      <c r="G183" s="42">
        <f t="shared" si="84"/>
        <v>0.096</v>
      </c>
      <c r="H183" s="42">
        <f t="shared" si="85"/>
        <v>0.072</v>
      </c>
      <c r="I183" s="42">
        <f t="shared" si="86"/>
        <v>0.03</v>
      </c>
      <c r="J183" s="42">
        <f t="shared" si="87"/>
        <v>0.04</v>
      </c>
      <c r="K183" s="42">
        <f t="shared" si="88"/>
        <v>0.1</v>
      </c>
      <c r="L183" s="53">
        <f t="shared" si="89"/>
        <v>0.814</v>
      </c>
      <c r="M183" s="9">
        <f t="shared" si="90"/>
        <v>9</v>
      </c>
      <c r="P183" s="56" t="s">
        <v>8</v>
      </c>
      <c r="Q183" s="56">
        <v>0.06</v>
      </c>
    </row>
    <row r="184">
      <c r="A184" s="18" t="s">
        <v>17</v>
      </c>
      <c r="B184" s="42">
        <f t="shared" si="79"/>
        <v>0.128</v>
      </c>
      <c r="C184" s="42">
        <f t="shared" si="80"/>
        <v>0.112</v>
      </c>
      <c r="D184" s="42">
        <f t="shared" si="81"/>
        <v>0.064</v>
      </c>
      <c r="E184" s="42">
        <f t="shared" si="82"/>
        <v>0.13</v>
      </c>
      <c r="F184" s="42">
        <f t="shared" si="83"/>
        <v>0.056</v>
      </c>
      <c r="G184" s="42">
        <f t="shared" si="84"/>
        <v>0.096</v>
      </c>
      <c r="H184" s="42">
        <f t="shared" si="85"/>
        <v>0.072</v>
      </c>
      <c r="I184" s="42">
        <f t="shared" si="86"/>
        <v>0.045</v>
      </c>
      <c r="J184" s="42">
        <f t="shared" si="87"/>
        <v>0.05</v>
      </c>
      <c r="K184" s="42">
        <f t="shared" si="88"/>
        <v>0.1</v>
      </c>
      <c r="L184" s="53">
        <f t="shared" si="89"/>
        <v>0.853</v>
      </c>
      <c r="M184" s="9">
        <f t="shared" si="90"/>
        <v>7</v>
      </c>
      <c r="P184" s="56" t="s">
        <v>9</v>
      </c>
      <c r="Q184" s="56">
        <v>0.05</v>
      </c>
    </row>
    <row r="185">
      <c r="A185" s="18" t="s">
        <v>18</v>
      </c>
      <c r="B185" s="42">
        <f t="shared" si="79"/>
        <v>0.128</v>
      </c>
      <c r="C185" s="42">
        <f t="shared" si="80"/>
        <v>0.112</v>
      </c>
      <c r="D185" s="42">
        <f t="shared" si="81"/>
        <v>0.064</v>
      </c>
      <c r="E185" s="42">
        <f t="shared" si="82"/>
        <v>0.104</v>
      </c>
      <c r="F185" s="42">
        <f t="shared" si="83"/>
        <v>0.042</v>
      </c>
      <c r="G185" s="42">
        <f t="shared" si="84"/>
        <v>0.096</v>
      </c>
      <c r="H185" s="42">
        <f t="shared" si="85"/>
        <v>0.072</v>
      </c>
      <c r="I185" s="42">
        <f t="shared" si="86"/>
        <v>0.03</v>
      </c>
      <c r="J185" s="42">
        <f t="shared" si="87"/>
        <v>0.04</v>
      </c>
      <c r="K185" s="42">
        <f t="shared" si="88"/>
        <v>0.08</v>
      </c>
      <c r="L185" s="53">
        <f t="shared" si="89"/>
        <v>0.768</v>
      </c>
      <c r="M185" s="9">
        <f t="shared" si="90"/>
        <v>10</v>
      </c>
      <c r="P185" s="56" t="s">
        <v>10</v>
      </c>
      <c r="Q185" s="56">
        <v>0.1</v>
      </c>
    </row>
    <row r="186">
      <c r="A186" s="18" t="s">
        <v>19</v>
      </c>
      <c r="B186" s="42">
        <f t="shared" si="79"/>
        <v>0.128</v>
      </c>
      <c r="C186" s="42">
        <f t="shared" si="80"/>
        <v>0.112</v>
      </c>
      <c r="D186" s="42">
        <f t="shared" si="81"/>
        <v>0.064</v>
      </c>
      <c r="E186" s="42">
        <f t="shared" si="82"/>
        <v>0.104</v>
      </c>
      <c r="F186" s="42">
        <f t="shared" si="83"/>
        <v>0.07</v>
      </c>
      <c r="G186" s="42">
        <f t="shared" si="84"/>
        <v>0.12</v>
      </c>
      <c r="H186" s="42">
        <f t="shared" si="85"/>
        <v>0.09</v>
      </c>
      <c r="I186" s="42">
        <f t="shared" si="86"/>
        <v>0.06</v>
      </c>
      <c r="J186" s="42">
        <f t="shared" si="87"/>
        <v>0.04</v>
      </c>
      <c r="K186" s="42">
        <f t="shared" si="88"/>
        <v>0.1</v>
      </c>
      <c r="L186" s="53">
        <f t="shared" si="89"/>
        <v>0.888</v>
      </c>
      <c r="M186" s="9">
        <f t="shared" si="90"/>
        <v>5</v>
      </c>
      <c r="P186" s="57" t="s">
        <v>110</v>
      </c>
      <c r="Q186" s="58">
        <f>SUM(Q176:Q185)</f>
        <v>1</v>
      </c>
    </row>
    <row r="187">
      <c r="A187" s="18" t="s">
        <v>20</v>
      </c>
      <c r="B187" s="42">
        <f t="shared" si="79"/>
        <v>0.128</v>
      </c>
      <c r="C187" s="42">
        <f t="shared" si="80"/>
        <v>0.14</v>
      </c>
      <c r="D187" s="42">
        <f t="shared" si="81"/>
        <v>0.064</v>
      </c>
      <c r="E187" s="42">
        <f t="shared" si="82"/>
        <v>0.104</v>
      </c>
      <c r="F187" s="42">
        <f t="shared" si="83"/>
        <v>0.042</v>
      </c>
      <c r="G187" s="42">
        <f t="shared" si="84"/>
        <v>0.096</v>
      </c>
      <c r="H187" s="42">
        <f t="shared" si="85"/>
        <v>0.072</v>
      </c>
      <c r="I187" s="42">
        <f t="shared" si="86"/>
        <v>0.045</v>
      </c>
      <c r="J187" s="42">
        <f t="shared" si="87"/>
        <v>0.04</v>
      </c>
      <c r="K187" s="42">
        <f t="shared" si="88"/>
        <v>0.1</v>
      </c>
      <c r="L187" s="53">
        <f t="shared" si="89"/>
        <v>0.831</v>
      </c>
      <c r="M187" s="9">
        <f t="shared" si="90"/>
        <v>8</v>
      </c>
    </row>
    <row r="188">
      <c r="A188" s="18" t="s">
        <v>21</v>
      </c>
      <c r="B188" s="42">
        <f t="shared" si="79"/>
        <v>0.128</v>
      </c>
      <c r="C188" s="42">
        <f t="shared" si="80"/>
        <v>0.112</v>
      </c>
      <c r="D188" s="42">
        <f t="shared" si="81"/>
        <v>0.048</v>
      </c>
      <c r="E188" s="42">
        <f t="shared" si="82"/>
        <v>0.078</v>
      </c>
      <c r="F188" s="42">
        <f t="shared" si="83"/>
        <v>0.056</v>
      </c>
      <c r="G188" s="42">
        <f t="shared" si="84"/>
        <v>0.096</v>
      </c>
      <c r="H188" s="42">
        <f t="shared" si="85"/>
        <v>0.072</v>
      </c>
      <c r="I188" s="42">
        <f t="shared" si="86"/>
        <v>0.03</v>
      </c>
      <c r="J188" s="42">
        <f t="shared" si="87"/>
        <v>0.04</v>
      </c>
      <c r="K188" s="42">
        <f t="shared" si="88"/>
        <v>0.08</v>
      </c>
      <c r="L188" s="53">
        <f t="shared" si="89"/>
        <v>0.74</v>
      </c>
      <c r="M188" s="9">
        <f t="shared" si="90"/>
        <v>12</v>
      </c>
    </row>
    <row r="189">
      <c r="A189" s="18" t="s">
        <v>22</v>
      </c>
      <c r="B189" s="42">
        <f t="shared" si="79"/>
        <v>0.128</v>
      </c>
      <c r="C189" s="42">
        <f t="shared" si="80"/>
        <v>0.084</v>
      </c>
      <c r="D189" s="42">
        <f t="shared" si="81"/>
        <v>0.064</v>
      </c>
      <c r="E189" s="42">
        <f t="shared" si="82"/>
        <v>0.104</v>
      </c>
      <c r="F189" s="42">
        <f t="shared" si="83"/>
        <v>0.042</v>
      </c>
      <c r="G189" s="42">
        <f t="shared" si="84"/>
        <v>0.096</v>
      </c>
      <c r="H189" s="42">
        <f t="shared" si="85"/>
        <v>0.072</v>
      </c>
      <c r="I189" s="42">
        <f t="shared" si="86"/>
        <v>0.03</v>
      </c>
      <c r="J189" s="42">
        <f t="shared" si="87"/>
        <v>0.04</v>
      </c>
      <c r="K189" s="42">
        <f t="shared" si="88"/>
        <v>0.08</v>
      </c>
      <c r="L189" s="53">
        <f t="shared" si="89"/>
        <v>0.74</v>
      </c>
      <c r="M189" s="9">
        <f t="shared" si="90"/>
        <v>12</v>
      </c>
    </row>
    <row r="190">
      <c r="A190" s="18" t="s">
        <v>23</v>
      </c>
      <c r="B190" s="42">
        <f t="shared" si="79"/>
        <v>0.128</v>
      </c>
      <c r="C190" s="42">
        <f t="shared" si="80"/>
        <v>0.112</v>
      </c>
      <c r="D190" s="42">
        <f t="shared" si="81"/>
        <v>0.064</v>
      </c>
      <c r="E190" s="42">
        <f t="shared" si="82"/>
        <v>0.078</v>
      </c>
      <c r="F190" s="42">
        <f t="shared" si="83"/>
        <v>0.042</v>
      </c>
      <c r="G190" s="42">
        <f t="shared" si="84"/>
        <v>0.072</v>
      </c>
      <c r="H190" s="42">
        <f t="shared" si="85"/>
        <v>0.072</v>
      </c>
      <c r="I190" s="42">
        <f t="shared" si="86"/>
        <v>0.03</v>
      </c>
      <c r="J190" s="42">
        <f t="shared" si="87"/>
        <v>0.05</v>
      </c>
      <c r="K190" s="42">
        <f t="shared" si="88"/>
        <v>0.08</v>
      </c>
      <c r="L190" s="53">
        <f t="shared" si="89"/>
        <v>0.728</v>
      </c>
      <c r="M190" s="9">
        <f t="shared" si="90"/>
        <v>14</v>
      </c>
    </row>
    <row r="191">
      <c r="A191" s="18" t="s">
        <v>24</v>
      </c>
      <c r="B191" s="42">
        <f t="shared" si="79"/>
        <v>0.128</v>
      </c>
      <c r="C191" s="42">
        <f t="shared" si="80"/>
        <v>0.084</v>
      </c>
      <c r="D191" s="42">
        <f t="shared" si="81"/>
        <v>0.064</v>
      </c>
      <c r="E191" s="42">
        <f t="shared" si="82"/>
        <v>0.104</v>
      </c>
      <c r="F191" s="42">
        <f t="shared" si="83"/>
        <v>0.042</v>
      </c>
      <c r="G191" s="42">
        <f t="shared" si="84"/>
        <v>0.096</v>
      </c>
      <c r="H191" s="42">
        <f t="shared" si="85"/>
        <v>0.072</v>
      </c>
      <c r="I191" s="42">
        <f t="shared" si="86"/>
        <v>0.03</v>
      </c>
      <c r="J191" s="42">
        <f t="shared" si="87"/>
        <v>0.04</v>
      </c>
      <c r="K191" s="42">
        <f t="shared" si="88"/>
        <v>0.06</v>
      </c>
      <c r="L191" s="53">
        <f t="shared" si="89"/>
        <v>0.72</v>
      </c>
      <c r="M191" s="9">
        <f t="shared" si="90"/>
        <v>15</v>
      </c>
    </row>
    <row r="192">
      <c r="A192" s="18" t="s">
        <v>25</v>
      </c>
      <c r="B192" s="42">
        <f t="shared" si="79"/>
        <v>0.096</v>
      </c>
      <c r="C192" s="42">
        <f t="shared" si="80"/>
        <v>0.084</v>
      </c>
      <c r="D192" s="42">
        <f t="shared" si="81"/>
        <v>0.048</v>
      </c>
      <c r="E192" s="42">
        <f t="shared" si="82"/>
        <v>0.078</v>
      </c>
      <c r="F192" s="42">
        <f t="shared" si="83"/>
        <v>0.056</v>
      </c>
      <c r="G192" s="42">
        <f t="shared" si="84"/>
        <v>0.096</v>
      </c>
      <c r="H192" s="42">
        <f t="shared" si="85"/>
        <v>0.072</v>
      </c>
      <c r="I192" s="42">
        <f t="shared" si="86"/>
        <v>0.015</v>
      </c>
      <c r="J192" s="42">
        <f t="shared" si="87"/>
        <v>0.03</v>
      </c>
      <c r="K192" s="42">
        <f t="shared" si="88"/>
        <v>0.08</v>
      </c>
      <c r="L192" s="53">
        <f t="shared" si="89"/>
        <v>0.655</v>
      </c>
      <c r="M192" s="9">
        <f t="shared" si="90"/>
        <v>16</v>
      </c>
    </row>
    <row r="193">
      <c r="A193" s="18" t="s">
        <v>26</v>
      </c>
      <c r="B193" s="42">
        <f t="shared" si="79"/>
        <v>0.096</v>
      </c>
      <c r="C193" s="42">
        <f t="shared" si="80"/>
        <v>0.084</v>
      </c>
      <c r="D193" s="42">
        <f t="shared" si="81"/>
        <v>0.064</v>
      </c>
      <c r="E193" s="42">
        <f t="shared" si="82"/>
        <v>0.078</v>
      </c>
      <c r="F193" s="42">
        <f t="shared" si="83"/>
        <v>0.042</v>
      </c>
      <c r="G193" s="42">
        <f t="shared" si="84"/>
        <v>0.072</v>
      </c>
      <c r="H193" s="42">
        <f t="shared" si="85"/>
        <v>0.072</v>
      </c>
      <c r="I193" s="42">
        <f t="shared" si="86"/>
        <v>0.015</v>
      </c>
      <c r="J193" s="42">
        <f t="shared" si="87"/>
        <v>0.04</v>
      </c>
      <c r="K193" s="42">
        <f t="shared" si="88"/>
        <v>0.08</v>
      </c>
      <c r="L193" s="53">
        <f t="shared" si="89"/>
        <v>0.643</v>
      </c>
      <c r="M193" s="9">
        <f t="shared" si="90"/>
        <v>17</v>
      </c>
    </row>
    <row r="194">
      <c r="A194" s="18" t="s">
        <v>27</v>
      </c>
      <c r="B194" s="42">
        <f t="shared" si="79"/>
        <v>0.096</v>
      </c>
      <c r="C194" s="42">
        <f t="shared" si="80"/>
        <v>0.112</v>
      </c>
      <c r="D194" s="42">
        <f t="shared" si="81"/>
        <v>0.064</v>
      </c>
      <c r="E194" s="42">
        <f t="shared" si="82"/>
        <v>0.104</v>
      </c>
      <c r="F194" s="42">
        <f t="shared" si="83"/>
        <v>0.042</v>
      </c>
      <c r="G194" s="42">
        <f t="shared" si="84"/>
        <v>0.072</v>
      </c>
      <c r="H194" s="42">
        <f t="shared" si="85"/>
        <v>0.072</v>
      </c>
      <c r="I194" s="42">
        <f t="shared" si="86"/>
        <v>0.045</v>
      </c>
      <c r="J194" s="42">
        <f t="shared" si="87"/>
        <v>0.04</v>
      </c>
      <c r="K194" s="42">
        <f t="shared" si="88"/>
        <v>0.1</v>
      </c>
      <c r="L194" s="53">
        <f t="shared" si="89"/>
        <v>0.747</v>
      </c>
      <c r="M194" s="9">
        <f t="shared" si="90"/>
        <v>11</v>
      </c>
    </row>
    <row r="195">
      <c r="A195" s="18" t="s">
        <v>28</v>
      </c>
      <c r="B195" s="42">
        <f t="shared" si="79"/>
        <v>0.096</v>
      </c>
      <c r="C195" s="42">
        <f t="shared" si="80"/>
        <v>0.084</v>
      </c>
      <c r="D195" s="42">
        <f t="shared" si="81"/>
        <v>0.064</v>
      </c>
      <c r="E195" s="42">
        <f t="shared" si="82"/>
        <v>0.078</v>
      </c>
      <c r="F195" s="42">
        <f t="shared" si="83"/>
        <v>0.056</v>
      </c>
      <c r="G195" s="42">
        <f t="shared" si="84"/>
        <v>0.072</v>
      </c>
      <c r="H195" s="42">
        <f t="shared" si="85"/>
        <v>0.072</v>
      </c>
      <c r="I195" s="42">
        <f t="shared" si="86"/>
        <v>0.03</v>
      </c>
      <c r="J195" s="42">
        <f t="shared" si="87"/>
        <v>0.03</v>
      </c>
      <c r="K195" s="42">
        <f t="shared" si="88"/>
        <v>0.06</v>
      </c>
      <c r="L195" s="53">
        <f t="shared" si="89"/>
        <v>0.642</v>
      </c>
      <c r="M195" s="9">
        <f t="shared" si="90"/>
        <v>18</v>
      </c>
    </row>
    <row r="196">
      <c r="A196" s="18" t="s">
        <v>29</v>
      </c>
      <c r="B196" s="42">
        <f t="shared" si="79"/>
        <v>0.096</v>
      </c>
      <c r="C196" s="42">
        <f t="shared" si="80"/>
        <v>0.056</v>
      </c>
      <c r="D196" s="42">
        <f t="shared" si="81"/>
        <v>0.048</v>
      </c>
      <c r="E196" s="42">
        <f t="shared" si="82"/>
        <v>0.078</v>
      </c>
      <c r="F196" s="42">
        <f t="shared" si="83"/>
        <v>0.042</v>
      </c>
      <c r="G196" s="42">
        <f t="shared" si="84"/>
        <v>0.096</v>
      </c>
      <c r="H196" s="42">
        <f t="shared" si="85"/>
        <v>0.054</v>
      </c>
      <c r="I196" s="42">
        <f t="shared" si="86"/>
        <v>0.015</v>
      </c>
      <c r="J196" s="42">
        <f t="shared" si="87"/>
        <v>0.03</v>
      </c>
      <c r="K196" s="42">
        <f t="shared" si="88"/>
        <v>0.06</v>
      </c>
      <c r="L196" s="53">
        <f t="shared" si="89"/>
        <v>0.575</v>
      </c>
      <c r="M196" s="9">
        <f t="shared" si="90"/>
        <v>20</v>
      </c>
    </row>
    <row r="197">
      <c r="A197" s="18" t="s">
        <v>30</v>
      </c>
      <c r="B197" s="42">
        <f t="shared" si="79"/>
        <v>0.096</v>
      </c>
      <c r="C197" s="42">
        <f t="shared" si="80"/>
        <v>0.084</v>
      </c>
      <c r="D197" s="42">
        <f t="shared" si="81"/>
        <v>0.032</v>
      </c>
      <c r="E197" s="42">
        <f t="shared" si="82"/>
        <v>0.078</v>
      </c>
      <c r="F197" s="42">
        <f t="shared" si="83"/>
        <v>0.042</v>
      </c>
      <c r="G197" s="42">
        <f t="shared" si="84"/>
        <v>0.072</v>
      </c>
      <c r="H197" s="42">
        <f t="shared" si="85"/>
        <v>0.054</v>
      </c>
      <c r="I197" s="42">
        <f t="shared" si="86"/>
        <v>0.03</v>
      </c>
      <c r="J197" s="42">
        <f t="shared" si="87"/>
        <v>0.03</v>
      </c>
      <c r="K197" s="42">
        <f t="shared" si="88"/>
        <v>0.06</v>
      </c>
      <c r="L197" s="53">
        <f t="shared" si="89"/>
        <v>0.578</v>
      </c>
      <c r="M197" s="9">
        <f t="shared" si="90"/>
        <v>19</v>
      </c>
    </row>
    <row r="198">
      <c r="A198" s="17" t="s">
        <v>77</v>
      </c>
      <c r="B198" s="41">
        <f t="shared" si="79"/>
        <v>0.16</v>
      </c>
      <c r="C198" s="41">
        <f t="shared" si="80"/>
        <v>0.14</v>
      </c>
      <c r="D198" s="41">
        <f t="shared" si="81"/>
        <v>0.08</v>
      </c>
      <c r="E198" s="41">
        <f t="shared" si="82"/>
        <v>0.13</v>
      </c>
      <c r="F198" s="41">
        <f t="shared" si="83"/>
        <v>0.07</v>
      </c>
      <c r="G198" s="41">
        <f t="shared" si="84"/>
        <v>0.12</v>
      </c>
      <c r="H198" s="41">
        <f t="shared" si="85"/>
        <v>0.09</v>
      </c>
      <c r="I198" s="41">
        <f t="shared" si="86"/>
        <v>0.06</v>
      </c>
      <c r="J198" s="41">
        <f t="shared" si="87"/>
        <v>0.05</v>
      </c>
      <c r="K198" s="41">
        <f t="shared" si="88"/>
        <v>0.1</v>
      </c>
      <c r="L198" s="41">
        <f t="shared" si="89"/>
        <v>1</v>
      </c>
    </row>
    <row r="199">
      <c r="A199" s="59" t="s">
        <v>87</v>
      </c>
      <c r="B199" s="60">
        <f t="shared" si="79"/>
        <v>0.096</v>
      </c>
      <c r="C199" s="60">
        <f t="shared" si="80"/>
        <v>0.056</v>
      </c>
      <c r="D199" s="60">
        <f t="shared" si="81"/>
        <v>0.032</v>
      </c>
      <c r="E199" s="60">
        <f t="shared" si="82"/>
        <v>0.078</v>
      </c>
      <c r="F199" s="60">
        <f t="shared" si="83"/>
        <v>0.042</v>
      </c>
      <c r="G199" s="60">
        <f t="shared" si="84"/>
        <v>0.072</v>
      </c>
      <c r="H199" s="60">
        <f t="shared" si="85"/>
        <v>0.054</v>
      </c>
      <c r="I199" s="60">
        <f t="shared" si="86"/>
        <v>0.015</v>
      </c>
      <c r="J199" s="60">
        <f t="shared" si="87"/>
        <v>0.03</v>
      </c>
      <c r="K199" s="60">
        <f t="shared" si="88"/>
        <v>0.06</v>
      </c>
      <c r="L199" s="60">
        <f t="shared" si="89"/>
        <v>0.535</v>
      </c>
    </row>
    <row r="201">
      <c r="A201" s="21"/>
      <c r="B201" s="20" t="s">
        <v>93</v>
      </c>
      <c r="C201" s="20" t="s">
        <v>94</v>
      </c>
      <c r="D201" s="20" t="s">
        <v>103</v>
      </c>
      <c r="E201" s="20" t="s">
        <v>104</v>
      </c>
      <c r="F201" s="20" t="s">
        <v>105</v>
      </c>
      <c r="G201" s="20" t="s">
        <v>111</v>
      </c>
    </row>
    <row r="202">
      <c r="A202" s="61" t="s">
        <v>11</v>
      </c>
      <c r="B202" s="42">
        <f t="shared" ref="B202:B221" si="91">L178/$L$199</f>
        <v>1.78317757</v>
      </c>
      <c r="C202" s="42">
        <f t="shared" ref="C202:C221" si="92">L178/$L$198</f>
        <v>0.954</v>
      </c>
      <c r="D202" s="42">
        <f t="shared" ref="D202:D221" si="93">C202/(C202+B202)</f>
        <v>0.348534202</v>
      </c>
      <c r="E202" s="42">
        <f t="shared" ref="E202:E221" si="94">B202/(C202+B202)</f>
        <v>0.651465798</v>
      </c>
      <c r="F202" s="42">
        <f t="shared" ref="F202:F221" si="95">(C202+B202)/(1+((1-E202)/E202)+((1-D202)/D202))</f>
        <v>0.80406869</v>
      </c>
      <c r="G202" s="9">
        <f t="shared" ref="G202:G221" si="96">RANK(F202,$F$202:$F$221,0)</f>
        <v>2</v>
      </c>
    </row>
    <row r="203">
      <c r="A203" s="61" t="s">
        <v>12</v>
      </c>
      <c r="B203" s="42">
        <f t="shared" si="91"/>
        <v>1.682242991</v>
      </c>
      <c r="C203" s="42">
        <f t="shared" si="92"/>
        <v>0.9</v>
      </c>
      <c r="D203" s="42">
        <f t="shared" si="93"/>
        <v>0.348534202</v>
      </c>
      <c r="E203" s="42">
        <f t="shared" si="94"/>
        <v>0.651465798</v>
      </c>
      <c r="F203" s="42">
        <f t="shared" si="95"/>
        <v>0.758555368</v>
      </c>
      <c r="G203" s="9">
        <f t="shared" si="96"/>
        <v>3</v>
      </c>
    </row>
    <row r="204">
      <c r="A204" s="61" t="s">
        <v>13</v>
      </c>
      <c r="B204" s="42">
        <f t="shared" si="91"/>
        <v>1.642990654</v>
      </c>
      <c r="C204" s="42">
        <f t="shared" si="92"/>
        <v>0.879</v>
      </c>
      <c r="D204" s="42">
        <f t="shared" si="93"/>
        <v>0.348534202</v>
      </c>
      <c r="E204" s="42">
        <f t="shared" si="94"/>
        <v>0.651465798</v>
      </c>
      <c r="F204" s="42">
        <f t="shared" si="95"/>
        <v>0.7408557427</v>
      </c>
      <c r="G204" s="9">
        <f t="shared" si="96"/>
        <v>6</v>
      </c>
    </row>
    <row r="205">
      <c r="A205" s="61" t="s">
        <v>14</v>
      </c>
      <c r="B205" s="42">
        <f t="shared" si="91"/>
        <v>1.869158879</v>
      </c>
      <c r="C205" s="42">
        <f t="shared" si="92"/>
        <v>1</v>
      </c>
      <c r="D205" s="42">
        <f t="shared" si="93"/>
        <v>0.348534202</v>
      </c>
      <c r="E205" s="42">
        <f t="shared" si="94"/>
        <v>0.651465798</v>
      </c>
      <c r="F205" s="42">
        <f t="shared" si="95"/>
        <v>0.8428392977</v>
      </c>
      <c r="G205" s="9">
        <f t="shared" si="96"/>
        <v>1</v>
      </c>
    </row>
    <row r="206">
      <c r="A206" s="61" t="s">
        <v>15</v>
      </c>
      <c r="B206" s="42">
        <f t="shared" si="91"/>
        <v>1.676635514</v>
      </c>
      <c r="C206" s="42">
        <f t="shared" si="92"/>
        <v>0.897</v>
      </c>
      <c r="D206" s="42">
        <f t="shared" si="93"/>
        <v>0.348534202</v>
      </c>
      <c r="E206" s="42">
        <f t="shared" si="94"/>
        <v>0.651465798</v>
      </c>
      <c r="F206" s="42">
        <f t="shared" si="95"/>
        <v>0.7560268501</v>
      </c>
      <c r="G206" s="9">
        <f t="shared" si="96"/>
        <v>4</v>
      </c>
    </row>
    <row r="207">
      <c r="A207" s="61" t="s">
        <v>16</v>
      </c>
      <c r="B207" s="42">
        <f t="shared" si="91"/>
        <v>1.521495327</v>
      </c>
      <c r="C207" s="42">
        <f t="shared" si="92"/>
        <v>0.814</v>
      </c>
      <c r="D207" s="42">
        <f t="shared" si="93"/>
        <v>0.348534202</v>
      </c>
      <c r="E207" s="42">
        <f t="shared" si="94"/>
        <v>0.651465798</v>
      </c>
      <c r="F207" s="42">
        <f t="shared" si="95"/>
        <v>0.6860711883</v>
      </c>
      <c r="G207" s="9">
        <f t="shared" si="96"/>
        <v>9</v>
      </c>
    </row>
    <row r="208">
      <c r="A208" s="61" t="s">
        <v>17</v>
      </c>
      <c r="B208" s="42">
        <f t="shared" si="91"/>
        <v>1.594392523</v>
      </c>
      <c r="C208" s="42">
        <f t="shared" si="92"/>
        <v>0.853</v>
      </c>
      <c r="D208" s="42">
        <f t="shared" si="93"/>
        <v>0.348534202</v>
      </c>
      <c r="E208" s="42">
        <f t="shared" si="94"/>
        <v>0.651465798</v>
      </c>
      <c r="F208" s="42">
        <f t="shared" si="95"/>
        <v>0.718941921</v>
      </c>
      <c r="G208" s="9">
        <f t="shared" si="96"/>
        <v>7</v>
      </c>
    </row>
    <row r="209">
      <c r="A209" s="61" t="s">
        <v>18</v>
      </c>
      <c r="B209" s="42">
        <f t="shared" si="91"/>
        <v>1.435514019</v>
      </c>
      <c r="C209" s="42">
        <f t="shared" si="92"/>
        <v>0.768</v>
      </c>
      <c r="D209" s="42">
        <f t="shared" si="93"/>
        <v>0.348534202</v>
      </c>
      <c r="E209" s="42">
        <f t="shared" si="94"/>
        <v>0.651465798</v>
      </c>
      <c r="F209" s="42">
        <f t="shared" si="95"/>
        <v>0.6473005807</v>
      </c>
      <c r="G209" s="9">
        <f t="shared" si="96"/>
        <v>10</v>
      </c>
    </row>
    <row r="210">
      <c r="A210" s="61" t="s">
        <v>19</v>
      </c>
      <c r="B210" s="42">
        <f t="shared" si="91"/>
        <v>1.659813084</v>
      </c>
      <c r="C210" s="42">
        <f t="shared" si="92"/>
        <v>0.888</v>
      </c>
      <c r="D210" s="42">
        <f t="shared" si="93"/>
        <v>0.348534202</v>
      </c>
      <c r="E210" s="42">
        <f t="shared" si="94"/>
        <v>0.651465798</v>
      </c>
      <c r="F210" s="42">
        <f t="shared" si="95"/>
        <v>0.7484412964</v>
      </c>
      <c r="G210" s="9">
        <f t="shared" si="96"/>
        <v>5</v>
      </c>
    </row>
    <row r="211">
      <c r="A211" s="61" t="s">
        <v>20</v>
      </c>
      <c r="B211" s="42">
        <f t="shared" si="91"/>
        <v>1.553271028</v>
      </c>
      <c r="C211" s="42">
        <f t="shared" si="92"/>
        <v>0.831</v>
      </c>
      <c r="D211" s="42">
        <f t="shared" si="93"/>
        <v>0.348534202</v>
      </c>
      <c r="E211" s="42">
        <f t="shared" si="94"/>
        <v>0.651465798</v>
      </c>
      <c r="F211" s="42">
        <f t="shared" si="95"/>
        <v>0.7003994564</v>
      </c>
      <c r="G211" s="9">
        <f t="shared" si="96"/>
        <v>8</v>
      </c>
    </row>
    <row r="212">
      <c r="A212" s="61" t="s">
        <v>21</v>
      </c>
      <c r="B212" s="42">
        <f t="shared" si="91"/>
        <v>1.38317757</v>
      </c>
      <c r="C212" s="42">
        <f t="shared" si="92"/>
        <v>0.74</v>
      </c>
      <c r="D212" s="42">
        <f t="shared" si="93"/>
        <v>0.348534202</v>
      </c>
      <c r="E212" s="42">
        <f t="shared" si="94"/>
        <v>0.651465798</v>
      </c>
      <c r="F212" s="42">
        <f t="shared" si="95"/>
        <v>0.6237010803</v>
      </c>
      <c r="G212" s="9">
        <f t="shared" si="96"/>
        <v>12</v>
      </c>
    </row>
    <row r="213">
      <c r="A213" s="61" t="s">
        <v>22</v>
      </c>
      <c r="B213" s="42">
        <f t="shared" si="91"/>
        <v>1.38317757</v>
      </c>
      <c r="C213" s="42">
        <f t="shared" si="92"/>
        <v>0.74</v>
      </c>
      <c r="D213" s="42">
        <f t="shared" si="93"/>
        <v>0.348534202</v>
      </c>
      <c r="E213" s="42">
        <f t="shared" si="94"/>
        <v>0.651465798</v>
      </c>
      <c r="F213" s="42">
        <f t="shared" si="95"/>
        <v>0.6237010803</v>
      </c>
      <c r="G213" s="9">
        <f t="shared" si="96"/>
        <v>12</v>
      </c>
    </row>
    <row r="214">
      <c r="A214" s="61" t="s">
        <v>23</v>
      </c>
      <c r="B214" s="42">
        <f t="shared" si="91"/>
        <v>1.360747664</v>
      </c>
      <c r="C214" s="42">
        <f t="shared" si="92"/>
        <v>0.728</v>
      </c>
      <c r="D214" s="42">
        <f t="shared" si="93"/>
        <v>0.348534202</v>
      </c>
      <c r="E214" s="42">
        <f t="shared" si="94"/>
        <v>0.651465798</v>
      </c>
      <c r="F214" s="42">
        <f t="shared" si="95"/>
        <v>0.6135870087</v>
      </c>
      <c r="G214" s="9">
        <f t="shared" si="96"/>
        <v>14</v>
      </c>
    </row>
    <row r="215">
      <c r="A215" s="61" t="s">
        <v>24</v>
      </c>
      <c r="B215" s="42">
        <f t="shared" si="91"/>
        <v>1.345794393</v>
      </c>
      <c r="C215" s="42">
        <f t="shared" si="92"/>
        <v>0.72</v>
      </c>
      <c r="D215" s="42">
        <f t="shared" si="93"/>
        <v>0.348534202</v>
      </c>
      <c r="E215" s="42">
        <f t="shared" si="94"/>
        <v>0.651465798</v>
      </c>
      <c r="F215" s="42">
        <f t="shared" si="95"/>
        <v>0.6068442944</v>
      </c>
      <c r="G215" s="9">
        <f t="shared" si="96"/>
        <v>15</v>
      </c>
    </row>
    <row r="216">
      <c r="A216" s="61" t="s">
        <v>25</v>
      </c>
      <c r="B216" s="42">
        <f t="shared" si="91"/>
        <v>1.224299065</v>
      </c>
      <c r="C216" s="42">
        <f t="shared" si="92"/>
        <v>0.655</v>
      </c>
      <c r="D216" s="42">
        <f t="shared" si="93"/>
        <v>0.348534202</v>
      </c>
      <c r="E216" s="42">
        <f t="shared" si="94"/>
        <v>0.651465798</v>
      </c>
      <c r="F216" s="42">
        <f t="shared" si="95"/>
        <v>0.55205974</v>
      </c>
      <c r="G216" s="9">
        <f t="shared" si="96"/>
        <v>16</v>
      </c>
    </row>
    <row r="217">
      <c r="A217" s="61" t="s">
        <v>26</v>
      </c>
      <c r="B217" s="42">
        <f t="shared" si="91"/>
        <v>1.201869159</v>
      </c>
      <c r="C217" s="42">
        <f t="shared" si="92"/>
        <v>0.643</v>
      </c>
      <c r="D217" s="42">
        <f t="shared" si="93"/>
        <v>0.348534202</v>
      </c>
      <c r="E217" s="42">
        <f t="shared" si="94"/>
        <v>0.651465798</v>
      </c>
      <c r="F217" s="42">
        <f t="shared" si="95"/>
        <v>0.5419456684</v>
      </c>
      <c r="G217" s="9">
        <f t="shared" si="96"/>
        <v>17</v>
      </c>
    </row>
    <row r="218">
      <c r="A218" s="61" t="s">
        <v>27</v>
      </c>
      <c r="B218" s="42">
        <f t="shared" si="91"/>
        <v>1.396261682</v>
      </c>
      <c r="C218" s="42">
        <f t="shared" si="92"/>
        <v>0.747</v>
      </c>
      <c r="D218" s="42">
        <f t="shared" si="93"/>
        <v>0.348534202</v>
      </c>
      <c r="E218" s="42">
        <f t="shared" si="94"/>
        <v>0.651465798</v>
      </c>
      <c r="F218" s="42">
        <f t="shared" si="95"/>
        <v>0.6296009554</v>
      </c>
      <c r="G218" s="9">
        <f t="shared" si="96"/>
        <v>11</v>
      </c>
    </row>
    <row r="219">
      <c r="A219" s="61" t="s">
        <v>28</v>
      </c>
      <c r="B219" s="42">
        <f t="shared" si="91"/>
        <v>1.2</v>
      </c>
      <c r="C219" s="42">
        <f t="shared" si="92"/>
        <v>0.642</v>
      </c>
      <c r="D219" s="42">
        <f t="shared" si="93"/>
        <v>0.348534202</v>
      </c>
      <c r="E219" s="42">
        <f t="shared" si="94"/>
        <v>0.651465798</v>
      </c>
      <c r="F219" s="42">
        <f t="shared" si="95"/>
        <v>0.5411028291</v>
      </c>
      <c r="G219" s="9">
        <f t="shared" si="96"/>
        <v>18</v>
      </c>
    </row>
    <row r="220">
      <c r="A220" s="61" t="s">
        <v>29</v>
      </c>
      <c r="B220" s="42">
        <f t="shared" si="91"/>
        <v>1.074766355</v>
      </c>
      <c r="C220" s="42">
        <f t="shared" si="92"/>
        <v>0.575</v>
      </c>
      <c r="D220" s="42">
        <f t="shared" si="93"/>
        <v>0.348534202</v>
      </c>
      <c r="E220" s="42">
        <f t="shared" si="94"/>
        <v>0.651465798</v>
      </c>
      <c r="F220" s="42">
        <f t="shared" si="95"/>
        <v>0.4846325962</v>
      </c>
      <c r="G220" s="9">
        <f t="shared" si="96"/>
        <v>20</v>
      </c>
    </row>
    <row r="221">
      <c r="A221" s="61" t="s">
        <v>30</v>
      </c>
      <c r="B221" s="42">
        <f t="shared" si="91"/>
        <v>1.080373832</v>
      </c>
      <c r="C221" s="42">
        <f t="shared" si="92"/>
        <v>0.578</v>
      </c>
      <c r="D221" s="42">
        <f t="shared" si="93"/>
        <v>0.348534202</v>
      </c>
      <c r="E221" s="42">
        <f t="shared" si="94"/>
        <v>0.651465798</v>
      </c>
      <c r="F221" s="42">
        <f t="shared" si="95"/>
        <v>0.4871611141</v>
      </c>
      <c r="G221" s="9">
        <f t="shared" si="96"/>
        <v>19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62" t="s">
        <v>0</v>
      </c>
      <c r="B1" s="62" t="s">
        <v>1</v>
      </c>
      <c r="C1" s="62" t="s">
        <v>2</v>
      </c>
      <c r="D1" s="62" t="s">
        <v>3</v>
      </c>
      <c r="E1" s="62" t="s">
        <v>4</v>
      </c>
      <c r="F1" s="62" t="s">
        <v>5</v>
      </c>
      <c r="G1" s="62" t="s">
        <v>6</v>
      </c>
      <c r="H1" s="62" t="s">
        <v>7</v>
      </c>
      <c r="I1" s="62" t="s">
        <v>8</v>
      </c>
      <c r="J1" s="62" t="s">
        <v>9</v>
      </c>
      <c r="K1" s="62" t="s">
        <v>10</v>
      </c>
    </row>
    <row r="2">
      <c r="A2" s="63" t="s">
        <v>11</v>
      </c>
      <c r="B2" s="64">
        <v>5.0</v>
      </c>
      <c r="C2" s="64">
        <v>5.0</v>
      </c>
      <c r="D2" s="64">
        <v>5.0</v>
      </c>
      <c r="E2" s="64">
        <v>4.0</v>
      </c>
      <c r="F2" s="64">
        <v>5.0</v>
      </c>
      <c r="G2" s="64">
        <v>5.0</v>
      </c>
      <c r="H2" s="64">
        <v>5.0</v>
      </c>
      <c r="I2" s="64">
        <v>4.0</v>
      </c>
      <c r="J2" s="64">
        <v>5.0</v>
      </c>
      <c r="K2" s="64">
        <v>4.0</v>
      </c>
    </row>
    <row r="3">
      <c r="A3" s="65" t="s">
        <v>12</v>
      </c>
      <c r="B3" s="66">
        <v>5.0</v>
      </c>
      <c r="C3" s="66">
        <v>5.0</v>
      </c>
      <c r="D3" s="66">
        <v>4.0</v>
      </c>
      <c r="E3" s="66">
        <v>4.0</v>
      </c>
      <c r="F3" s="66">
        <v>4.0</v>
      </c>
      <c r="G3" s="66">
        <v>4.0</v>
      </c>
      <c r="H3" s="66">
        <v>5.0</v>
      </c>
      <c r="I3" s="66">
        <v>4.0</v>
      </c>
      <c r="J3" s="66">
        <v>5.0</v>
      </c>
      <c r="K3" s="66">
        <v>4.0</v>
      </c>
    </row>
    <row r="4">
      <c r="A4" s="63" t="s">
        <v>13</v>
      </c>
      <c r="B4" s="64">
        <v>4.0</v>
      </c>
      <c r="C4" s="64">
        <v>5.0</v>
      </c>
      <c r="D4" s="64">
        <v>4.0</v>
      </c>
      <c r="E4" s="64">
        <v>5.0</v>
      </c>
      <c r="F4" s="64">
        <v>4.0</v>
      </c>
      <c r="G4" s="64">
        <v>4.0</v>
      </c>
      <c r="H4" s="64">
        <v>5.0</v>
      </c>
      <c r="I4" s="64">
        <v>3.0</v>
      </c>
      <c r="J4" s="64">
        <v>5.0</v>
      </c>
      <c r="K4" s="64">
        <v>4.0</v>
      </c>
    </row>
    <row r="5">
      <c r="A5" s="65" t="s">
        <v>14</v>
      </c>
      <c r="B5" s="66">
        <v>5.0</v>
      </c>
      <c r="C5" s="66">
        <v>5.0</v>
      </c>
      <c r="D5" s="66">
        <v>5.0</v>
      </c>
      <c r="E5" s="66">
        <v>5.0</v>
      </c>
      <c r="F5" s="66">
        <v>5.0</v>
      </c>
      <c r="G5" s="66">
        <v>5.0</v>
      </c>
      <c r="H5" s="66">
        <v>5.0</v>
      </c>
      <c r="I5" s="66">
        <v>4.0</v>
      </c>
      <c r="J5" s="66">
        <v>5.0</v>
      </c>
      <c r="K5" s="66">
        <v>5.0</v>
      </c>
    </row>
    <row r="6">
      <c r="A6" s="63" t="s">
        <v>15</v>
      </c>
      <c r="B6" s="64">
        <v>4.0</v>
      </c>
      <c r="C6" s="64">
        <v>5.0</v>
      </c>
      <c r="D6" s="64">
        <v>4.0</v>
      </c>
      <c r="E6" s="64">
        <v>4.0</v>
      </c>
      <c r="F6" s="64">
        <v>4.0</v>
      </c>
      <c r="G6" s="64">
        <v>5.0</v>
      </c>
      <c r="H6" s="64">
        <v>5.0</v>
      </c>
      <c r="I6" s="64">
        <v>3.0</v>
      </c>
      <c r="J6" s="64">
        <v>5.0</v>
      </c>
      <c r="K6" s="64">
        <v>5.0</v>
      </c>
    </row>
    <row r="7">
      <c r="A7" s="65" t="s">
        <v>16</v>
      </c>
      <c r="B7" s="66">
        <v>4.0</v>
      </c>
      <c r="C7" s="66">
        <v>4.0</v>
      </c>
      <c r="D7" s="66">
        <v>4.0</v>
      </c>
      <c r="E7" s="66">
        <v>5.0</v>
      </c>
      <c r="F7" s="66">
        <v>3.0</v>
      </c>
      <c r="G7" s="66">
        <v>4.0</v>
      </c>
      <c r="H7" s="66">
        <v>4.0</v>
      </c>
      <c r="I7" s="66">
        <v>2.0</v>
      </c>
      <c r="J7" s="66">
        <v>4.0</v>
      </c>
      <c r="K7" s="66">
        <v>5.0</v>
      </c>
    </row>
    <row r="8">
      <c r="A8" s="63" t="s">
        <v>17</v>
      </c>
      <c r="B8" s="64">
        <v>4.0</v>
      </c>
      <c r="C8" s="64">
        <v>4.0</v>
      </c>
      <c r="D8" s="64">
        <v>4.0</v>
      </c>
      <c r="E8" s="64">
        <v>5.0</v>
      </c>
      <c r="F8" s="64">
        <v>4.0</v>
      </c>
      <c r="G8" s="64">
        <v>4.0</v>
      </c>
      <c r="H8" s="64">
        <v>4.0</v>
      </c>
      <c r="I8" s="64">
        <v>3.0</v>
      </c>
      <c r="J8" s="64">
        <v>5.0</v>
      </c>
      <c r="K8" s="64">
        <v>5.0</v>
      </c>
      <c r="U8" s="67"/>
      <c r="V8" s="67"/>
      <c r="W8" s="67"/>
      <c r="X8" s="67"/>
      <c r="Y8" s="67"/>
      <c r="Z8" s="67"/>
    </row>
    <row r="9">
      <c r="A9" s="65" t="s">
        <v>18</v>
      </c>
      <c r="B9" s="66">
        <v>4.0</v>
      </c>
      <c r="C9" s="66">
        <v>4.0</v>
      </c>
      <c r="D9" s="66">
        <v>4.0</v>
      </c>
      <c r="E9" s="66">
        <v>4.0</v>
      </c>
      <c r="F9" s="66">
        <v>3.0</v>
      </c>
      <c r="G9" s="66">
        <v>4.0</v>
      </c>
      <c r="H9" s="66">
        <v>4.0</v>
      </c>
      <c r="I9" s="66">
        <v>2.0</v>
      </c>
      <c r="J9" s="66">
        <v>4.0</v>
      </c>
      <c r="K9" s="66">
        <v>4.0</v>
      </c>
    </row>
    <row r="10">
      <c r="A10" s="63" t="s">
        <v>19</v>
      </c>
      <c r="B10" s="64">
        <v>4.0</v>
      </c>
      <c r="C10" s="64">
        <v>4.0</v>
      </c>
      <c r="D10" s="64">
        <v>4.0</v>
      </c>
      <c r="E10" s="64">
        <v>4.0</v>
      </c>
      <c r="F10" s="64">
        <v>5.0</v>
      </c>
      <c r="G10" s="64">
        <v>5.0</v>
      </c>
      <c r="H10" s="64">
        <v>5.0</v>
      </c>
      <c r="I10" s="64">
        <v>4.0</v>
      </c>
      <c r="J10" s="64">
        <v>4.0</v>
      </c>
      <c r="K10" s="64">
        <v>5.0</v>
      </c>
    </row>
    <row r="11">
      <c r="A11" s="65" t="s">
        <v>20</v>
      </c>
      <c r="B11" s="66">
        <v>4.0</v>
      </c>
      <c r="C11" s="66">
        <v>5.0</v>
      </c>
      <c r="D11" s="66">
        <v>4.0</v>
      </c>
      <c r="E11" s="66">
        <v>4.0</v>
      </c>
      <c r="F11" s="66">
        <v>3.0</v>
      </c>
      <c r="G11" s="66">
        <v>4.0</v>
      </c>
      <c r="H11" s="66">
        <v>4.0</v>
      </c>
      <c r="I11" s="66">
        <v>3.0</v>
      </c>
      <c r="J11" s="66">
        <v>4.0</v>
      </c>
      <c r="K11" s="66">
        <v>5.0</v>
      </c>
    </row>
    <row r="12">
      <c r="A12" s="63" t="s">
        <v>21</v>
      </c>
      <c r="B12" s="64">
        <v>4.0</v>
      </c>
      <c r="C12" s="64">
        <v>4.0</v>
      </c>
      <c r="D12" s="64">
        <v>3.0</v>
      </c>
      <c r="E12" s="64">
        <v>3.0</v>
      </c>
      <c r="F12" s="64">
        <v>4.0</v>
      </c>
      <c r="G12" s="64">
        <v>4.0</v>
      </c>
      <c r="H12" s="64">
        <v>4.0</v>
      </c>
      <c r="I12" s="64">
        <v>2.0</v>
      </c>
      <c r="J12" s="64">
        <v>4.0</v>
      </c>
      <c r="K12" s="64">
        <v>4.0</v>
      </c>
    </row>
    <row r="13">
      <c r="A13" s="65" t="s">
        <v>22</v>
      </c>
      <c r="B13" s="66">
        <v>4.0</v>
      </c>
      <c r="C13" s="66">
        <v>3.0</v>
      </c>
      <c r="D13" s="66">
        <v>4.0</v>
      </c>
      <c r="E13" s="66">
        <v>4.0</v>
      </c>
      <c r="F13" s="66">
        <v>3.0</v>
      </c>
      <c r="G13" s="66">
        <v>4.0</v>
      </c>
      <c r="H13" s="66">
        <v>4.0</v>
      </c>
      <c r="I13" s="66">
        <v>2.0</v>
      </c>
      <c r="J13" s="66">
        <v>4.0</v>
      </c>
      <c r="K13" s="66">
        <v>4.0</v>
      </c>
    </row>
    <row r="14">
      <c r="A14" s="63" t="s">
        <v>23</v>
      </c>
      <c r="B14" s="64">
        <v>4.0</v>
      </c>
      <c r="C14" s="64">
        <v>4.0</v>
      </c>
      <c r="D14" s="64">
        <v>4.0</v>
      </c>
      <c r="E14" s="64">
        <v>3.0</v>
      </c>
      <c r="F14" s="64">
        <v>3.0</v>
      </c>
      <c r="G14" s="64">
        <v>3.0</v>
      </c>
      <c r="H14" s="64">
        <v>4.0</v>
      </c>
      <c r="I14" s="64">
        <v>2.0</v>
      </c>
      <c r="J14" s="64">
        <v>5.0</v>
      </c>
      <c r="K14" s="64">
        <v>4.0</v>
      </c>
    </row>
    <row r="15">
      <c r="A15" s="65" t="s">
        <v>24</v>
      </c>
      <c r="B15" s="66">
        <v>4.0</v>
      </c>
      <c r="C15" s="66">
        <v>3.0</v>
      </c>
      <c r="D15" s="66">
        <v>4.0</v>
      </c>
      <c r="E15" s="66">
        <v>4.0</v>
      </c>
      <c r="F15" s="66">
        <v>3.0</v>
      </c>
      <c r="G15" s="66">
        <v>4.0</v>
      </c>
      <c r="H15" s="66">
        <v>4.0</v>
      </c>
      <c r="I15" s="66">
        <v>2.0</v>
      </c>
      <c r="J15" s="66">
        <v>4.0</v>
      </c>
      <c r="K15" s="66">
        <v>3.0</v>
      </c>
    </row>
    <row r="16">
      <c r="A16" s="63" t="s">
        <v>25</v>
      </c>
      <c r="B16" s="64">
        <v>3.0</v>
      </c>
      <c r="C16" s="64">
        <v>3.0</v>
      </c>
      <c r="D16" s="64">
        <v>3.0</v>
      </c>
      <c r="E16" s="64">
        <v>3.0</v>
      </c>
      <c r="F16" s="64">
        <v>4.0</v>
      </c>
      <c r="G16" s="64">
        <v>4.0</v>
      </c>
      <c r="H16" s="64">
        <v>4.0</v>
      </c>
      <c r="I16" s="64">
        <v>1.0</v>
      </c>
      <c r="J16" s="64">
        <v>3.0</v>
      </c>
      <c r="K16" s="64">
        <v>4.0</v>
      </c>
    </row>
    <row r="17">
      <c r="A17" s="65" t="s">
        <v>26</v>
      </c>
      <c r="B17" s="66">
        <v>3.0</v>
      </c>
      <c r="C17" s="66">
        <v>3.0</v>
      </c>
      <c r="D17" s="66">
        <v>4.0</v>
      </c>
      <c r="E17" s="66">
        <v>3.0</v>
      </c>
      <c r="F17" s="66">
        <v>3.0</v>
      </c>
      <c r="G17" s="66">
        <v>3.0</v>
      </c>
      <c r="H17" s="66">
        <v>4.0</v>
      </c>
      <c r="I17" s="66">
        <v>1.0</v>
      </c>
      <c r="J17" s="66">
        <v>4.0</v>
      </c>
      <c r="K17" s="66">
        <v>4.0</v>
      </c>
    </row>
    <row r="18">
      <c r="A18" s="63" t="s">
        <v>27</v>
      </c>
      <c r="B18" s="64">
        <v>3.0</v>
      </c>
      <c r="C18" s="64">
        <v>4.0</v>
      </c>
      <c r="D18" s="64">
        <v>4.0</v>
      </c>
      <c r="E18" s="64">
        <v>4.0</v>
      </c>
      <c r="F18" s="64">
        <v>3.0</v>
      </c>
      <c r="G18" s="64">
        <v>3.0</v>
      </c>
      <c r="H18" s="64">
        <v>4.0</v>
      </c>
      <c r="I18" s="64">
        <v>3.0</v>
      </c>
      <c r="J18" s="64">
        <v>4.0</v>
      </c>
      <c r="K18" s="64">
        <v>5.0</v>
      </c>
    </row>
    <row r="19">
      <c r="A19" s="65" t="s">
        <v>28</v>
      </c>
      <c r="B19" s="66">
        <v>3.0</v>
      </c>
      <c r="C19" s="66">
        <v>3.0</v>
      </c>
      <c r="D19" s="66">
        <v>4.0</v>
      </c>
      <c r="E19" s="66">
        <v>3.0</v>
      </c>
      <c r="F19" s="66">
        <v>4.0</v>
      </c>
      <c r="G19" s="66">
        <v>3.0</v>
      </c>
      <c r="H19" s="66">
        <v>4.0</v>
      </c>
      <c r="I19" s="66">
        <v>2.0</v>
      </c>
      <c r="J19" s="66">
        <v>3.0</v>
      </c>
      <c r="K19" s="66">
        <v>3.0</v>
      </c>
    </row>
    <row r="20">
      <c r="A20" s="63" t="s">
        <v>29</v>
      </c>
      <c r="B20" s="64">
        <v>3.0</v>
      </c>
      <c r="C20" s="64">
        <v>2.0</v>
      </c>
      <c r="D20" s="64">
        <v>3.0</v>
      </c>
      <c r="E20" s="64">
        <v>3.0</v>
      </c>
      <c r="F20" s="64">
        <v>3.0</v>
      </c>
      <c r="G20" s="64">
        <v>4.0</v>
      </c>
      <c r="H20" s="64">
        <v>3.0</v>
      </c>
      <c r="I20" s="64">
        <v>1.0</v>
      </c>
      <c r="J20" s="64">
        <v>3.0</v>
      </c>
      <c r="K20" s="64">
        <v>3.0</v>
      </c>
    </row>
    <row r="21">
      <c r="A21" s="65" t="s">
        <v>30</v>
      </c>
      <c r="B21" s="66">
        <v>3.0</v>
      </c>
      <c r="C21" s="66">
        <v>3.0</v>
      </c>
      <c r="D21" s="66">
        <v>2.0</v>
      </c>
      <c r="E21" s="66">
        <v>3.0</v>
      </c>
      <c r="F21" s="66">
        <v>3.0</v>
      </c>
      <c r="G21" s="66">
        <v>3.0</v>
      </c>
      <c r="H21" s="66">
        <v>3.0</v>
      </c>
      <c r="I21" s="66">
        <v>2.0</v>
      </c>
      <c r="J21" s="66">
        <v>3.0</v>
      </c>
      <c r="K21" s="66">
        <v>3.0</v>
      </c>
    </row>
    <row r="22">
      <c r="A22" s="19" t="s">
        <v>77</v>
      </c>
      <c r="B22" s="68">
        <f t="shared" ref="B22:K22" si="1">MAX(B2:B21)</f>
        <v>5</v>
      </c>
      <c r="C22" s="68">
        <f t="shared" si="1"/>
        <v>5</v>
      </c>
      <c r="D22" s="68">
        <f t="shared" si="1"/>
        <v>5</v>
      </c>
      <c r="E22" s="68">
        <f t="shared" si="1"/>
        <v>5</v>
      </c>
      <c r="F22" s="68">
        <f t="shared" si="1"/>
        <v>5</v>
      </c>
      <c r="G22" s="68">
        <f t="shared" si="1"/>
        <v>5</v>
      </c>
      <c r="H22" s="68">
        <f t="shared" si="1"/>
        <v>5</v>
      </c>
      <c r="I22" s="68">
        <f t="shared" si="1"/>
        <v>4</v>
      </c>
      <c r="J22" s="68">
        <f t="shared" si="1"/>
        <v>5</v>
      </c>
      <c r="K22" s="68">
        <f t="shared" si="1"/>
        <v>5</v>
      </c>
    </row>
    <row r="23">
      <c r="A23" s="8" t="s">
        <v>87</v>
      </c>
      <c r="B23" s="69">
        <f t="shared" ref="B23:K23" si="2">min(B2:B21)</f>
        <v>3</v>
      </c>
      <c r="C23" s="69">
        <f t="shared" si="2"/>
        <v>2</v>
      </c>
      <c r="D23" s="69">
        <f t="shared" si="2"/>
        <v>2</v>
      </c>
      <c r="E23" s="69">
        <f t="shared" si="2"/>
        <v>3</v>
      </c>
      <c r="F23" s="69">
        <f t="shared" si="2"/>
        <v>3</v>
      </c>
      <c r="G23" s="69">
        <f t="shared" si="2"/>
        <v>3</v>
      </c>
      <c r="H23" s="69">
        <f t="shared" si="2"/>
        <v>3</v>
      </c>
      <c r="I23" s="69">
        <f t="shared" si="2"/>
        <v>1</v>
      </c>
      <c r="J23" s="69">
        <f t="shared" si="2"/>
        <v>3</v>
      </c>
      <c r="K23" s="69">
        <f t="shared" si="2"/>
        <v>3</v>
      </c>
    </row>
    <row r="26">
      <c r="A26" s="70" t="s">
        <v>78</v>
      </c>
      <c r="B26" s="71"/>
      <c r="C26" s="71"/>
      <c r="D26" s="71"/>
      <c r="E26" s="71"/>
      <c r="F26" s="71"/>
      <c r="G26" s="71"/>
      <c r="H26" s="71"/>
      <c r="I26" s="71"/>
      <c r="J26" s="71"/>
      <c r="K26" s="71"/>
    </row>
    <row r="27">
      <c r="A27" s="72" t="s">
        <v>0</v>
      </c>
      <c r="B27" s="72" t="s">
        <v>1</v>
      </c>
      <c r="C27" s="72" t="s">
        <v>2</v>
      </c>
      <c r="D27" s="72" t="s">
        <v>3</v>
      </c>
      <c r="E27" s="72" t="s">
        <v>4</v>
      </c>
      <c r="F27" s="72" t="s">
        <v>5</v>
      </c>
      <c r="G27" s="72" t="s">
        <v>6</v>
      </c>
      <c r="H27" s="72" t="s">
        <v>7</v>
      </c>
      <c r="I27" s="72" t="s">
        <v>8</v>
      </c>
      <c r="J27" s="72" t="s">
        <v>9</v>
      </c>
      <c r="K27" s="72" t="s">
        <v>10</v>
      </c>
    </row>
    <row r="28">
      <c r="A28" s="2" t="s">
        <v>11</v>
      </c>
      <c r="B28" s="73">
        <f t="shared" ref="B28:B47" si="3">(B2-$B$23)/($B$22-$B$23)</f>
        <v>1</v>
      </c>
      <c r="C28" s="73">
        <f t="shared" ref="C28:C47" si="4">(C2-$C$23)/($C$22-$C$23)</f>
        <v>1</v>
      </c>
      <c r="D28" s="73">
        <f t="shared" ref="D28:D47" si="5">(D2-$D$23)/($D$22-$D$23)</f>
        <v>1</v>
      </c>
      <c r="E28" s="73">
        <f t="shared" ref="E28:E47" si="6">(E2-$E$23)/($E$22-$E$23)</f>
        <v>0.5</v>
      </c>
      <c r="F28" s="73">
        <f t="shared" ref="F28:F47" si="7">(F2-$F$23)/($F$22-$F$23)</f>
        <v>1</v>
      </c>
      <c r="G28" s="73">
        <f t="shared" ref="G28:G47" si="8">(G2-$G$23)/($G$22-$G$23)</f>
        <v>1</v>
      </c>
      <c r="H28" s="73">
        <f t="shared" ref="H28:H47" si="9">(H2-$H$23)/($H$22-$H$23)</f>
        <v>1</v>
      </c>
      <c r="I28" s="73">
        <f t="shared" ref="I28:I47" si="10">(I2-$I$23)/($I$22-$I$23)</f>
        <v>1</v>
      </c>
      <c r="J28" s="73">
        <f t="shared" ref="J28:J47" si="11">(J2-$J$23)/($J$22-$J$23)</f>
        <v>1</v>
      </c>
      <c r="K28" s="73">
        <f t="shared" ref="K28:K47" si="12">($K$22-K2)/($K$22-$K$23)</f>
        <v>0.5</v>
      </c>
    </row>
    <row r="29">
      <c r="A29" s="74" t="s">
        <v>12</v>
      </c>
      <c r="B29" s="75">
        <f t="shared" si="3"/>
        <v>1</v>
      </c>
      <c r="C29" s="75">
        <f t="shared" si="4"/>
        <v>1</v>
      </c>
      <c r="D29" s="75">
        <f t="shared" si="5"/>
        <v>0.6666666667</v>
      </c>
      <c r="E29" s="75">
        <f t="shared" si="6"/>
        <v>0.5</v>
      </c>
      <c r="F29" s="75">
        <f t="shared" si="7"/>
        <v>0.5</v>
      </c>
      <c r="G29" s="75">
        <f t="shared" si="8"/>
        <v>0.5</v>
      </c>
      <c r="H29" s="75">
        <f t="shared" si="9"/>
        <v>1</v>
      </c>
      <c r="I29" s="75">
        <f t="shared" si="10"/>
        <v>1</v>
      </c>
      <c r="J29" s="75">
        <f t="shared" si="11"/>
        <v>1</v>
      </c>
      <c r="K29" s="75">
        <f t="shared" si="12"/>
        <v>0.5</v>
      </c>
    </row>
    <row r="30">
      <c r="A30" s="2" t="s">
        <v>13</v>
      </c>
      <c r="B30" s="73">
        <f t="shared" si="3"/>
        <v>0.5</v>
      </c>
      <c r="C30" s="73">
        <f t="shared" si="4"/>
        <v>1</v>
      </c>
      <c r="D30" s="73">
        <f t="shared" si="5"/>
        <v>0.6666666667</v>
      </c>
      <c r="E30" s="73">
        <f t="shared" si="6"/>
        <v>1</v>
      </c>
      <c r="F30" s="73">
        <f t="shared" si="7"/>
        <v>0.5</v>
      </c>
      <c r="G30" s="73">
        <f t="shared" si="8"/>
        <v>0.5</v>
      </c>
      <c r="H30" s="73">
        <f t="shared" si="9"/>
        <v>1</v>
      </c>
      <c r="I30" s="73">
        <f t="shared" si="10"/>
        <v>0.6666666667</v>
      </c>
      <c r="J30" s="73">
        <f t="shared" si="11"/>
        <v>1</v>
      </c>
      <c r="K30" s="73">
        <f t="shared" si="12"/>
        <v>0.5</v>
      </c>
    </row>
    <row r="31">
      <c r="A31" s="74" t="s">
        <v>14</v>
      </c>
      <c r="B31" s="75">
        <f t="shared" si="3"/>
        <v>1</v>
      </c>
      <c r="C31" s="75">
        <f t="shared" si="4"/>
        <v>1</v>
      </c>
      <c r="D31" s="75">
        <f t="shared" si="5"/>
        <v>1</v>
      </c>
      <c r="E31" s="75">
        <f t="shared" si="6"/>
        <v>1</v>
      </c>
      <c r="F31" s="75">
        <f t="shared" si="7"/>
        <v>1</v>
      </c>
      <c r="G31" s="75">
        <f t="shared" si="8"/>
        <v>1</v>
      </c>
      <c r="H31" s="75">
        <f t="shared" si="9"/>
        <v>1</v>
      </c>
      <c r="I31" s="75">
        <f t="shared" si="10"/>
        <v>1</v>
      </c>
      <c r="J31" s="75">
        <f t="shared" si="11"/>
        <v>1</v>
      </c>
      <c r="K31" s="75">
        <f t="shared" si="12"/>
        <v>0</v>
      </c>
    </row>
    <row r="32">
      <c r="A32" s="2" t="s">
        <v>15</v>
      </c>
      <c r="B32" s="73">
        <f t="shared" si="3"/>
        <v>0.5</v>
      </c>
      <c r="C32" s="73">
        <f t="shared" si="4"/>
        <v>1</v>
      </c>
      <c r="D32" s="73">
        <f t="shared" si="5"/>
        <v>0.6666666667</v>
      </c>
      <c r="E32" s="73">
        <f t="shared" si="6"/>
        <v>0.5</v>
      </c>
      <c r="F32" s="73">
        <f t="shared" si="7"/>
        <v>0.5</v>
      </c>
      <c r="G32" s="73">
        <f t="shared" si="8"/>
        <v>1</v>
      </c>
      <c r="H32" s="73">
        <f t="shared" si="9"/>
        <v>1</v>
      </c>
      <c r="I32" s="73">
        <f t="shared" si="10"/>
        <v>0.6666666667</v>
      </c>
      <c r="J32" s="73">
        <f t="shared" si="11"/>
        <v>1</v>
      </c>
      <c r="K32" s="73">
        <f t="shared" si="12"/>
        <v>0</v>
      </c>
    </row>
    <row r="33">
      <c r="A33" s="74" t="s">
        <v>16</v>
      </c>
      <c r="B33" s="75">
        <f t="shared" si="3"/>
        <v>0.5</v>
      </c>
      <c r="C33" s="75">
        <f t="shared" si="4"/>
        <v>0.6666666667</v>
      </c>
      <c r="D33" s="75">
        <f t="shared" si="5"/>
        <v>0.6666666667</v>
      </c>
      <c r="E33" s="75">
        <f t="shared" si="6"/>
        <v>1</v>
      </c>
      <c r="F33" s="75">
        <f t="shared" si="7"/>
        <v>0</v>
      </c>
      <c r="G33" s="75">
        <f t="shared" si="8"/>
        <v>0.5</v>
      </c>
      <c r="H33" s="75">
        <f t="shared" si="9"/>
        <v>0.5</v>
      </c>
      <c r="I33" s="75">
        <f t="shared" si="10"/>
        <v>0.3333333333</v>
      </c>
      <c r="J33" s="75">
        <f t="shared" si="11"/>
        <v>0.5</v>
      </c>
      <c r="K33" s="75">
        <f t="shared" si="12"/>
        <v>0</v>
      </c>
    </row>
    <row r="34">
      <c r="A34" s="2" t="s">
        <v>17</v>
      </c>
      <c r="B34" s="73">
        <f t="shared" si="3"/>
        <v>0.5</v>
      </c>
      <c r="C34" s="73">
        <f t="shared" si="4"/>
        <v>0.6666666667</v>
      </c>
      <c r="D34" s="73">
        <f t="shared" si="5"/>
        <v>0.6666666667</v>
      </c>
      <c r="E34" s="73">
        <f t="shared" si="6"/>
        <v>1</v>
      </c>
      <c r="F34" s="73">
        <f t="shared" si="7"/>
        <v>0.5</v>
      </c>
      <c r="G34" s="73">
        <f t="shared" si="8"/>
        <v>0.5</v>
      </c>
      <c r="H34" s="73">
        <f t="shared" si="9"/>
        <v>0.5</v>
      </c>
      <c r="I34" s="73">
        <f t="shared" si="10"/>
        <v>0.6666666667</v>
      </c>
      <c r="J34" s="73">
        <f t="shared" si="11"/>
        <v>1</v>
      </c>
      <c r="K34" s="73">
        <f t="shared" si="12"/>
        <v>0</v>
      </c>
    </row>
    <row r="35">
      <c r="A35" s="74" t="s">
        <v>18</v>
      </c>
      <c r="B35" s="75">
        <f t="shared" si="3"/>
        <v>0.5</v>
      </c>
      <c r="C35" s="75">
        <f t="shared" si="4"/>
        <v>0.6666666667</v>
      </c>
      <c r="D35" s="75">
        <f t="shared" si="5"/>
        <v>0.6666666667</v>
      </c>
      <c r="E35" s="75">
        <f t="shared" si="6"/>
        <v>0.5</v>
      </c>
      <c r="F35" s="75">
        <f t="shared" si="7"/>
        <v>0</v>
      </c>
      <c r="G35" s="75">
        <f t="shared" si="8"/>
        <v>0.5</v>
      </c>
      <c r="H35" s="75">
        <f t="shared" si="9"/>
        <v>0.5</v>
      </c>
      <c r="I35" s="75">
        <f t="shared" si="10"/>
        <v>0.3333333333</v>
      </c>
      <c r="J35" s="75">
        <f t="shared" si="11"/>
        <v>0.5</v>
      </c>
      <c r="K35" s="75">
        <f t="shared" si="12"/>
        <v>0.5</v>
      </c>
    </row>
    <row r="36">
      <c r="A36" s="2" t="s">
        <v>19</v>
      </c>
      <c r="B36" s="73">
        <f t="shared" si="3"/>
        <v>0.5</v>
      </c>
      <c r="C36" s="73">
        <f t="shared" si="4"/>
        <v>0.6666666667</v>
      </c>
      <c r="D36" s="73">
        <f t="shared" si="5"/>
        <v>0.6666666667</v>
      </c>
      <c r="E36" s="73">
        <f t="shared" si="6"/>
        <v>0.5</v>
      </c>
      <c r="F36" s="73">
        <f t="shared" si="7"/>
        <v>1</v>
      </c>
      <c r="G36" s="73">
        <f t="shared" si="8"/>
        <v>1</v>
      </c>
      <c r="H36" s="73">
        <f t="shared" si="9"/>
        <v>1</v>
      </c>
      <c r="I36" s="73">
        <f t="shared" si="10"/>
        <v>1</v>
      </c>
      <c r="J36" s="73">
        <f t="shared" si="11"/>
        <v>0.5</v>
      </c>
      <c r="K36" s="73">
        <f t="shared" si="12"/>
        <v>0</v>
      </c>
    </row>
    <row r="37">
      <c r="A37" s="74" t="s">
        <v>20</v>
      </c>
      <c r="B37" s="75">
        <f t="shared" si="3"/>
        <v>0.5</v>
      </c>
      <c r="C37" s="75">
        <f t="shared" si="4"/>
        <v>1</v>
      </c>
      <c r="D37" s="75">
        <f t="shared" si="5"/>
        <v>0.6666666667</v>
      </c>
      <c r="E37" s="75">
        <f t="shared" si="6"/>
        <v>0.5</v>
      </c>
      <c r="F37" s="75">
        <f t="shared" si="7"/>
        <v>0</v>
      </c>
      <c r="G37" s="75">
        <f t="shared" si="8"/>
        <v>0.5</v>
      </c>
      <c r="H37" s="75">
        <f t="shared" si="9"/>
        <v>0.5</v>
      </c>
      <c r="I37" s="75">
        <f t="shared" si="10"/>
        <v>0.6666666667</v>
      </c>
      <c r="J37" s="75">
        <f t="shared" si="11"/>
        <v>0.5</v>
      </c>
      <c r="K37" s="75">
        <f t="shared" si="12"/>
        <v>0</v>
      </c>
    </row>
    <row r="38">
      <c r="A38" s="2" t="s">
        <v>21</v>
      </c>
      <c r="B38" s="73">
        <f t="shared" si="3"/>
        <v>0.5</v>
      </c>
      <c r="C38" s="73">
        <f t="shared" si="4"/>
        <v>0.6666666667</v>
      </c>
      <c r="D38" s="73">
        <f t="shared" si="5"/>
        <v>0.3333333333</v>
      </c>
      <c r="E38" s="73">
        <f t="shared" si="6"/>
        <v>0</v>
      </c>
      <c r="F38" s="73">
        <f t="shared" si="7"/>
        <v>0.5</v>
      </c>
      <c r="G38" s="73">
        <f t="shared" si="8"/>
        <v>0.5</v>
      </c>
      <c r="H38" s="73">
        <f t="shared" si="9"/>
        <v>0.5</v>
      </c>
      <c r="I38" s="73">
        <f t="shared" si="10"/>
        <v>0.3333333333</v>
      </c>
      <c r="J38" s="73">
        <f t="shared" si="11"/>
        <v>0.5</v>
      </c>
      <c r="K38" s="73">
        <f t="shared" si="12"/>
        <v>0.5</v>
      </c>
    </row>
    <row r="39">
      <c r="A39" s="74" t="s">
        <v>22</v>
      </c>
      <c r="B39" s="75">
        <f t="shared" si="3"/>
        <v>0.5</v>
      </c>
      <c r="C39" s="75">
        <f t="shared" si="4"/>
        <v>0.3333333333</v>
      </c>
      <c r="D39" s="75">
        <f t="shared" si="5"/>
        <v>0.6666666667</v>
      </c>
      <c r="E39" s="75">
        <f t="shared" si="6"/>
        <v>0.5</v>
      </c>
      <c r="F39" s="75">
        <f t="shared" si="7"/>
        <v>0</v>
      </c>
      <c r="G39" s="75">
        <f t="shared" si="8"/>
        <v>0.5</v>
      </c>
      <c r="H39" s="75">
        <f t="shared" si="9"/>
        <v>0.5</v>
      </c>
      <c r="I39" s="75">
        <f t="shared" si="10"/>
        <v>0.3333333333</v>
      </c>
      <c r="J39" s="75">
        <f t="shared" si="11"/>
        <v>0.5</v>
      </c>
      <c r="K39" s="75">
        <f t="shared" si="12"/>
        <v>0.5</v>
      </c>
    </row>
    <row r="40">
      <c r="A40" s="2" t="s">
        <v>23</v>
      </c>
      <c r="B40" s="73">
        <f t="shared" si="3"/>
        <v>0.5</v>
      </c>
      <c r="C40" s="73">
        <f t="shared" si="4"/>
        <v>0.6666666667</v>
      </c>
      <c r="D40" s="73">
        <f t="shared" si="5"/>
        <v>0.6666666667</v>
      </c>
      <c r="E40" s="73">
        <f t="shared" si="6"/>
        <v>0</v>
      </c>
      <c r="F40" s="73">
        <f t="shared" si="7"/>
        <v>0</v>
      </c>
      <c r="G40" s="73">
        <f t="shared" si="8"/>
        <v>0</v>
      </c>
      <c r="H40" s="73">
        <f t="shared" si="9"/>
        <v>0.5</v>
      </c>
      <c r="I40" s="73">
        <f t="shared" si="10"/>
        <v>0.3333333333</v>
      </c>
      <c r="J40" s="73">
        <f t="shared" si="11"/>
        <v>1</v>
      </c>
      <c r="K40" s="73">
        <f t="shared" si="12"/>
        <v>0.5</v>
      </c>
    </row>
    <row r="41">
      <c r="A41" s="74" t="s">
        <v>24</v>
      </c>
      <c r="B41" s="75">
        <f t="shared" si="3"/>
        <v>0.5</v>
      </c>
      <c r="C41" s="75">
        <f t="shared" si="4"/>
        <v>0.3333333333</v>
      </c>
      <c r="D41" s="75">
        <f t="shared" si="5"/>
        <v>0.6666666667</v>
      </c>
      <c r="E41" s="75">
        <f t="shared" si="6"/>
        <v>0.5</v>
      </c>
      <c r="F41" s="75">
        <f t="shared" si="7"/>
        <v>0</v>
      </c>
      <c r="G41" s="75">
        <f t="shared" si="8"/>
        <v>0.5</v>
      </c>
      <c r="H41" s="75">
        <f t="shared" si="9"/>
        <v>0.5</v>
      </c>
      <c r="I41" s="75">
        <f t="shared" si="10"/>
        <v>0.3333333333</v>
      </c>
      <c r="J41" s="75">
        <f t="shared" si="11"/>
        <v>0.5</v>
      </c>
      <c r="K41" s="75">
        <f t="shared" si="12"/>
        <v>1</v>
      </c>
    </row>
    <row r="42">
      <c r="A42" s="2" t="s">
        <v>25</v>
      </c>
      <c r="B42" s="73">
        <f t="shared" si="3"/>
        <v>0</v>
      </c>
      <c r="C42" s="73">
        <f t="shared" si="4"/>
        <v>0.3333333333</v>
      </c>
      <c r="D42" s="73">
        <f t="shared" si="5"/>
        <v>0.3333333333</v>
      </c>
      <c r="E42" s="73">
        <f t="shared" si="6"/>
        <v>0</v>
      </c>
      <c r="F42" s="73">
        <f t="shared" si="7"/>
        <v>0.5</v>
      </c>
      <c r="G42" s="73">
        <f t="shared" si="8"/>
        <v>0.5</v>
      </c>
      <c r="H42" s="73">
        <f t="shared" si="9"/>
        <v>0.5</v>
      </c>
      <c r="I42" s="73">
        <f t="shared" si="10"/>
        <v>0</v>
      </c>
      <c r="J42" s="73">
        <f t="shared" si="11"/>
        <v>0</v>
      </c>
      <c r="K42" s="73">
        <f t="shared" si="12"/>
        <v>0.5</v>
      </c>
    </row>
    <row r="43">
      <c r="A43" s="74" t="s">
        <v>26</v>
      </c>
      <c r="B43" s="75">
        <f t="shared" si="3"/>
        <v>0</v>
      </c>
      <c r="C43" s="75">
        <f t="shared" si="4"/>
        <v>0.3333333333</v>
      </c>
      <c r="D43" s="75">
        <f t="shared" si="5"/>
        <v>0.6666666667</v>
      </c>
      <c r="E43" s="75">
        <f t="shared" si="6"/>
        <v>0</v>
      </c>
      <c r="F43" s="75">
        <f t="shared" si="7"/>
        <v>0</v>
      </c>
      <c r="G43" s="75">
        <f t="shared" si="8"/>
        <v>0</v>
      </c>
      <c r="H43" s="75">
        <f t="shared" si="9"/>
        <v>0.5</v>
      </c>
      <c r="I43" s="75">
        <f t="shared" si="10"/>
        <v>0</v>
      </c>
      <c r="J43" s="75">
        <f t="shared" si="11"/>
        <v>0.5</v>
      </c>
      <c r="K43" s="75">
        <f t="shared" si="12"/>
        <v>0.5</v>
      </c>
    </row>
    <row r="44">
      <c r="A44" s="2" t="s">
        <v>27</v>
      </c>
      <c r="B44" s="73">
        <f t="shared" si="3"/>
        <v>0</v>
      </c>
      <c r="C44" s="73">
        <f t="shared" si="4"/>
        <v>0.6666666667</v>
      </c>
      <c r="D44" s="73">
        <f t="shared" si="5"/>
        <v>0.6666666667</v>
      </c>
      <c r="E44" s="73">
        <f t="shared" si="6"/>
        <v>0.5</v>
      </c>
      <c r="F44" s="73">
        <f t="shared" si="7"/>
        <v>0</v>
      </c>
      <c r="G44" s="73">
        <f t="shared" si="8"/>
        <v>0</v>
      </c>
      <c r="H44" s="73">
        <f t="shared" si="9"/>
        <v>0.5</v>
      </c>
      <c r="I44" s="73">
        <f t="shared" si="10"/>
        <v>0.6666666667</v>
      </c>
      <c r="J44" s="73">
        <f t="shared" si="11"/>
        <v>0.5</v>
      </c>
      <c r="K44" s="73">
        <f t="shared" si="12"/>
        <v>0</v>
      </c>
    </row>
    <row r="45">
      <c r="A45" s="74" t="s">
        <v>28</v>
      </c>
      <c r="B45" s="75">
        <f t="shared" si="3"/>
        <v>0</v>
      </c>
      <c r="C45" s="75">
        <f t="shared" si="4"/>
        <v>0.3333333333</v>
      </c>
      <c r="D45" s="75">
        <f t="shared" si="5"/>
        <v>0.6666666667</v>
      </c>
      <c r="E45" s="75">
        <f t="shared" si="6"/>
        <v>0</v>
      </c>
      <c r="F45" s="75">
        <f t="shared" si="7"/>
        <v>0.5</v>
      </c>
      <c r="G45" s="75">
        <f t="shared" si="8"/>
        <v>0</v>
      </c>
      <c r="H45" s="75">
        <f t="shared" si="9"/>
        <v>0.5</v>
      </c>
      <c r="I45" s="75">
        <f t="shared" si="10"/>
        <v>0.3333333333</v>
      </c>
      <c r="J45" s="75">
        <f t="shared" si="11"/>
        <v>0</v>
      </c>
      <c r="K45" s="75">
        <f t="shared" si="12"/>
        <v>1</v>
      </c>
    </row>
    <row r="46">
      <c r="A46" s="2" t="s">
        <v>29</v>
      </c>
      <c r="B46" s="73">
        <f t="shared" si="3"/>
        <v>0</v>
      </c>
      <c r="C46" s="73">
        <f t="shared" si="4"/>
        <v>0</v>
      </c>
      <c r="D46" s="73">
        <f t="shared" si="5"/>
        <v>0.3333333333</v>
      </c>
      <c r="E46" s="73">
        <f t="shared" si="6"/>
        <v>0</v>
      </c>
      <c r="F46" s="73">
        <f t="shared" si="7"/>
        <v>0</v>
      </c>
      <c r="G46" s="73">
        <f t="shared" si="8"/>
        <v>0.5</v>
      </c>
      <c r="H46" s="73">
        <f t="shared" si="9"/>
        <v>0</v>
      </c>
      <c r="I46" s="73">
        <f t="shared" si="10"/>
        <v>0</v>
      </c>
      <c r="J46" s="73">
        <f t="shared" si="11"/>
        <v>0</v>
      </c>
      <c r="K46" s="73">
        <f t="shared" si="12"/>
        <v>1</v>
      </c>
    </row>
    <row r="47">
      <c r="A47" s="74" t="s">
        <v>30</v>
      </c>
      <c r="B47" s="75">
        <f t="shared" si="3"/>
        <v>0</v>
      </c>
      <c r="C47" s="75">
        <f t="shared" si="4"/>
        <v>0.3333333333</v>
      </c>
      <c r="D47" s="75">
        <f t="shared" si="5"/>
        <v>0</v>
      </c>
      <c r="E47" s="75">
        <f t="shared" si="6"/>
        <v>0</v>
      </c>
      <c r="F47" s="75">
        <f t="shared" si="7"/>
        <v>0</v>
      </c>
      <c r="G47" s="75">
        <f t="shared" si="8"/>
        <v>0</v>
      </c>
      <c r="H47" s="75">
        <f t="shared" si="9"/>
        <v>0</v>
      </c>
      <c r="I47" s="75">
        <f t="shared" si="10"/>
        <v>0.3333333333</v>
      </c>
      <c r="J47" s="75">
        <f t="shared" si="11"/>
        <v>0</v>
      </c>
      <c r="K47" s="75">
        <f t="shared" si="12"/>
        <v>1</v>
      </c>
    </row>
    <row r="48">
      <c r="A48" s="1" t="s">
        <v>112</v>
      </c>
      <c r="B48" s="47">
        <f t="shared" ref="B48:K48" si="13">SUM(B28:B47)</f>
        <v>8.5</v>
      </c>
      <c r="C48" s="1">
        <f t="shared" si="13"/>
        <v>12.66666667</v>
      </c>
      <c r="D48" s="1">
        <f t="shared" si="13"/>
        <v>12.33333333</v>
      </c>
      <c r="E48" s="1">
        <f t="shared" si="13"/>
        <v>8.5</v>
      </c>
      <c r="F48" s="1">
        <f t="shared" si="13"/>
        <v>6.5</v>
      </c>
      <c r="G48" s="1">
        <f t="shared" si="13"/>
        <v>9.5</v>
      </c>
      <c r="H48" s="1">
        <f t="shared" si="13"/>
        <v>12</v>
      </c>
      <c r="I48" s="1">
        <f t="shared" si="13"/>
        <v>10</v>
      </c>
      <c r="J48" s="1">
        <f t="shared" si="13"/>
        <v>11.5</v>
      </c>
      <c r="K48" s="1">
        <f t="shared" si="13"/>
        <v>8.5</v>
      </c>
    </row>
    <row r="50">
      <c r="A50" s="70" t="s">
        <v>113</v>
      </c>
      <c r="B50" s="7"/>
      <c r="C50" s="7"/>
      <c r="D50" s="7"/>
      <c r="E50" s="7"/>
    </row>
    <row r="51">
      <c r="A51" s="72" t="s">
        <v>114</v>
      </c>
      <c r="B51" s="72" t="s">
        <v>112</v>
      </c>
      <c r="C51" s="72" t="s">
        <v>115</v>
      </c>
      <c r="D51" s="76"/>
      <c r="E51" s="76"/>
    </row>
    <row r="52">
      <c r="A52" s="77" t="s">
        <v>1</v>
      </c>
      <c r="B52" s="78">
        <f>B48</f>
        <v>8.5</v>
      </c>
      <c r="C52" s="47" t="str">
        <f t="array" ref="C52:C61">SORT(A52:A61,B52:B61,0)</f>
        <v>C2</v>
      </c>
      <c r="D52" s="3">
        <v>1.0</v>
      </c>
    </row>
    <row r="53">
      <c r="A53" s="77" t="s">
        <v>2</v>
      </c>
      <c r="B53" s="78">
        <f>C48</f>
        <v>12.66666667</v>
      </c>
      <c r="C53" s="47" t="s">
        <v>3</v>
      </c>
      <c r="D53" s="3">
        <v>2.0</v>
      </c>
    </row>
    <row r="54">
      <c r="A54" s="77" t="s">
        <v>3</v>
      </c>
      <c r="B54" s="78">
        <f>D48</f>
        <v>12.33333333</v>
      </c>
      <c r="C54" s="47" t="s">
        <v>7</v>
      </c>
      <c r="D54" s="3">
        <v>3.0</v>
      </c>
    </row>
    <row r="55">
      <c r="A55" s="77" t="s">
        <v>4</v>
      </c>
      <c r="B55" s="78">
        <f>E48</f>
        <v>8.5</v>
      </c>
      <c r="C55" s="47" t="s">
        <v>9</v>
      </c>
      <c r="D55" s="3">
        <v>4.0</v>
      </c>
    </row>
    <row r="56">
      <c r="A56" s="77" t="s">
        <v>5</v>
      </c>
      <c r="B56" s="78">
        <f>F48</f>
        <v>6.5</v>
      </c>
      <c r="C56" s="47" t="s">
        <v>8</v>
      </c>
      <c r="D56" s="3">
        <v>5.0</v>
      </c>
    </row>
    <row r="57">
      <c r="A57" s="77" t="s">
        <v>6</v>
      </c>
      <c r="B57" s="78">
        <f>G48</f>
        <v>9.5</v>
      </c>
      <c r="C57" s="47" t="s">
        <v>6</v>
      </c>
      <c r="D57" s="3">
        <v>6.0</v>
      </c>
    </row>
    <row r="58">
      <c r="A58" s="77" t="s">
        <v>7</v>
      </c>
      <c r="B58" s="78">
        <f>H48</f>
        <v>12</v>
      </c>
      <c r="C58" s="47" t="s">
        <v>1</v>
      </c>
      <c r="D58" s="3">
        <v>7.0</v>
      </c>
    </row>
    <row r="59">
      <c r="A59" s="77" t="s">
        <v>8</v>
      </c>
      <c r="B59" s="78">
        <f>I48</f>
        <v>10</v>
      </c>
      <c r="C59" s="47" t="s">
        <v>4</v>
      </c>
      <c r="D59" s="3">
        <v>8.0</v>
      </c>
    </row>
    <row r="60">
      <c r="A60" s="77" t="s">
        <v>9</v>
      </c>
      <c r="B60" s="78">
        <f>J48</f>
        <v>11.5</v>
      </c>
      <c r="C60" s="47" t="s">
        <v>10</v>
      </c>
      <c r="D60" s="3">
        <v>9.0</v>
      </c>
    </row>
    <row r="61">
      <c r="A61" s="77" t="s">
        <v>10</v>
      </c>
      <c r="B61" s="78">
        <f>K48</f>
        <v>8.5</v>
      </c>
      <c r="C61" s="47" t="s">
        <v>5</v>
      </c>
      <c r="D61" s="3">
        <v>10.0</v>
      </c>
      <c r="E61" s="3" t="s">
        <v>116</v>
      </c>
    </row>
    <row r="63">
      <c r="A63" s="70" t="s">
        <v>117</v>
      </c>
      <c r="B63" s="7"/>
      <c r="C63" s="7"/>
    </row>
    <row r="64">
      <c r="A64" s="79" t="s">
        <v>118</v>
      </c>
      <c r="B64" s="78">
        <f>B53/B54</f>
        <v>1.027027027</v>
      </c>
      <c r="C64" s="61" t="s">
        <v>119</v>
      </c>
      <c r="D64" s="3" t="str">
        <f t="shared" ref="D64:D71" si="14">CONCATENATE("w",MID(C64,FIND("/",C64) - 2 + 1,FIND("/",C64) - (FIND("/",C64) - 2)),"w",RIGHT(C64,LEN(C64) - (FIND("/",C64) + 1)))</f>
        <v>w2/w3</v>
      </c>
    </row>
    <row r="65">
      <c r="A65" s="79" t="s">
        <v>120</v>
      </c>
      <c r="B65" s="78">
        <f>B54/B58</f>
        <v>1.027777778</v>
      </c>
      <c r="C65" s="61" t="s">
        <v>121</v>
      </c>
      <c r="D65" s="3" t="str">
        <f t="shared" si="14"/>
        <v>w3/w7</v>
      </c>
    </row>
    <row r="66">
      <c r="A66" s="79" t="s">
        <v>122</v>
      </c>
      <c r="B66" s="78">
        <f>B58/B60</f>
        <v>1.043478261</v>
      </c>
      <c r="C66" s="61" t="s">
        <v>123</v>
      </c>
      <c r="D66" s="42" t="str">
        <f t="shared" si="14"/>
        <v>w7/w9</v>
      </c>
    </row>
    <row r="67">
      <c r="A67" s="79" t="s">
        <v>124</v>
      </c>
      <c r="B67" s="78">
        <f>B60/B59</f>
        <v>1.15</v>
      </c>
      <c r="C67" s="61" t="s">
        <v>125</v>
      </c>
      <c r="D67" s="42" t="str">
        <f t="shared" si="14"/>
        <v>w9/w8</v>
      </c>
    </row>
    <row r="68">
      <c r="A68" s="79" t="s">
        <v>126</v>
      </c>
      <c r="B68" s="78">
        <f>B59/B57</f>
        <v>1.052631579</v>
      </c>
      <c r="C68" s="61" t="s">
        <v>127</v>
      </c>
      <c r="D68" s="42" t="str">
        <f t="shared" si="14"/>
        <v>w8/w6</v>
      </c>
    </row>
    <row r="69">
      <c r="A69" s="79" t="s">
        <v>128</v>
      </c>
      <c r="B69" s="78">
        <f>B57/B52</f>
        <v>1.117647059</v>
      </c>
      <c r="C69" s="61" t="s">
        <v>129</v>
      </c>
      <c r="D69" s="42" t="str">
        <f t="shared" si="14"/>
        <v>w6/w1</v>
      </c>
    </row>
    <row r="70">
      <c r="A70" s="79" t="s">
        <v>130</v>
      </c>
      <c r="B70" s="78">
        <f>B52/B55</f>
        <v>1</v>
      </c>
      <c r="C70" s="61" t="s">
        <v>131</v>
      </c>
      <c r="D70" s="42" t="str">
        <f t="shared" si="14"/>
        <v>w1/w4</v>
      </c>
    </row>
    <row r="71">
      <c r="A71" s="79" t="s">
        <v>132</v>
      </c>
      <c r="B71" s="78">
        <f>B55/B61</f>
        <v>1</v>
      </c>
      <c r="C71" s="61" t="s">
        <v>133</v>
      </c>
      <c r="D71" s="42" t="str">
        <f t="shared" si="14"/>
        <v>w4/w10</v>
      </c>
    </row>
    <row r="72">
      <c r="A72" s="79" t="s">
        <v>134</v>
      </c>
      <c r="B72" s="78">
        <f>B61/B56</f>
        <v>1.307692308</v>
      </c>
      <c r="C72" s="61" t="s">
        <v>135</v>
      </c>
      <c r="D72" s="3" t="s">
        <v>136</v>
      </c>
    </row>
    <row r="74">
      <c r="A74" s="70" t="s">
        <v>137</v>
      </c>
      <c r="B74" s="71"/>
      <c r="C74" s="71"/>
      <c r="D74" s="71"/>
    </row>
    <row r="75">
      <c r="A75" s="1" t="s">
        <v>138</v>
      </c>
      <c r="B75" s="47"/>
      <c r="C75" s="47"/>
      <c r="D75" s="47"/>
    </row>
    <row r="76">
      <c r="A76" s="77" t="s">
        <v>139</v>
      </c>
      <c r="B76" s="80">
        <v>1.0</v>
      </c>
    </row>
    <row r="77">
      <c r="A77" s="77" t="s">
        <v>140</v>
      </c>
      <c r="B77" s="78">
        <f>B72*B76</f>
        <v>1.307692308</v>
      </c>
      <c r="C77" s="81" t="s">
        <v>141</v>
      </c>
    </row>
    <row r="78">
      <c r="A78" s="77" t="s">
        <v>142</v>
      </c>
      <c r="B78" s="78">
        <f>B71*B77</f>
        <v>1.307692308</v>
      </c>
      <c r="C78" s="61" t="s">
        <v>143</v>
      </c>
    </row>
    <row r="79">
      <c r="A79" s="77" t="s">
        <v>144</v>
      </c>
      <c r="B79" s="78">
        <f>B70*B78</f>
        <v>1.307692308</v>
      </c>
      <c r="C79" s="61" t="s">
        <v>145</v>
      </c>
    </row>
    <row r="80">
      <c r="A80" s="77" t="s">
        <v>146</v>
      </c>
      <c r="B80" s="78">
        <f>B69*B79</f>
        <v>1.461538462</v>
      </c>
      <c r="C80" s="61" t="s">
        <v>147</v>
      </c>
    </row>
    <row r="81">
      <c r="A81" s="77" t="s">
        <v>148</v>
      </c>
      <c r="B81" s="78">
        <f>B68*B80</f>
        <v>1.538461538</v>
      </c>
      <c r="C81" s="61" t="s">
        <v>149</v>
      </c>
    </row>
    <row r="82">
      <c r="A82" s="77" t="s">
        <v>150</v>
      </c>
      <c r="B82" s="78">
        <f>B67*B81</f>
        <v>1.769230769</v>
      </c>
      <c r="C82" s="61" t="s">
        <v>151</v>
      </c>
    </row>
    <row r="83">
      <c r="A83" s="77" t="s">
        <v>152</v>
      </c>
      <c r="B83" s="78">
        <f>B66*B82</f>
        <v>1.846153846</v>
      </c>
      <c r="C83" s="61" t="s">
        <v>153</v>
      </c>
    </row>
    <row r="84">
      <c r="A84" s="77" t="s">
        <v>154</v>
      </c>
      <c r="B84" s="78">
        <f>B65*B83</f>
        <v>1.897435897</v>
      </c>
      <c r="C84" s="61" t="s">
        <v>155</v>
      </c>
    </row>
    <row r="85">
      <c r="A85" s="77" t="s">
        <v>156</v>
      </c>
      <c r="B85" s="78">
        <f>B64*B84</f>
        <v>1.948717949</v>
      </c>
      <c r="C85" s="61" t="s">
        <v>157</v>
      </c>
    </row>
    <row r="86">
      <c r="A86" s="82" t="s">
        <v>158</v>
      </c>
      <c r="B86" s="47">
        <f>SUM(B76:B85)</f>
        <v>15.38461538</v>
      </c>
      <c r="C86" s="1" t="s">
        <v>159</v>
      </c>
    </row>
    <row r="88">
      <c r="A88" s="83" t="s">
        <v>160</v>
      </c>
      <c r="B88" s="71"/>
      <c r="C88" s="71"/>
      <c r="D88" s="71"/>
      <c r="E88" s="71"/>
      <c r="F88" s="71"/>
      <c r="G88" s="71"/>
      <c r="H88" s="71"/>
      <c r="I88" s="71"/>
      <c r="K88" s="1" t="s">
        <v>161</v>
      </c>
      <c r="L88" s="47"/>
    </row>
    <row r="89">
      <c r="A89" s="77" t="s">
        <v>162</v>
      </c>
      <c r="B89" s="78">
        <f>B85/$B$86</f>
        <v>0.1266666667</v>
      </c>
      <c r="C89" s="61" t="str">
        <f t="shared" ref="C89:C97" si="15">CONCATENATE(LEFT(A89,FIND(" ",A89) - 1),"/",LEFT(A89,FIND(" ",A89) - 2),"j")</f>
        <v>W1/Wj</v>
      </c>
      <c r="D89" s="84" t="str">
        <f t="shared" ref="D89:D98" si="16">C52</f>
        <v>C2</v>
      </c>
      <c r="K89" s="85" t="s">
        <v>1</v>
      </c>
      <c r="L89" s="43">
        <f>B95</f>
        <v>0.085</v>
      </c>
    </row>
    <row r="90">
      <c r="A90" s="77" t="s">
        <v>163</v>
      </c>
      <c r="B90" s="78">
        <f>B84/$B$86</f>
        <v>0.1233333333</v>
      </c>
      <c r="C90" s="61" t="str">
        <f t="shared" si="15"/>
        <v>W2/Wj</v>
      </c>
      <c r="D90" s="84" t="str">
        <f t="shared" si="16"/>
        <v>C3</v>
      </c>
      <c r="K90" s="85" t="s">
        <v>2</v>
      </c>
      <c r="L90" s="43">
        <f t="shared" ref="L90:L91" si="17">B89</f>
        <v>0.1266666667</v>
      </c>
    </row>
    <row r="91">
      <c r="A91" s="77" t="s">
        <v>164</v>
      </c>
      <c r="B91" s="86">
        <f>B83/$B$86</f>
        <v>0.12</v>
      </c>
      <c r="C91" s="61" t="str">
        <f t="shared" si="15"/>
        <v>W3/Wj</v>
      </c>
      <c r="D91" s="84" t="str">
        <f t="shared" si="16"/>
        <v>C7</v>
      </c>
      <c r="K91" s="85" t="s">
        <v>3</v>
      </c>
      <c r="L91" s="43">
        <f t="shared" si="17"/>
        <v>0.1233333333</v>
      </c>
    </row>
    <row r="92">
      <c r="A92" s="77" t="s">
        <v>165</v>
      </c>
      <c r="B92" s="78">
        <f>B82/$B$86</f>
        <v>0.115</v>
      </c>
      <c r="C92" s="44" t="str">
        <f t="shared" si="15"/>
        <v>W4/Wj</v>
      </c>
      <c r="D92" s="84" t="str">
        <f t="shared" si="16"/>
        <v>C9</v>
      </c>
      <c r="K92" s="85" t="s">
        <v>4</v>
      </c>
      <c r="L92" s="43">
        <f>B96</f>
        <v>0.085</v>
      </c>
    </row>
    <row r="93">
      <c r="A93" s="77" t="s">
        <v>166</v>
      </c>
      <c r="B93" s="78">
        <f>B81/$B$86</f>
        <v>0.1</v>
      </c>
      <c r="C93" s="44" t="str">
        <f t="shared" si="15"/>
        <v>W5/Wj</v>
      </c>
      <c r="D93" s="84" t="str">
        <f t="shared" si="16"/>
        <v>C8</v>
      </c>
      <c r="K93" s="85" t="s">
        <v>5</v>
      </c>
      <c r="L93" s="43">
        <f>B98</f>
        <v>0.065</v>
      </c>
    </row>
    <row r="94">
      <c r="A94" s="77" t="s">
        <v>167</v>
      </c>
      <c r="B94" s="78">
        <f>B80/$B$86</f>
        <v>0.095</v>
      </c>
      <c r="C94" s="44" t="str">
        <f t="shared" si="15"/>
        <v>W6/Wj</v>
      </c>
      <c r="D94" s="84" t="str">
        <f t="shared" si="16"/>
        <v>C6</v>
      </c>
      <c r="K94" s="85" t="s">
        <v>6</v>
      </c>
      <c r="L94" s="43">
        <f>B94</f>
        <v>0.095</v>
      </c>
    </row>
    <row r="95">
      <c r="A95" s="77" t="s">
        <v>168</v>
      </c>
      <c r="B95" s="78">
        <f>B79/$B$86</f>
        <v>0.085</v>
      </c>
      <c r="C95" s="44" t="str">
        <f t="shared" si="15"/>
        <v>W7/Wj</v>
      </c>
      <c r="D95" s="84" t="str">
        <f t="shared" si="16"/>
        <v>C1</v>
      </c>
      <c r="K95" s="85" t="s">
        <v>7</v>
      </c>
      <c r="L95" s="87">
        <f>B91</f>
        <v>0.12</v>
      </c>
    </row>
    <row r="96">
      <c r="A96" s="77" t="s">
        <v>169</v>
      </c>
      <c r="B96" s="78">
        <f>B78/$B$86</f>
        <v>0.085</v>
      </c>
      <c r="C96" s="44" t="str">
        <f t="shared" si="15"/>
        <v>W8/Wj</v>
      </c>
      <c r="D96" s="84" t="str">
        <f t="shared" si="16"/>
        <v>C4</v>
      </c>
      <c r="K96" s="85" t="s">
        <v>8</v>
      </c>
      <c r="L96" s="43">
        <f>B93</f>
        <v>0.1</v>
      </c>
    </row>
    <row r="97">
      <c r="A97" s="77" t="s">
        <v>170</v>
      </c>
      <c r="B97" s="78">
        <f>B77/$B$86</f>
        <v>0.085</v>
      </c>
      <c r="C97" s="44" t="str">
        <f t="shared" si="15"/>
        <v>W9/Wj</v>
      </c>
      <c r="D97" s="84" t="str">
        <f t="shared" si="16"/>
        <v>C10</v>
      </c>
      <c r="K97" s="85" t="s">
        <v>9</v>
      </c>
      <c r="L97" s="43">
        <f>B92</f>
        <v>0.115</v>
      </c>
    </row>
    <row r="98">
      <c r="A98" s="77" t="s">
        <v>171</v>
      </c>
      <c r="B98" s="78">
        <f>B76/$B$86</f>
        <v>0.065</v>
      </c>
      <c r="C98" s="61" t="s">
        <v>172</v>
      </c>
      <c r="D98" s="84" t="str">
        <f t="shared" si="16"/>
        <v>C5</v>
      </c>
      <c r="K98" s="85" t="s">
        <v>10</v>
      </c>
      <c r="L98" s="43">
        <f>B97</f>
        <v>0.085</v>
      </c>
    </row>
    <row r="99">
      <c r="A99" s="1" t="s">
        <v>173</v>
      </c>
      <c r="B99" s="47">
        <f>SUM(B89:B98)</f>
        <v>1</v>
      </c>
    </row>
    <row r="102">
      <c r="A102" s="88" t="s">
        <v>174</v>
      </c>
    </row>
    <row r="103">
      <c r="A103" s="88" t="s">
        <v>175</v>
      </c>
    </row>
    <row r="104">
      <c r="A104" s="88" t="s">
        <v>176</v>
      </c>
      <c r="C104" s="3" t="s">
        <v>177</v>
      </c>
    </row>
    <row r="105">
      <c r="A105" s="88" t="s">
        <v>178</v>
      </c>
      <c r="C105" s="3" t="s">
        <v>179</v>
      </c>
    </row>
    <row r="106">
      <c r="A106" s="88" t="s">
        <v>180</v>
      </c>
    </row>
    <row r="107">
      <c r="A107" s="88" t="s">
        <v>181</v>
      </c>
    </row>
    <row r="108">
      <c r="A108" s="88" t="s">
        <v>182</v>
      </c>
    </row>
    <row r="109">
      <c r="A109" s="89" t="s">
        <v>183</v>
      </c>
    </row>
    <row r="110">
      <c r="A110" s="88" t="s">
        <v>184</v>
      </c>
    </row>
    <row r="111">
      <c r="A111" s="90" t="s">
        <v>185</v>
      </c>
    </row>
    <row r="112">
      <c r="A112" s="90" t="s">
        <v>186</v>
      </c>
    </row>
    <row r="113">
      <c r="A113" s="89" t="s">
        <v>187</v>
      </c>
    </row>
    <row r="114">
      <c r="A114" s="90" t="s">
        <v>188</v>
      </c>
    </row>
    <row r="115">
      <c r="A115" s="90" t="s">
        <v>189</v>
      </c>
    </row>
    <row r="116">
      <c r="A116" s="88" t="s">
        <v>190</v>
      </c>
    </row>
    <row r="117">
      <c r="A117" s="90" t="s">
        <v>191</v>
      </c>
    </row>
    <row r="118">
      <c r="A118" s="88" t="s">
        <v>192</v>
      </c>
    </row>
    <row r="119">
      <c r="A119" s="88" t="s">
        <v>193</v>
      </c>
    </row>
    <row r="120">
      <c r="A120" s="88" t="s">
        <v>194</v>
      </c>
    </row>
    <row r="121">
      <c r="A121" s="88" t="s">
        <v>195</v>
      </c>
    </row>
    <row r="122">
      <c r="A122" s="89" t="s">
        <v>196</v>
      </c>
    </row>
    <row r="123">
      <c r="A123" s="90" t="s">
        <v>197</v>
      </c>
    </row>
    <row r="124">
      <c r="A124" s="90" t="s">
        <v>198</v>
      </c>
    </row>
    <row r="125">
      <c r="A125" s="90" t="s">
        <v>199</v>
      </c>
    </row>
  </sheetData>
  <mergeCells count="3">
    <mergeCell ref="A109:H109"/>
    <mergeCell ref="A113:H113"/>
    <mergeCell ref="A122:H12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57"/>
  </cols>
  <sheetData>
    <row r="1">
      <c r="A1" s="1" t="s">
        <v>0</v>
      </c>
      <c r="B1" s="1" t="s">
        <v>1</v>
      </c>
      <c r="C1" s="1" t="s">
        <v>2</v>
      </c>
      <c r="D1" s="1" t="s">
        <v>3</v>
      </c>
      <c r="E1" s="1" t="s">
        <v>4</v>
      </c>
      <c r="F1" s="1" t="s">
        <v>5</v>
      </c>
      <c r="G1" s="1" t="s">
        <v>6</v>
      </c>
      <c r="H1" s="1" t="s">
        <v>7</v>
      </c>
      <c r="I1" s="1" t="s">
        <v>8</v>
      </c>
      <c r="J1" s="1" t="s">
        <v>9</v>
      </c>
      <c r="K1" s="1" t="s">
        <v>10</v>
      </c>
      <c r="M1" s="1" t="s">
        <v>200</v>
      </c>
    </row>
    <row r="2">
      <c r="A2" s="2" t="s">
        <v>11</v>
      </c>
      <c r="B2" s="2">
        <v>5.0</v>
      </c>
      <c r="C2" s="2">
        <v>5.0</v>
      </c>
      <c r="D2" s="2">
        <v>5.0</v>
      </c>
      <c r="E2" s="2">
        <v>4.0</v>
      </c>
      <c r="F2" s="2">
        <v>5.0</v>
      </c>
      <c r="G2" s="2">
        <v>5.0</v>
      </c>
      <c r="H2" s="2">
        <v>5.0</v>
      </c>
      <c r="I2" s="2">
        <v>4.0</v>
      </c>
      <c r="J2" s="2">
        <v>5.0</v>
      </c>
      <c r="K2" s="2">
        <v>4.0</v>
      </c>
      <c r="M2" s="8" t="s">
        <v>1</v>
      </c>
      <c r="N2" s="43">
        <f>FUCOM!L89</f>
        <v>0.085</v>
      </c>
      <c r="O2" s="74"/>
    </row>
    <row r="3">
      <c r="A3" s="3" t="s">
        <v>12</v>
      </c>
      <c r="B3" s="3">
        <v>5.0</v>
      </c>
      <c r="C3" s="3">
        <v>5.0</v>
      </c>
      <c r="D3" s="3">
        <v>4.0</v>
      </c>
      <c r="E3" s="3">
        <v>4.0</v>
      </c>
      <c r="F3" s="3">
        <v>4.0</v>
      </c>
      <c r="G3" s="3">
        <v>4.0</v>
      </c>
      <c r="H3" s="3">
        <v>5.0</v>
      </c>
      <c r="I3" s="3">
        <v>4.0</v>
      </c>
      <c r="J3" s="3">
        <v>5.0</v>
      </c>
      <c r="K3" s="3">
        <v>4.0</v>
      </c>
      <c r="M3" s="8" t="s">
        <v>2</v>
      </c>
      <c r="N3" s="43">
        <f>FUCOM!L90</f>
        <v>0.1266666667</v>
      </c>
      <c r="O3" s="74"/>
    </row>
    <row r="4">
      <c r="A4" s="2" t="s">
        <v>13</v>
      </c>
      <c r="B4" s="2">
        <v>4.0</v>
      </c>
      <c r="C4" s="2">
        <v>5.0</v>
      </c>
      <c r="D4" s="2">
        <v>4.0</v>
      </c>
      <c r="E4" s="2">
        <v>5.0</v>
      </c>
      <c r="F4" s="2">
        <v>4.0</v>
      </c>
      <c r="G4" s="2">
        <v>4.0</v>
      </c>
      <c r="H4" s="2">
        <v>5.0</v>
      </c>
      <c r="I4" s="2">
        <v>3.0</v>
      </c>
      <c r="J4" s="2">
        <v>5.0</v>
      </c>
      <c r="K4" s="2">
        <v>4.0</v>
      </c>
      <c r="M4" s="8" t="s">
        <v>3</v>
      </c>
      <c r="N4" s="43">
        <f>FUCOM!L91</f>
        <v>0.1233333333</v>
      </c>
      <c r="O4" s="74"/>
    </row>
    <row r="5">
      <c r="A5" s="3" t="s">
        <v>14</v>
      </c>
      <c r="B5" s="3">
        <v>5.0</v>
      </c>
      <c r="C5" s="3">
        <v>5.0</v>
      </c>
      <c r="D5" s="3">
        <v>5.0</v>
      </c>
      <c r="E5" s="3">
        <v>5.0</v>
      </c>
      <c r="F5" s="3">
        <v>5.0</v>
      </c>
      <c r="G5" s="3">
        <v>5.0</v>
      </c>
      <c r="H5" s="3">
        <v>5.0</v>
      </c>
      <c r="I5" s="3">
        <v>4.0</v>
      </c>
      <c r="J5" s="3">
        <v>5.0</v>
      </c>
      <c r="K5" s="3">
        <v>5.0</v>
      </c>
      <c r="M5" s="8" t="s">
        <v>4</v>
      </c>
      <c r="N5" s="43">
        <f>FUCOM!L92</f>
        <v>0.085</v>
      </c>
      <c r="O5" s="75"/>
    </row>
    <row r="6">
      <c r="A6" s="2" t="s">
        <v>15</v>
      </c>
      <c r="B6" s="2">
        <v>4.0</v>
      </c>
      <c r="C6" s="2">
        <v>5.0</v>
      </c>
      <c r="D6" s="2">
        <v>4.0</v>
      </c>
      <c r="E6" s="2">
        <v>4.0</v>
      </c>
      <c r="F6" s="2">
        <v>4.0</v>
      </c>
      <c r="G6" s="2">
        <v>5.0</v>
      </c>
      <c r="H6" s="2">
        <v>5.0</v>
      </c>
      <c r="I6" s="2">
        <v>3.0</v>
      </c>
      <c r="J6" s="2">
        <v>5.0</v>
      </c>
      <c r="K6" s="2">
        <v>5.0</v>
      </c>
      <c r="M6" s="8" t="s">
        <v>5</v>
      </c>
      <c r="N6" s="43">
        <f>FUCOM!L93</f>
        <v>0.065</v>
      </c>
      <c r="O6" s="75"/>
    </row>
    <row r="7">
      <c r="A7" s="3" t="s">
        <v>16</v>
      </c>
      <c r="B7" s="3">
        <v>4.0</v>
      </c>
      <c r="C7" s="3">
        <v>4.0</v>
      </c>
      <c r="D7" s="3">
        <v>4.0</v>
      </c>
      <c r="E7" s="3">
        <v>5.0</v>
      </c>
      <c r="F7" s="3">
        <v>3.0</v>
      </c>
      <c r="G7" s="3">
        <v>4.0</v>
      </c>
      <c r="H7" s="3">
        <v>4.0</v>
      </c>
      <c r="I7" s="3">
        <v>2.0</v>
      </c>
      <c r="J7" s="3">
        <v>4.0</v>
      </c>
      <c r="K7" s="3">
        <v>5.0</v>
      </c>
      <c r="M7" s="8" t="s">
        <v>6</v>
      </c>
      <c r="N7" s="43">
        <f>FUCOM!L94</f>
        <v>0.095</v>
      </c>
      <c r="O7" s="75"/>
    </row>
    <row r="8">
      <c r="A8" s="2" t="s">
        <v>17</v>
      </c>
      <c r="B8" s="2">
        <v>4.0</v>
      </c>
      <c r="C8" s="2">
        <v>4.0</v>
      </c>
      <c r="D8" s="2">
        <v>4.0</v>
      </c>
      <c r="E8" s="2">
        <v>5.0</v>
      </c>
      <c r="F8" s="2">
        <v>4.0</v>
      </c>
      <c r="G8" s="2">
        <v>4.0</v>
      </c>
      <c r="H8" s="2">
        <v>4.0</v>
      </c>
      <c r="I8" s="2">
        <v>3.0</v>
      </c>
      <c r="J8" s="2">
        <v>5.0</v>
      </c>
      <c r="K8" s="2">
        <v>5.0</v>
      </c>
      <c r="M8" s="8" t="s">
        <v>7</v>
      </c>
      <c r="N8" s="87">
        <f>FUCOM!L95</f>
        <v>0.12</v>
      </c>
      <c r="O8" s="75"/>
    </row>
    <row r="9">
      <c r="A9" s="3" t="s">
        <v>18</v>
      </c>
      <c r="B9" s="3">
        <v>4.0</v>
      </c>
      <c r="C9" s="3">
        <v>4.0</v>
      </c>
      <c r="D9" s="3">
        <v>4.0</v>
      </c>
      <c r="E9" s="3">
        <v>4.0</v>
      </c>
      <c r="F9" s="3">
        <v>3.0</v>
      </c>
      <c r="G9" s="3">
        <v>4.0</v>
      </c>
      <c r="H9" s="3">
        <v>4.0</v>
      </c>
      <c r="I9" s="3">
        <v>2.0</v>
      </c>
      <c r="J9" s="3">
        <v>4.0</v>
      </c>
      <c r="K9" s="3">
        <v>4.0</v>
      </c>
      <c r="M9" s="8" t="s">
        <v>8</v>
      </c>
      <c r="N9" s="43">
        <f>FUCOM!L96</f>
        <v>0.1</v>
      </c>
      <c r="O9" s="75"/>
    </row>
    <row r="10">
      <c r="A10" s="2" t="s">
        <v>19</v>
      </c>
      <c r="B10" s="2">
        <v>4.0</v>
      </c>
      <c r="C10" s="2">
        <v>4.0</v>
      </c>
      <c r="D10" s="2">
        <v>4.0</v>
      </c>
      <c r="E10" s="2">
        <v>4.0</v>
      </c>
      <c r="F10" s="2">
        <v>5.0</v>
      </c>
      <c r="G10" s="2">
        <v>5.0</v>
      </c>
      <c r="H10" s="2">
        <v>5.0</v>
      </c>
      <c r="I10" s="2">
        <v>4.0</v>
      </c>
      <c r="J10" s="2">
        <v>4.0</v>
      </c>
      <c r="K10" s="2">
        <v>5.0</v>
      </c>
      <c r="M10" s="8" t="s">
        <v>9</v>
      </c>
      <c r="N10" s="43">
        <f>FUCOM!L97</f>
        <v>0.115</v>
      </c>
      <c r="O10" s="75"/>
    </row>
    <row r="11">
      <c r="A11" s="3" t="s">
        <v>20</v>
      </c>
      <c r="B11" s="3">
        <v>4.0</v>
      </c>
      <c r="C11" s="3">
        <v>5.0</v>
      </c>
      <c r="D11" s="3">
        <v>4.0</v>
      </c>
      <c r="E11" s="3">
        <v>4.0</v>
      </c>
      <c r="F11" s="3">
        <v>3.0</v>
      </c>
      <c r="G11" s="3">
        <v>4.0</v>
      </c>
      <c r="H11" s="3">
        <v>4.0</v>
      </c>
      <c r="I11" s="3">
        <v>3.0</v>
      </c>
      <c r="J11" s="3">
        <v>4.0</v>
      </c>
      <c r="K11" s="3">
        <v>5.0</v>
      </c>
      <c r="M11" s="8" t="s">
        <v>10</v>
      </c>
      <c r="N11" s="43">
        <f>FUCOM!L98</f>
        <v>0.085</v>
      </c>
      <c r="O11" s="75"/>
    </row>
    <row r="12">
      <c r="A12" s="2" t="s">
        <v>21</v>
      </c>
      <c r="B12" s="2">
        <v>4.0</v>
      </c>
      <c r="C12" s="2">
        <v>4.0</v>
      </c>
      <c r="D12" s="2">
        <v>3.0</v>
      </c>
      <c r="E12" s="2">
        <v>3.0</v>
      </c>
      <c r="F12" s="2">
        <v>4.0</v>
      </c>
      <c r="G12" s="2">
        <v>4.0</v>
      </c>
      <c r="H12" s="2">
        <v>4.0</v>
      </c>
      <c r="I12" s="2">
        <v>2.0</v>
      </c>
      <c r="J12" s="2">
        <v>4.0</v>
      </c>
      <c r="K12" s="2">
        <v>4.0</v>
      </c>
      <c r="M12" s="91" t="s">
        <v>201</v>
      </c>
      <c r="N12" s="92">
        <f>SUM(N2:N11)</f>
        <v>1</v>
      </c>
      <c r="O12" s="75"/>
    </row>
    <row r="13">
      <c r="A13" s="3" t="s">
        <v>22</v>
      </c>
      <c r="B13" s="3">
        <v>4.0</v>
      </c>
      <c r="C13" s="3">
        <v>3.0</v>
      </c>
      <c r="D13" s="3">
        <v>4.0</v>
      </c>
      <c r="E13" s="3">
        <v>4.0</v>
      </c>
      <c r="F13" s="3">
        <v>3.0</v>
      </c>
      <c r="G13" s="3">
        <v>4.0</v>
      </c>
      <c r="H13" s="3">
        <v>4.0</v>
      </c>
      <c r="I13" s="3">
        <v>2.0</v>
      </c>
      <c r="J13" s="3">
        <v>4.0</v>
      </c>
      <c r="K13" s="3">
        <v>4.0</v>
      </c>
      <c r="O13" s="75"/>
    </row>
    <row r="14">
      <c r="A14" s="2" t="s">
        <v>23</v>
      </c>
      <c r="B14" s="2">
        <v>4.0</v>
      </c>
      <c r="C14" s="2">
        <v>4.0</v>
      </c>
      <c r="D14" s="2">
        <v>4.0</v>
      </c>
      <c r="E14" s="2">
        <v>3.0</v>
      </c>
      <c r="F14" s="2">
        <v>3.0</v>
      </c>
      <c r="G14" s="2">
        <v>3.0</v>
      </c>
      <c r="H14" s="2">
        <v>4.0</v>
      </c>
      <c r="I14" s="2">
        <v>2.0</v>
      </c>
      <c r="J14" s="2">
        <v>5.0</v>
      </c>
      <c r="K14" s="2">
        <v>4.0</v>
      </c>
    </row>
    <row r="15">
      <c r="A15" s="3" t="s">
        <v>24</v>
      </c>
      <c r="B15" s="3">
        <v>4.0</v>
      </c>
      <c r="C15" s="3">
        <v>3.0</v>
      </c>
      <c r="D15" s="3">
        <v>4.0</v>
      </c>
      <c r="E15" s="3">
        <v>4.0</v>
      </c>
      <c r="F15" s="3">
        <v>3.0</v>
      </c>
      <c r="G15" s="3">
        <v>4.0</v>
      </c>
      <c r="H15" s="3">
        <v>4.0</v>
      </c>
      <c r="I15" s="3">
        <v>2.0</v>
      </c>
      <c r="J15" s="3">
        <v>4.0</v>
      </c>
      <c r="K15" s="3">
        <v>3.0</v>
      </c>
    </row>
    <row r="16">
      <c r="A16" s="2" t="s">
        <v>25</v>
      </c>
      <c r="B16" s="2">
        <v>3.0</v>
      </c>
      <c r="C16" s="2">
        <v>3.0</v>
      </c>
      <c r="D16" s="2">
        <v>3.0</v>
      </c>
      <c r="E16" s="2">
        <v>3.0</v>
      </c>
      <c r="F16" s="2">
        <v>4.0</v>
      </c>
      <c r="G16" s="2">
        <v>4.0</v>
      </c>
      <c r="H16" s="2">
        <v>4.0</v>
      </c>
      <c r="I16" s="2">
        <v>1.0</v>
      </c>
      <c r="J16" s="2">
        <v>3.0</v>
      </c>
      <c r="K16" s="2">
        <v>4.0</v>
      </c>
    </row>
    <row r="17">
      <c r="A17" s="3" t="s">
        <v>26</v>
      </c>
      <c r="B17" s="3">
        <v>3.0</v>
      </c>
      <c r="C17" s="3">
        <v>3.0</v>
      </c>
      <c r="D17" s="3">
        <v>4.0</v>
      </c>
      <c r="E17" s="3">
        <v>3.0</v>
      </c>
      <c r="F17" s="3">
        <v>3.0</v>
      </c>
      <c r="G17" s="3">
        <v>3.0</v>
      </c>
      <c r="H17" s="3">
        <v>4.0</v>
      </c>
      <c r="I17" s="3">
        <v>1.0</v>
      </c>
      <c r="J17" s="3">
        <v>4.0</v>
      </c>
      <c r="K17" s="3">
        <v>4.0</v>
      </c>
    </row>
    <row r="18">
      <c r="A18" s="2" t="s">
        <v>27</v>
      </c>
      <c r="B18" s="2">
        <v>3.0</v>
      </c>
      <c r="C18" s="2">
        <v>4.0</v>
      </c>
      <c r="D18" s="2">
        <v>4.0</v>
      </c>
      <c r="E18" s="2">
        <v>4.0</v>
      </c>
      <c r="F18" s="2">
        <v>3.0</v>
      </c>
      <c r="G18" s="2">
        <v>3.0</v>
      </c>
      <c r="H18" s="2">
        <v>4.0</v>
      </c>
      <c r="I18" s="2">
        <v>3.0</v>
      </c>
      <c r="J18" s="2">
        <v>4.0</v>
      </c>
      <c r="K18" s="2">
        <v>5.0</v>
      </c>
    </row>
    <row r="19">
      <c r="A19" s="3" t="s">
        <v>28</v>
      </c>
      <c r="B19" s="3">
        <v>3.0</v>
      </c>
      <c r="C19" s="3">
        <v>3.0</v>
      </c>
      <c r="D19" s="3">
        <v>4.0</v>
      </c>
      <c r="E19" s="3">
        <v>3.0</v>
      </c>
      <c r="F19" s="3">
        <v>4.0</v>
      </c>
      <c r="G19" s="3">
        <v>3.0</v>
      </c>
      <c r="H19" s="3">
        <v>4.0</v>
      </c>
      <c r="I19" s="3">
        <v>2.0</v>
      </c>
      <c r="J19" s="3">
        <v>3.0</v>
      </c>
      <c r="K19" s="3">
        <v>3.0</v>
      </c>
    </row>
    <row r="20">
      <c r="A20" s="2" t="s">
        <v>29</v>
      </c>
      <c r="B20" s="2">
        <v>3.0</v>
      </c>
      <c r="C20" s="2">
        <v>2.0</v>
      </c>
      <c r="D20" s="2">
        <v>3.0</v>
      </c>
      <c r="E20" s="2">
        <v>3.0</v>
      </c>
      <c r="F20" s="2">
        <v>3.0</v>
      </c>
      <c r="G20" s="2">
        <v>4.0</v>
      </c>
      <c r="H20" s="2">
        <v>3.0</v>
      </c>
      <c r="I20" s="2">
        <v>1.0</v>
      </c>
      <c r="J20" s="2">
        <v>3.0</v>
      </c>
      <c r="K20" s="2">
        <v>3.0</v>
      </c>
    </row>
    <row r="21">
      <c r="A21" s="3" t="s">
        <v>30</v>
      </c>
      <c r="B21" s="3">
        <v>3.0</v>
      </c>
      <c r="C21" s="3">
        <v>3.0</v>
      </c>
      <c r="D21" s="3">
        <v>2.0</v>
      </c>
      <c r="E21" s="3">
        <v>3.0</v>
      </c>
      <c r="F21" s="3">
        <v>3.0</v>
      </c>
      <c r="G21" s="3">
        <v>3.0</v>
      </c>
      <c r="H21" s="3">
        <v>3.0</v>
      </c>
      <c r="I21" s="3">
        <v>2.0</v>
      </c>
      <c r="J21" s="3">
        <v>3.0</v>
      </c>
      <c r="K21" s="3">
        <v>3.0</v>
      </c>
    </row>
    <row r="22">
      <c r="A22" s="19" t="s">
        <v>77</v>
      </c>
      <c r="B22" s="19">
        <f t="shared" ref="B22:K22" si="1">MAX(B2:B21)</f>
        <v>5</v>
      </c>
      <c r="C22" s="19">
        <f t="shared" si="1"/>
        <v>5</v>
      </c>
      <c r="D22" s="19">
        <f t="shared" si="1"/>
        <v>5</v>
      </c>
      <c r="E22" s="19">
        <f t="shared" si="1"/>
        <v>5</v>
      </c>
      <c r="F22" s="19">
        <f t="shared" si="1"/>
        <v>5</v>
      </c>
      <c r="G22" s="19">
        <f t="shared" si="1"/>
        <v>5</v>
      </c>
      <c r="H22" s="19">
        <f t="shared" si="1"/>
        <v>5</v>
      </c>
      <c r="I22" s="19">
        <f t="shared" si="1"/>
        <v>4</v>
      </c>
      <c r="J22" s="19">
        <f t="shared" si="1"/>
        <v>5</v>
      </c>
      <c r="K22" s="19">
        <f t="shared" si="1"/>
        <v>5</v>
      </c>
    </row>
    <row r="23">
      <c r="A23" s="52" t="s">
        <v>87</v>
      </c>
      <c r="B23" s="93">
        <f t="shared" ref="B23:K23" si="2">min(B2:B21)</f>
        <v>3</v>
      </c>
      <c r="C23" s="93">
        <f t="shared" si="2"/>
        <v>2</v>
      </c>
      <c r="D23" s="93">
        <f t="shared" si="2"/>
        <v>2</v>
      </c>
      <c r="E23" s="93">
        <f t="shared" si="2"/>
        <v>3</v>
      </c>
      <c r="F23" s="93">
        <f t="shared" si="2"/>
        <v>3</v>
      </c>
      <c r="G23" s="93">
        <f t="shared" si="2"/>
        <v>3</v>
      </c>
      <c r="H23" s="93">
        <f t="shared" si="2"/>
        <v>3</v>
      </c>
      <c r="I23" s="93">
        <f t="shared" si="2"/>
        <v>1</v>
      </c>
      <c r="J23" s="93">
        <f t="shared" si="2"/>
        <v>3</v>
      </c>
      <c r="K23" s="93">
        <f t="shared" si="2"/>
        <v>3</v>
      </c>
    </row>
    <row r="25">
      <c r="A25" s="94" t="s">
        <v>78</v>
      </c>
    </row>
    <row r="26">
      <c r="A26" s="1" t="s">
        <v>0</v>
      </c>
      <c r="B26" s="1" t="s">
        <v>1</v>
      </c>
      <c r="C26" s="1" t="s">
        <v>2</v>
      </c>
      <c r="D26" s="1" t="s">
        <v>3</v>
      </c>
      <c r="E26" s="1" t="s">
        <v>4</v>
      </c>
      <c r="F26" s="1" t="s">
        <v>5</v>
      </c>
      <c r="G26" s="1" t="s">
        <v>6</v>
      </c>
      <c r="H26" s="1" t="s">
        <v>7</v>
      </c>
      <c r="I26" s="1" t="s">
        <v>8</v>
      </c>
      <c r="J26" s="1" t="s">
        <v>9</v>
      </c>
      <c r="K26" s="1" t="s">
        <v>10</v>
      </c>
    </row>
    <row r="27">
      <c r="A27" s="3" t="s">
        <v>11</v>
      </c>
      <c r="B27" s="3">
        <f t="shared" ref="B27:B46" si="3">($B$22-B2)/($B$22-$B$23)</f>
        <v>0</v>
      </c>
      <c r="C27" s="3">
        <f t="shared" ref="C27:C46" si="4">($C$22-C2)/($C$22-$C$23)</f>
        <v>0</v>
      </c>
      <c r="D27" s="3">
        <f t="shared" ref="D27:D46" si="5">($D$22-D2)/($D$22-$D$23)</f>
        <v>0</v>
      </c>
      <c r="E27" s="3">
        <f t="shared" ref="E27:E46" si="6">($E$22-E2)/($E$22-$E$23)</f>
        <v>0.5</v>
      </c>
      <c r="F27" s="3">
        <f t="shared" ref="F27:F46" si="7">($F$22-F2)/($F$22-$F$23)</f>
        <v>0</v>
      </c>
      <c r="G27" s="3">
        <f t="shared" ref="G27:G46" si="8">($G$22-G2)/($G$22-$G$23)</f>
        <v>0</v>
      </c>
      <c r="H27" s="3">
        <f t="shared" ref="H27:H46" si="9">($H$22-H2)/($H$22-$H$23)</f>
        <v>0</v>
      </c>
      <c r="I27" s="3">
        <f t="shared" ref="I27:I46" si="10">($I$22-I2)/($I$22-$I$23)</f>
        <v>0</v>
      </c>
      <c r="J27" s="3">
        <f t="shared" ref="J27:J46" si="11">($J$22-J2)/($J$22-$J$23)</f>
        <v>0</v>
      </c>
      <c r="K27" s="3">
        <f t="shared" ref="K27:K46" si="12">($K$22-K2)/($K$22-$K$23)</f>
        <v>0.5</v>
      </c>
    </row>
    <row r="28">
      <c r="A28" s="2" t="s">
        <v>12</v>
      </c>
      <c r="B28" s="2">
        <f t="shared" si="3"/>
        <v>0</v>
      </c>
      <c r="C28" s="2">
        <f t="shared" si="4"/>
        <v>0</v>
      </c>
      <c r="D28" s="2">
        <f t="shared" si="5"/>
        <v>0.3333333333</v>
      </c>
      <c r="E28" s="2">
        <f t="shared" si="6"/>
        <v>0.5</v>
      </c>
      <c r="F28" s="2">
        <f t="shared" si="7"/>
        <v>0.5</v>
      </c>
      <c r="G28" s="2">
        <f t="shared" si="8"/>
        <v>0.5</v>
      </c>
      <c r="H28" s="2">
        <f t="shared" si="9"/>
        <v>0</v>
      </c>
      <c r="I28" s="2">
        <f t="shared" si="10"/>
        <v>0</v>
      </c>
      <c r="J28" s="2">
        <f t="shared" si="11"/>
        <v>0</v>
      </c>
      <c r="K28" s="2">
        <f t="shared" si="12"/>
        <v>0.5</v>
      </c>
    </row>
    <row r="29">
      <c r="A29" s="3" t="s">
        <v>13</v>
      </c>
      <c r="B29" s="3">
        <f t="shared" si="3"/>
        <v>0.5</v>
      </c>
      <c r="C29" s="3">
        <f t="shared" si="4"/>
        <v>0</v>
      </c>
      <c r="D29" s="3">
        <f t="shared" si="5"/>
        <v>0.3333333333</v>
      </c>
      <c r="E29" s="3">
        <f t="shared" si="6"/>
        <v>0</v>
      </c>
      <c r="F29" s="3">
        <f t="shared" si="7"/>
        <v>0.5</v>
      </c>
      <c r="G29" s="3">
        <f t="shared" si="8"/>
        <v>0.5</v>
      </c>
      <c r="H29" s="3">
        <f t="shared" si="9"/>
        <v>0</v>
      </c>
      <c r="I29" s="3">
        <f t="shared" si="10"/>
        <v>0.3333333333</v>
      </c>
      <c r="J29" s="3">
        <f t="shared" si="11"/>
        <v>0</v>
      </c>
      <c r="K29" s="3">
        <f t="shared" si="12"/>
        <v>0.5</v>
      </c>
    </row>
    <row r="30">
      <c r="A30" s="2" t="s">
        <v>14</v>
      </c>
      <c r="B30" s="2">
        <f t="shared" si="3"/>
        <v>0</v>
      </c>
      <c r="C30" s="2">
        <f t="shared" si="4"/>
        <v>0</v>
      </c>
      <c r="D30" s="2">
        <f t="shared" si="5"/>
        <v>0</v>
      </c>
      <c r="E30" s="2">
        <f t="shared" si="6"/>
        <v>0</v>
      </c>
      <c r="F30" s="2">
        <f t="shared" si="7"/>
        <v>0</v>
      </c>
      <c r="G30" s="2">
        <f t="shared" si="8"/>
        <v>0</v>
      </c>
      <c r="H30" s="2">
        <f t="shared" si="9"/>
        <v>0</v>
      </c>
      <c r="I30" s="2">
        <f t="shared" si="10"/>
        <v>0</v>
      </c>
      <c r="J30" s="2">
        <f t="shared" si="11"/>
        <v>0</v>
      </c>
      <c r="K30" s="2">
        <f t="shared" si="12"/>
        <v>0</v>
      </c>
    </row>
    <row r="31">
      <c r="A31" s="3" t="s">
        <v>15</v>
      </c>
      <c r="B31" s="3">
        <f t="shared" si="3"/>
        <v>0.5</v>
      </c>
      <c r="C31" s="3">
        <f t="shared" si="4"/>
        <v>0</v>
      </c>
      <c r="D31" s="3">
        <f t="shared" si="5"/>
        <v>0.3333333333</v>
      </c>
      <c r="E31" s="3">
        <f t="shared" si="6"/>
        <v>0.5</v>
      </c>
      <c r="F31" s="3">
        <f t="shared" si="7"/>
        <v>0.5</v>
      </c>
      <c r="G31" s="3">
        <f t="shared" si="8"/>
        <v>0</v>
      </c>
      <c r="H31" s="3">
        <f t="shared" si="9"/>
        <v>0</v>
      </c>
      <c r="I31" s="3">
        <f t="shared" si="10"/>
        <v>0.3333333333</v>
      </c>
      <c r="J31" s="3">
        <f t="shared" si="11"/>
        <v>0</v>
      </c>
      <c r="K31" s="3">
        <f t="shared" si="12"/>
        <v>0</v>
      </c>
    </row>
    <row r="32">
      <c r="A32" s="2" t="s">
        <v>16</v>
      </c>
      <c r="B32" s="2">
        <f t="shared" si="3"/>
        <v>0.5</v>
      </c>
      <c r="C32" s="2">
        <f t="shared" si="4"/>
        <v>0.3333333333</v>
      </c>
      <c r="D32" s="2">
        <f t="shared" si="5"/>
        <v>0.3333333333</v>
      </c>
      <c r="E32" s="2">
        <f t="shared" si="6"/>
        <v>0</v>
      </c>
      <c r="F32" s="2">
        <f t="shared" si="7"/>
        <v>1</v>
      </c>
      <c r="G32" s="2">
        <f t="shared" si="8"/>
        <v>0.5</v>
      </c>
      <c r="H32" s="2">
        <f t="shared" si="9"/>
        <v>0.5</v>
      </c>
      <c r="I32" s="2">
        <f t="shared" si="10"/>
        <v>0.6666666667</v>
      </c>
      <c r="J32" s="2">
        <f t="shared" si="11"/>
        <v>0.5</v>
      </c>
      <c r="K32" s="2">
        <f t="shared" si="12"/>
        <v>0</v>
      </c>
    </row>
    <row r="33">
      <c r="A33" s="3" t="s">
        <v>17</v>
      </c>
      <c r="B33" s="3">
        <f t="shared" si="3"/>
        <v>0.5</v>
      </c>
      <c r="C33" s="3">
        <f t="shared" si="4"/>
        <v>0.3333333333</v>
      </c>
      <c r="D33" s="3">
        <f t="shared" si="5"/>
        <v>0.3333333333</v>
      </c>
      <c r="E33" s="3">
        <f t="shared" si="6"/>
        <v>0</v>
      </c>
      <c r="F33" s="3">
        <f t="shared" si="7"/>
        <v>0.5</v>
      </c>
      <c r="G33" s="3">
        <f t="shared" si="8"/>
        <v>0.5</v>
      </c>
      <c r="H33" s="3">
        <f t="shared" si="9"/>
        <v>0.5</v>
      </c>
      <c r="I33" s="3">
        <f t="shared" si="10"/>
        <v>0.3333333333</v>
      </c>
      <c r="J33" s="3">
        <f t="shared" si="11"/>
        <v>0</v>
      </c>
      <c r="K33" s="3">
        <f t="shared" si="12"/>
        <v>0</v>
      </c>
    </row>
    <row r="34">
      <c r="A34" s="2" t="s">
        <v>18</v>
      </c>
      <c r="B34" s="2">
        <f t="shared" si="3"/>
        <v>0.5</v>
      </c>
      <c r="C34" s="2">
        <f t="shared" si="4"/>
        <v>0.3333333333</v>
      </c>
      <c r="D34" s="2">
        <f t="shared" si="5"/>
        <v>0.3333333333</v>
      </c>
      <c r="E34" s="2">
        <f t="shared" si="6"/>
        <v>0.5</v>
      </c>
      <c r="F34" s="2">
        <f t="shared" si="7"/>
        <v>1</v>
      </c>
      <c r="G34" s="2">
        <f t="shared" si="8"/>
        <v>0.5</v>
      </c>
      <c r="H34" s="2">
        <f t="shared" si="9"/>
        <v>0.5</v>
      </c>
      <c r="I34" s="2">
        <f t="shared" si="10"/>
        <v>0.6666666667</v>
      </c>
      <c r="J34" s="2">
        <f t="shared" si="11"/>
        <v>0.5</v>
      </c>
      <c r="K34" s="2">
        <f t="shared" si="12"/>
        <v>0.5</v>
      </c>
    </row>
    <row r="35">
      <c r="A35" s="3" t="s">
        <v>19</v>
      </c>
      <c r="B35" s="3">
        <f t="shared" si="3"/>
        <v>0.5</v>
      </c>
      <c r="C35" s="3">
        <f t="shared" si="4"/>
        <v>0.3333333333</v>
      </c>
      <c r="D35" s="3">
        <f t="shared" si="5"/>
        <v>0.3333333333</v>
      </c>
      <c r="E35" s="3">
        <f t="shared" si="6"/>
        <v>0.5</v>
      </c>
      <c r="F35" s="3">
        <f t="shared" si="7"/>
        <v>0</v>
      </c>
      <c r="G35" s="3">
        <f t="shared" si="8"/>
        <v>0</v>
      </c>
      <c r="H35" s="3">
        <f t="shared" si="9"/>
        <v>0</v>
      </c>
      <c r="I35" s="3">
        <f t="shared" si="10"/>
        <v>0</v>
      </c>
      <c r="J35" s="3">
        <f t="shared" si="11"/>
        <v>0.5</v>
      </c>
      <c r="K35" s="3">
        <f t="shared" si="12"/>
        <v>0</v>
      </c>
    </row>
    <row r="36">
      <c r="A36" s="2" t="s">
        <v>20</v>
      </c>
      <c r="B36" s="2">
        <f t="shared" si="3"/>
        <v>0.5</v>
      </c>
      <c r="C36" s="2">
        <f t="shared" si="4"/>
        <v>0</v>
      </c>
      <c r="D36" s="2">
        <f t="shared" si="5"/>
        <v>0.3333333333</v>
      </c>
      <c r="E36" s="2">
        <f t="shared" si="6"/>
        <v>0.5</v>
      </c>
      <c r="F36" s="2">
        <f t="shared" si="7"/>
        <v>1</v>
      </c>
      <c r="G36" s="2">
        <f t="shared" si="8"/>
        <v>0.5</v>
      </c>
      <c r="H36" s="2">
        <f t="shared" si="9"/>
        <v>0.5</v>
      </c>
      <c r="I36" s="2">
        <f t="shared" si="10"/>
        <v>0.3333333333</v>
      </c>
      <c r="J36" s="2">
        <f t="shared" si="11"/>
        <v>0.5</v>
      </c>
      <c r="K36" s="2">
        <f t="shared" si="12"/>
        <v>0</v>
      </c>
    </row>
    <row r="37">
      <c r="A37" s="3" t="s">
        <v>21</v>
      </c>
      <c r="B37" s="3">
        <f t="shared" si="3"/>
        <v>0.5</v>
      </c>
      <c r="C37" s="3">
        <f t="shared" si="4"/>
        <v>0.3333333333</v>
      </c>
      <c r="D37" s="3">
        <f t="shared" si="5"/>
        <v>0.6666666667</v>
      </c>
      <c r="E37" s="3">
        <f t="shared" si="6"/>
        <v>1</v>
      </c>
      <c r="F37" s="3">
        <f t="shared" si="7"/>
        <v>0.5</v>
      </c>
      <c r="G37" s="3">
        <f t="shared" si="8"/>
        <v>0.5</v>
      </c>
      <c r="H37" s="3">
        <f t="shared" si="9"/>
        <v>0.5</v>
      </c>
      <c r="I37" s="3">
        <f t="shared" si="10"/>
        <v>0.6666666667</v>
      </c>
      <c r="J37" s="3">
        <f t="shared" si="11"/>
        <v>0.5</v>
      </c>
      <c r="K37" s="3">
        <f t="shared" si="12"/>
        <v>0.5</v>
      </c>
    </row>
    <row r="38">
      <c r="A38" s="4" t="s">
        <v>22</v>
      </c>
      <c r="B38" s="4">
        <f t="shared" si="3"/>
        <v>0.5</v>
      </c>
      <c r="C38" s="4">
        <f t="shared" si="4"/>
        <v>0.6666666667</v>
      </c>
      <c r="D38" s="4">
        <f t="shared" si="5"/>
        <v>0.3333333333</v>
      </c>
      <c r="E38" s="4">
        <f t="shared" si="6"/>
        <v>0.5</v>
      </c>
      <c r="F38" s="4">
        <f t="shared" si="7"/>
        <v>1</v>
      </c>
      <c r="G38" s="4">
        <f t="shared" si="8"/>
        <v>0.5</v>
      </c>
      <c r="H38" s="4">
        <f t="shared" si="9"/>
        <v>0.5</v>
      </c>
      <c r="I38" s="4">
        <f t="shared" si="10"/>
        <v>0.6666666667</v>
      </c>
      <c r="J38" s="4">
        <f t="shared" si="11"/>
        <v>0.5</v>
      </c>
      <c r="K38" s="4">
        <f t="shared" si="12"/>
        <v>0.5</v>
      </c>
    </row>
    <row r="39">
      <c r="A39" s="3" t="s">
        <v>23</v>
      </c>
      <c r="B39" s="3">
        <f t="shared" si="3"/>
        <v>0.5</v>
      </c>
      <c r="C39" s="3">
        <f t="shared" si="4"/>
        <v>0.3333333333</v>
      </c>
      <c r="D39" s="3">
        <f t="shared" si="5"/>
        <v>0.3333333333</v>
      </c>
      <c r="E39" s="3">
        <f t="shared" si="6"/>
        <v>1</v>
      </c>
      <c r="F39" s="3">
        <f t="shared" si="7"/>
        <v>1</v>
      </c>
      <c r="G39" s="3">
        <f t="shared" si="8"/>
        <v>1</v>
      </c>
      <c r="H39" s="3">
        <f t="shared" si="9"/>
        <v>0.5</v>
      </c>
      <c r="I39" s="3">
        <f t="shared" si="10"/>
        <v>0.6666666667</v>
      </c>
      <c r="J39" s="3">
        <f t="shared" si="11"/>
        <v>0</v>
      </c>
      <c r="K39" s="3">
        <f t="shared" si="12"/>
        <v>0.5</v>
      </c>
    </row>
    <row r="40">
      <c r="A40" s="4" t="s">
        <v>24</v>
      </c>
      <c r="B40" s="4">
        <f t="shared" si="3"/>
        <v>0.5</v>
      </c>
      <c r="C40" s="4">
        <f t="shared" si="4"/>
        <v>0.6666666667</v>
      </c>
      <c r="D40" s="4">
        <f t="shared" si="5"/>
        <v>0.3333333333</v>
      </c>
      <c r="E40" s="4">
        <f t="shared" si="6"/>
        <v>0.5</v>
      </c>
      <c r="F40" s="4">
        <f t="shared" si="7"/>
        <v>1</v>
      </c>
      <c r="G40" s="4">
        <f t="shared" si="8"/>
        <v>0.5</v>
      </c>
      <c r="H40" s="4">
        <f t="shared" si="9"/>
        <v>0.5</v>
      </c>
      <c r="I40" s="4">
        <f t="shared" si="10"/>
        <v>0.6666666667</v>
      </c>
      <c r="J40" s="4">
        <f t="shared" si="11"/>
        <v>0.5</v>
      </c>
      <c r="K40" s="4">
        <f t="shared" si="12"/>
        <v>1</v>
      </c>
    </row>
    <row r="41">
      <c r="A41" s="3" t="s">
        <v>25</v>
      </c>
      <c r="B41" s="3">
        <f t="shared" si="3"/>
        <v>1</v>
      </c>
      <c r="C41" s="3">
        <f t="shared" si="4"/>
        <v>0.6666666667</v>
      </c>
      <c r="D41" s="3">
        <f t="shared" si="5"/>
        <v>0.6666666667</v>
      </c>
      <c r="E41" s="3">
        <f t="shared" si="6"/>
        <v>1</v>
      </c>
      <c r="F41" s="3">
        <f t="shared" si="7"/>
        <v>0.5</v>
      </c>
      <c r="G41" s="3">
        <f t="shared" si="8"/>
        <v>0.5</v>
      </c>
      <c r="H41" s="3">
        <f t="shared" si="9"/>
        <v>0.5</v>
      </c>
      <c r="I41" s="3">
        <f t="shared" si="10"/>
        <v>1</v>
      </c>
      <c r="J41" s="3">
        <f t="shared" si="11"/>
        <v>1</v>
      </c>
      <c r="K41" s="3">
        <f t="shared" si="12"/>
        <v>0.5</v>
      </c>
    </row>
    <row r="42">
      <c r="A42" s="4" t="s">
        <v>26</v>
      </c>
      <c r="B42" s="4">
        <f t="shared" si="3"/>
        <v>1</v>
      </c>
      <c r="C42" s="4">
        <f t="shared" si="4"/>
        <v>0.6666666667</v>
      </c>
      <c r="D42" s="4">
        <f t="shared" si="5"/>
        <v>0.3333333333</v>
      </c>
      <c r="E42" s="4">
        <f t="shared" si="6"/>
        <v>1</v>
      </c>
      <c r="F42" s="4">
        <f t="shared" si="7"/>
        <v>1</v>
      </c>
      <c r="G42" s="4">
        <f t="shared" si="8"/>
        <v>1</v>
      </c>
      <c r="H42" s="4">
        <f t="shared" si="9"/>
        <v>0.5</v>
      </c>
      <c r="I42" s="4">
        <f t="shared" si="10"/>
        <v>1</v>
      </c>
      <c r="J42" s="4">
        <f t="shared" si="11"/>
        <v>0.5</v>
      </c>
      <c r="K42" s="4">
        <f t="shared" si="12"/>
        <v>0.5</v>
      </c>
    </row>
    <row r="43">
      <c r="A43" s="3" t="s">
        <v>27</v>
      </c>
      <c r="B43" s="3">
        <f t="shared" si="3"/>
        <v>1</v>
      </c>
      <c r="C43" s="3">
        <f t="shared" si="4"/>
        <v>0.3333333333</v>
      </c>
      <c r="D43" s="3">
        <f t="shared" si="5"/>
        <v>0.3333333333</v>
      </c>
      <c r="E43" s="3">
        <f t="shared" si="6"/>
        <v>0.5</v>
      </c>
      <c r="F43" s="3">
        <f t="shared" si="7"/>
        <v>1</v>
      </c>
      <c r="G43" s="3">
        <f t="shared" si="8"/>
        <v>1</v>
      </c>
      <c r="H43" s="3">
        <f t="shared" si="9"/>
        <v>0.5</v>
      </c>
      <c r="I43" s="3">
        <f t="shared" si="10"/>
        <v>0.3333333333</v>
      </c>
      <c r="J43" s="3">
        <f t="shared" si="11"/>
        <v>0.5</v>
      </c>
      <c r="K43" s="3">
        <f t="shared" si="12"/>
        <v>0</v>
      </c>
    </row>
    <row r="44">
      <c r="A44" s="4" t="s">
        <v>28</v>
      </c>
      <c r="B44" s="4">
        <f t="shared" si="3"/>
        <v>1</v>
      </c>
      <c r="C44" s="4">
        <f t="shared" si="4"/>
        <v>0.6666666667</v>
      </c>
      <c r="D44" s="4">
        <f t="shared" si="5"/>
        <v>0.3333333333</v>
      </c>
      <c r="E44" s="4">
        <f t="shared" si="6"/>
        <v>1</v>
      </c>
      <c r="F44" s="4">
        <f t="shared" si="7"/>
        <v>0.5</v>
      </c>
      <c r="G44" s="4">
        <f t="shared" si="8"/>
        <v>1</v>
      </c>
      <c r="H44" s="4">
        <f t="shared" si="9"/>
        <v>0.5</v>
      </c>
      <c r="I44" s="4">
        <f t="shared" si="10"/>
        <v>0.6666666667</v>
      </c>
      <c r="J44" s="4">
        <f t="shared" si="11"/>
        <v>1</v>
      </c>
      <c r="K44" s="4">
        <f t="shared" si="12"/>
        <v>1</v>
      </c>
    </row>
    <row r="45">
      <c r="A45" s="3" t="s">
        <v>29</v>
      </c>
      <c r="B45" s="3">
        <f t="shared" si="3"/>
        <v>1</v>
      </c>
      <c r="C45" s="3">
        <f t="shared" si="4"/>
        <v>1</v>
      </c>
      <c r="D45" s="3">
        <f t="shared" si="5"/>
        <v>0.6666666667</v>
      </c>
      <c r="E45" s="3">
        <f t="shared" si="6"/>
        <v>1</v>
      </c>
      <c r="F45" s="3">
        <f t="shared" si="7"/>
        <v>1</v>
      </c>
      <c r="G45" s="3">
        <f t="shared" si="8"/>
        <v>0.5</v>
      </c>
      <c r="H45" s="3">
        <f t="shared" si="9"/>
        <v>1</v>
      </c>
      <c r="I45" s="3">
        <f t="shared" si="10"/>
        <v>1</v>
      </c>
      <c r="J45" s="3">
        <f t="shared" si="11"/>
        <v>1</v>
      </c>
      <c r="K45" s="3">
        <f t="shared" si="12"/>
        <v>1</v>
      </c>
    </row>
    <row r="46">
      <c r="A46" s="4" t="s">
        <v>30</v>
      </c>
      <c r="B46" s="4">
        <f t="shared" si="3"/>
        <v>1</v>
      </c>
      <c r="C46" s="4">
        <f t="shared" si="4"/>
        <v>0.6666666667</v>
      </c>
      <c r="D46" s="4">
        <f t="shared" si="5"/>
        <v>1</v>
      </c>
      <c r="E46" s="4">
        <f t="shared" si="6"/>
        <v>1</v>
      </c>
      <c r="F46" s="4">
        <f t="shared" si="7"/>
        <v>1</v>
      </c>
      <c r="G46" s="4">
        <f t="shared" si="8"/>
        <v>1</v>
      </c>
      <c r="H46" s="4">
        <f t="shared" si="9"/>
        <v>1</v>
      </c>
      <c r="I46" s="4">
        <f t="shared" si="10"/>
        <v>0.6666666667</v>
      </c>
      <c r="J46" s="4">
        <f t="shared" si="11"/>
        <v>1</v>
      </c>
      <c r="K46" s="4">
        <f t="shared" si="12"/>
        <v>1</v>
      </c>
    </row>
    <row r="48">
      <c r="A48" s="94" t="s">
        <v>202</v>
      </c>
    </row>
    <row r="49">
      <c r="A49" s="1" t="s">
        <v>0</v>
      </c>
      <c r="B49" s="1" t="s">
        <v>203</v>
      </c>
      <c r="C49" s="1" t="s">
        <v>204</v>
      </c>
      <c r="D49" s="1" t="s">
        <v>205</v>
      </c>
      <c r="E49" s="1" t="s">
        <v>206</v>
      </c>
      <c r="F49" s="1" t="s">
        <v>207</v>
      </c>
      <c r="G49" s="1" t="s">
        <v>208</v>
      </c>
      <c r="H49" s="1" t="s">
        <v>209</v>
      </c>
      <c r="I49" s="1" t="s">
        <v>210</v>
      </c>
      <c r="J49" s="1" t="s">
        <v>211</v>
      </c>
      <c r="K49" s="1" t="s">
        <v>212</v>
      </c>
    </row>
    <row r="50">
      <c r="A50" s="4" t="s">
        <v>11</v>
      </c>
      <c r="B50" s="4">
        <f t="shared" ref="B50:B69" si="13">SUMPRODUCT(B27:K27 , TRANSPOSE($N$2:$N$11))</f>
        <v>0.085</v>
      </c>
      <c r="C50" s="95">
        <f t="shared" ref="C50:C69" si="14">MAX(B27*$N$2,C27*$N$3,D27*$N$4,E27*$N$5,F27*$N$6,G27*$N$7,H27*$N$8,I27*$N$9,J27*$N$10,K27*$N$11)</f>
        <v>0.0425</v>
      </c>
      <c r="D50" s="95">
        <f t="shared" ref="D50:D69" si="15">(((B50-$F$50)/($G$50-$F$50))*$J$50) + (((C50-$H$50)/($I$50-$H$50))*(1-$J$50))</f>
        <v>0.2137367156</v>
      </c>
      <c r="E50" s="95">
        <f t="shared" ref="E50:E69" si="16">(B27*$N$2)+($N$3*C27)+(D27*$N$4)+($N$5*E27)+(F27*$N$6)+($N$7*G27)+(H27*$N$8)+($N$9*I27)+(J27*$N$10)+($N$11*K27)</f>
        <v>0.085</v>
      </c>
      <c r="F50" s="24">
        <f>MIN(B50:B69)</f>
        <v>0</v>
      </c>
      <c r="G50" s="24">
        <f>max(B50:B69)</f>
        <v>0.9244444444</v>
      </c>
      <c r="H50" s="24">
        <f>MIN(C50:C69)</f>
        <v>0</v>
      </c>
      <c r="I50" s="24">
        <f>MAX(C50:C69)</f>
        <v>0.1266666667</v>
      </c>
      <c r="J50" s="8">
        <v>0.5</v>
      </c>
      <c r="K50" s="9" t="str">
        <f t="array" ref="K50:K69">SORT(A50:A69,D50:D69,1)</f>
        <v>SARITUA MARPAUNG</v>
      </c>
    </row>
    <row r="51">
      <c r="A51" s="3" t="s">
        <v>12</v>
      </c>
      <c r="B51" s="3">
        <f t="shared" si="13"/>
        <v>0.2061111111</v>
      </c>
      <c r="C51" s="42">
        <f t="shared" si="14"/>
        <v>0.0475</v>
      </c>
      <c r="D51" s="42">
        <f t="shared" si="15"/>
        <v>0.2989783654</v>
      </c>
      <c r="E51" s="42">
        <f t="shared" si="16"/>
        <v>0.2061111111</v>
      </c>
      <c r="K51" s="9" t="s">
        <v>11</v>
      </c>
    </row>
    <row r="52">
      <c r="A52" s="4" t="s">
        <v>13</v>
      </c>
      <c r="B52" s="4">
        <f t="shared" si="13"/>
        <v>0.2394444444</v>
      </c>
      <c r="C52" s="95">
        <f t="shared" si="14"/>
        <v>0.0475</v>
      </c>
      <c r="D52" s="95">
        <f t="shared" si="15"/>
        <v>0.3170072115</v>
      </c>
      <c r="E52" s="95">
        <f t="shared" si="16"/>
        <v>0.2394444444</v>
      </c>
      <c r="K52" s="9" t="s">
        <v>15</v>
      </c>
    </row>
    <row r="53">
      <c r="A53" s="3" t="s">
        <v>14</v>
      </c>
      <c r="B53" s="3">
        <f t="shared" si="13"/>
        <v>0</v>
      </c>
      <c r="C53" s="42">
        <f t="shared" si="14"/>
        <v>0</v>
      </c>
      <c r="D53" s="42">
        <f t="shared" si="15"/>
        <v>0</v>
      </c>
      <c r="E53" s="42">
        <f t="shared" si="16"/>
        <v>0</v>
      </c>
      <c r="K53" s="9" t="s">
        <v>12</v>
      </c>
    </row>
    <row r="54">
      <c r="A54" s="4" t="s">
        <v>15</v>
      </c>
      <c r="B54" s="4">
        <f t="shared" si="13"/>
        <v>0.1919444444</v>
      </c>
      <c r="C54" s="95">
        <f t="shared" si="14"/>
        <v>0.0425</v>
      </c>
      <c r="D54" s="95">
        <f t="shared" si="15"/>
        <v>0.2715792637</v>
      </c>
      <c r="E54" s="95">
        <f t="shared" si="16"/>
        <v>0.1919444444</v>
      </c>
      <c r="K54" s="9" t="s">
        <v>13</v>
      </c>
    </row>
    <row r="55">
      <c r="A55" s="3" t="s">
        <v>16</v>
      </c>
      <c r="B55" s="3">
        <f t="shared" si="13"/>
        <v>0.4225</v>
      </c>
      <c r="C55" s="42">
        <f t="shared" si="14"/>
        <v>0.06666666667</v>
      </c>
      <c r="D55" s="42">
        <f t="shared" si="15"/>
        <v>0.4916735197</v>
      </c>
      <c r="E55" s="42">
        <f t="shared" si="16"/>
        <v>0.4225</v>
      </c>
      <c r="K55" s="9" t="s">
        <v>19</v>
      </c>
    </row>
    <row r="56">
      <c r="A56" s="4" t="s">
        <v>17</v>
      </c>
      <c r="B56" s="4">
        <f t="shared" si="13"/>
        <v>0.2991666667</v>
      </c>
      <c r="C56" s="95">
        <f t="shared" si="14"/>
        <v>0.06</v>
      </c>
      <c r="D56" s="95">
        <f t="shared" si="15"/>
        <v>0.3986509995</v>
      </c>
      <c r="E56" s="95">
        <f t="shared" si="16"/>
        <v>0.2991666667</v>
      </c>
      <c r="K56" s="9" t="s">
        <v>17</v>
      </c>
    </row>
    <row r="57">
      <c r="A57" s="3" t="s">
        <v>18</v>
      </c>
      <c r="B57" s="3">
        <f t="shared" si="13"/>
        <v>0.5075</v>
      </c>
      <c r="C57" s="42">
        <f t="shared" si="14"/>
        <v>0.06666666667</v>
      </c>
      <c r="D57" s="42">
        <f t="shared" si="15"/>
        <v>0.5376470774</v>
      </c>
      <c r="E57" s="42">
        <f t="shared" si="16"/>
        <v>0.5075</v>
      </c>
      <c r="K57" s="9" t="s">
        <v>20</v>
      </c>
    </row>
    <row r="58">
      <c r="A58" s="4" t="s">
        <v>19</v>
      </c>
      <c r="B58" s="4">
        <f t="shared" si="13"/>
        <v>0.2258333333</v>
      </c>
      <c r="C58" s="95">
        <f t="shared" si="14"/>
        <v>0.0575</v>
      </c>
      <c r="D58" s="95">
        <f t="shared" si="15"/>
        <v>0.3491191169</v>
      </c>
      <c r="E58" s="95">
        <f t="shared" si="16"/>
        <v>0.2258333333</v>
      </c>
      <c r="K58" s="9" t="s">
        <v>16</v>
      </c>
    </row>
    <row r="59">
      <c r="A59" s="3" t="s">
        <v>20</v>
      </c>
      <c r="B59" s="3">
        <f t="shared" si="13"/>
        <v>0.3894444444</v>
      </c>
      <c r="C59" s="42">
        <f t="shared" si="14"/>
        <v>0.065</v>
      </c>
      <c r="D59" s="42">
        <f t="shared" si="15"/>
        <v>0.4672159666</v>
      </c>
      <c r="E59" s="42">
        <f t="shared" si="16"/>
        <v>0.3894444444</v>
      </c>
      <c r="K59" s="9" t="s">
        <v>18</v>
      </c>
    </row>
    <row r="60">
      <c r="A60" s="4" t="s">
        <v>21</v>
      </c>
      <c r="B60" s="4">
        <f t="shared" si="13"/>
        <v>0.5586111111</v>
      </c>
      <c r="C60" s="95">
        <f t="shared" si="14"/>
        <v>0.085</v>
      </c>
      <c r="D60" s="95">
        <f t="shared" si="15"/>
        <v>0.6376597293</v>
      </c>
      <c r="E60" s="95">
        <f t="shared" si="16"/>
        <v>0.5586111111</v>
      </c>
      <c r="K60" s="9" t="s">
        <v>22</v>
      </c>
    </row>
    <row r="61">
      <c r="A61" s="3" t="s">
        <v>22</v>
      </c>
      <c r="B61" s="3">
        <f t="shared" si="13"/>
        <v>0.5497222222</v>
      </c>
      <c r="C61" s="42">
        <f t="shared" si="14"/>
        <v>0.08444444444</v>
      </c>
      <c r="D61" s="42">
        <f t="shared" si="15"/>
        <v>0.6306590545</v>
      </c>
      <c r="E61" s="42">
        <f t="shared" si="16"/>
        <v>0.5497222222</v>
      </c>
      <c r="K61" s="9" t="s">
        <v>21</v>
      </c>
    </row>
    <row r="62">
      <c r="A62" s="4" t="s">
        <v>23</v>
      </c>
      <c r="B62" s="4">
        <f t="shared" si="13"/>
        <v>0.54</v>
      </c>
      <c r="C62" s="95">
        <f t="shared" si="14"/>
        <v>0.095</v>
      </c>
      <c r="D62" s="95">
        <f t="shared" si="15"/>
        <v>0.6670673077</v>
      </c>
      <c r="E62" s="95">
        <f t="shared" si="16"/>
        <v>0.54</v>
      </c>
      <c r="K62" s="9" t="s">
        <v>24</v>
      </c>
    </row>
    <row r="63">
      <c r="A63" s="3" t="s">
        <v>24</v>
      </c>
      <c r="B63" s="3">
        <f t="shared" si="13"/>
        <v>0.5922222222</v>
      </c>
      <c r="C63" s="42">
        <f t="shared" si="14"/>
        <v>0.085</v>
      </c>
      <c r="D63" s="42">
        <f t="shared" si="15"/>
        <v>0.6558388158</v>
      </c>
      <c r="E63" s="42">
        <f t="shared" si="16"/>
        <v>0.5922222222</v>
      </c>
      <c r="K63" s="9" t="s">
        <v>27</v>
      </c>
    </row>
    <row r="64">
      <c r="A64" s="4" t="s">
        <v>25</v>
      </c>
      <c r="B64" s="4">
        <f t="shared" si="13"/>
        <v>0.7341666667</v>
      </c>
      <c r="C64" s="95">
        <f t="shared" si="14"/>
        <v>0.115</v>
      </c>
      <c r="D64" s="95">
        <f t="shared" si="15"/>
        <v>0.851032705</v>
      </c>
      <c r="E64" s="95">
        <f t="shared" si="16"/>
        <v>0.7341666667</v>
      </c>
      <c r="K64" s="9" t="s">
        <v>23</v>
      </c>
    </row>
    <row r="65">
      <c r="A65" s="3" t="s">
        <v>26</v>
      </c>
      <c r="B65" s="3">
        <f t="shared" si="13"/>
        <v>0.7155555556</v>
      </c>
      <c r="C65" s="42">
        <f t="shared" si="14"/>
        <v>0.1</v>
      </c>
      <c r="D65" s="42">
        <f t="shared" si="15"/>
        <v>0.7817560729</v>
      </c>
      <c r="E65" s="42">
        <f t="shared" si="16"/>
        <v>0.7155555556</v>
      </c>
      <c r="K65" s="9" t="s">
        <v>26</v>
      </c>
    </row>
    <row r="66">
      <c r="A66" s="4" t="s">
        <v>27</v>
      </c>
      <c r="B66" s="4">
        <f t="shared" si="13"/>
        <v>0.5216666667</v>
      </c>
      <c r="C66" s="95">
        <f t="shared" si="14"/>
        <v>0.095</v>
      </c>
      <c r="D66" s="95">
        <f t="shared" si="15"/>
        <v>0.6571514423</v>
      </c>
      <c r="E66" s="95">
        <f t="shared" si="16"/>
        <v>0.5216666667</v>
      </c>
      <c r="K66" s="9" t="s">
        <v>25</v>
      </c>
    </row>
    <row r="67">
      <c r="A67" s="3" t="s">
        <v>28</v>
      </c>
      <c r="B67" s="3">
        <f t="shared" si="13"/>
        <v>0.7497222222</v>
      </c>
      <c r="C67" s="42">
        <f t="shared" si="14"/>
        <v>0.115</v>
      </c>
      <c r="D67" s="42">
        <f t="shared" si="15"/>
        <v>0.8594461665</v>
      </c>
      <c r="E67" s="42">
        <f t="shared" si="16"/>
        <v>0.7497222222</v>
      </c>
      <c r="K67" s="9" t="s">
        <v>28</v>
      </c>
    </row>
    <row r="68">
      <c r="A68" s="4" t="s">
        <v>29</v>
      </c>
      <c r="B68" s="4">
        <f t="shared" si="13"/>
        <v>0.9113888889</v>
      </c>
      <c r="C68" s="95">
        <f t="shared" si="14"/>
        <v>0.1266666667</v>
      </c>
      <c r="D68" s="95">
        <f t="shared" si="15"/>
        <v>0.9929387019</v>
      </c>
      <c r="E68" s="95">
        <f t="shared" si="16"/>
        <v>0.9113888889</v>
      </c>
      <c r="K68" s="9" t="s">
        <v>30</v>
      </c>
    </row>
    <row r="69">
      <c r="A69" s="3" t="s">
        <v>30</v>
      </c>
      <c r="B69" s="3">
        <f t="shared" si="13"/>
        <v>0.9244444444</v>
      </c>
      <c r="C69" s="42">
        <f t="shared" si="14"/>
        <v>0.1233333333</v>
      </c>
      <c r="D69" s="42">
        <f t="shared" si="15"/>
        <v>0.9868421053</v>
      </c>
      <c r="E69" s="42">
        <f t="shared" si="16"/>
        <v>0.9244444444</v>
      </c>
      <c r="K69" s="9" t="s">
        <v>29</v>
      </c>
    </row>
    <row r="71">
      <c r="A71" s="1" t="s">
        <v>0</v>
      </c>
      <c r="B71" s="1" t="s">
        <v>213</v>
      </c>
    </row>
    <row r="72">
      <c r="A72" s="4" t="s">
        <v>11</v>
      </c>
      <c r="B72" s="40">
        <f t="shared" ref="B72:B91" si="17">RANK(D50,$D$50:$D$69,1)</f>
        <v>2</v>
      </c>
    </row>
    <row r="73">
      <c r="A73" s="3" t="s">
        <v>12</v>
      </c>
      <c r="B73" s="40">
        <f t="shared" si="17"/>
        <v>4</v>
      </c>
    </row>
    <row r="74">
      <c r="A74" s="4" t="s">
        <v>13</v>
      </c>
      <c r="B74" s="40">
        <f t="shared" si="17"/>
        <v>5</v>
      </c>
    </row>
    <row r="75">
      <c r="A75" s="3" t="s">
        <v>14</v>
      </c>
      <c r="B75" s="40">
        <f t="shared" si="17"/>
        <v>1</v>
      </c>
    </row>
    <row r="76">
      <c r="A76" s="4" t="s">
        <v>15</v>
      </c>
      <c r="B76" s="40">
        <f t="shared" si="17"/>
        <v>3</v>
      </c>
    </row>
    <row r="77">
      <c r="A77" s="3" t="s">
        <v>16</v>
      </c>
      <c r="B77" s="40">
        <f t="shared" si="17"/>
        <v>9</v>
      </c>
    </row>
    <row r="78">
      <c r="A78" s="4" t="s">
        <v>17</v>
      </c>
      <c r="B78" s="40">
        <f t="shared" si="17"/>
        <v>7</v>
      </c>
    </row>
    <row r="79">
      <c r="A79" s="3" t="s">
        <v>18</v>
      </c>
      <c r="B79" s="40">
        <f t="shared" si="17"/>
        <v>10</v>
      </c>
    </row>
    <row r="80">
      <c r="A80" s="4" t="s">
        <v>19</v>
      </c>
      <c r="B80" s="40">
        <f t="shared" si="17"/>
        <v>6</v>
      </c>
    </row>
    <row r="81">
      <c r="A81" s="3" t="s">
        <v>20</v>
      </c>
      <c r="B81" s="40">
        <f t="shared" si="17"/>
        <v>8</v>
      </c>
    </row>
    <row r="82">
      <c r="A82" s="4" t="s">
        <v>21</v>
      </c>
      <c r="B82" s="40">
        <f t="shared" si="17"/>
        <v>12</v>
      </c>
    </row>
    <row r="83">
      <c r="A83" s="3" t="s">
        <v>22</v>
      </c>
      <c r="B83" s="40">
        <f t="shared" si="17"/>
        <v>11</v>
      </c>
    </row>
    <row r="84">
      <c r="A84" s="4" t="s">
        <v>23</v>
      </c>
      <c r="B84" s="40">
        <f t="shared" si="17"/>
        <v>15</v>
      </c>
    </row>
    <row r="85">
      <c r="A85" s="3" t="s">
        <v>24</v>
      </c>
      <c r="B85" s="40">
        <f t="shared" si="17"/>
        <v>13</v>
      </c>
    </row>
    <row r="86">
      <c r="A86" s="4" t="s">
        <v>25</v>
      </c>
      <c r="B86" s="40">
        <f t="shared" si="17"/>
        <v>17</v>
      </c>
    </row>
    <row r="87">
      <c r="A87" s="3" t="s">
        <v>26</v>
      </c>
      <c r="B87" s="40">
        <f t="shared" si="17"/>
        <v>16</v>
      </c>
    </row>
    <row r="88">
      <c r="A88" s="4" t="s">
        <v>27</v>
      </c>
      <c r="B88" s="40">
        <f t="shared" si="17"/>
        <v>14</v>
      </c>
    </row>
    <row r="89">
      <c r="A89" s="3" t="s">
        <v>28</v>
      </c>
      <c r="B89" s="40">
        <f t="shared" si="17"/>
        <v>18</v>
      </c>
    </row>
    <row r="90">
      <c r="A90" s="4" t="s">
        <v>29</v>
      </c>
      <c r="B90" s="40">
        <f t="shared" si="17"/>
        <v>20</v>
      </c>
    </row>
    <row r="91">
      <c r="A91" s="3" t="s">
        <v>30</v>
      </c>
      <c r="B91" s="40">
        <f t="shared" si="17"/>
        <v>19</v>
      </c>
    </row>
    <row r="93">
      <c r="A93" s="3" t="s">
        <v>214</v>
      </c>
    </row>
    <row r="94">
      <c r="A94" s="3" t="s">
        <v>215</v>
      </c>
    </row>
    <row r="95">
      <c r="A95" s="3" t="s">
        <v>216</v>
      </c>
    </row>
    <row r="96">
      <c r="A96" s="3" t="s">
        <v>217</v>
      </c>
    </row>
    <row r="97">
      <c r="A97" s="3" t="s">
        <v>218</v>
      </c>
    </row>
    <row r="98">
      <c r="A98" s="3" t="s">
        <v>219</v>
      </c>
    </row>
    <row r="99">
      <c r="A99" s="3" t="s">
        <v>220</v>
      </c>
    </row>
    <row r="100">
      <c r="A100" s="3" t="s">
        <v>221</v>
      </c>
    </row>
    <row r="101">
      <c r="A101" s="3" t="s">
        <v>222</v>
      </c>
    </row>
    <row r="102">
      <c r="A102" s="3" t="s">
        <v>223</v>
      </c>
    </row>
    <row r="103">
      <c r="A103" s="3" t="s">
        <v>224</v>
      </c>
    </row>
    <row r="104">
      <c r="A104" s="3" t="s">
        <v>225</v>
      </c>
    </row>
    <row r="105">
      <c r="A105" s="3" t="s">
        <v>226</v>
      </c>
    </row>
    <row r="107">
      <c r="A107" s="52" t="s">
        <v>227</v>
      </c>
      <c r="B107" s="93"/>
    </row>
    <row r="108">
      <c r="A108" s="94" t="s">
        <v>202</v>
      </c>
    </row>
    <row r="109">
      <c r="A109" s="1" t="s">
        <v>0</v>
      </c>
      <c r="B109" s="1" t="s">
        <v>203</v>
      </c>
      <c r="C109" s="1" t="s">
        <v>204</v>
      </c>
      <c r="D109" s="1" t="s">
        <v>205</v>
      </c>
      <c r="E109" s="1" t="s">
        <v>207</v>
      </c>
      <c r="F109" s="1" t="s">
        <v>208</v>
      </c>
      <c r="G109" s="1" t="s">
        <v>209</v>
      </c>
      <c r="H109" s="1" t="s">
        <v>210</v>
      </c>
      <c r="I109" s="1" t="s">
        <v>211</v>
      </c>
      <c r="J109" s="1" t="s">
        <v>212</v>
      </c>
      <c r="L109" s="1" t="s">
        <v>228</v>
      </c>
    </row>
    <row r="110">
      <c r="A110" s="4" t="s">
        <v>11</v>
      </c>
      <c r="B110" s="95">
        <f t="shared" ref="B110:B129" si="18">(B27*$M$110)+($M$111*C27)+(D27*$M$112)+($M$113*E27)+(F27*$M$114)+($M$115*G27)+(H27*$M$116)+($M$117*I27)+(J27*$M$118)+($M$119*K27)</f>
        <v>0.115</v>
      </c>
      <c r="C110" s="95">
        <f t="shared" ref="C110:C129" si="19">MAX(B27*$M$110,$M$111*C27,D27*$M$112,$M$113*E27,F27*$M$114,$M$115*G27,H27*$M$116,$M$117*I27,J27*$M$118,$M$119*K27)</f>
        <v>0.065</v>
      </c>
      <c r="D110" s="95">
        <f t="shared" ref="D110:D129" si="20">(((B110-$E$110)/($F$110-$E$110))*$I$110) + (((C110-$G$110)/($H$110-$G$110))*(1-$I$110))</f>
        <v>0.2647321429</v>
      </c>
      <c r="E110" s="9">
        <f>MIN(B110:B129)</f>
        <v>0</v>
      </c>
      <c r="F110" s="9">
        <f>MAX(B110:B129)</f>
        <v>0.9333333333</v>
      </c>
      <c r="G110" s="9">
        <f>MIN(C110:C129)</f>
        <v>0</v>
      </c>
      <c r="H110" s="9">
        <f>MAX(C110:C129)</f>
        <v>0.16</v>
      </c>
      <c r="I110" s="19">
        <v>0.5</v>
      </c>
      <c r="J110" s="93" t="str">
        <f t="array" ref="J110:J129">SORT(A110:A129,D110:D129,1)</f>
        <v>SARITUA MARPAUNG</v>
      </c>
      <c r="L110" s="8" t="s">
        <v>1</v>
      </c>
      <c r="M110" s="22">
        <v>0.16</v>
      </c>
    </row>
    <row r="111">
      <c r="A111" s="3" t="s">
        <v>12</v>
      </c>
      <c r="B111" s="42">
        <f t="shared" si="18"/>
        <v>0.2366666667</v>
      </c>
      <c r="C111" s="42">
        <f t="shared" si="19"/>
        <v>0.065</v>
      </c>
      <c r="D111" s="42">
        <f t="shared" si="20"/>
        <v>0.3299107143</v>
      </c>
      <c r="J111" s="93" t="s">
        <v>11</v>
      </c>
      <c r="L111" s="8" t="s">
        <v>2</v>
      </c>
      <c r="M111" s="22">
        <v>0.14</v>
      </c>
    </row>
    <row r="112">
      <c r="A112" s="4" t="s">
        <v>13</v>
      </c>
      <c r="B112" s="95">
        <f t="shared" si="18"/>
        <v>0.2716666667</v>
      </c>
      <c r="C112" s="95">
        <f t="shared" si="19"/>
        <v>0.08</v>
      </c>
      <c r="D112" s="95">
        <f t="shared" si="20"/>
        <v>0.3955357143</v>
      </c>
      <c r="J112" s="93" t="s">
        <v>12</v>
      </c>
      <c r="L112" s="8" t="s">
        <v>3</v>
      </c>
      <c r="M112" s="22">
        <v>0.08</v>
      </c>
    </row>
    <row r="113">
      <c r="A113" s="3" t="s">
        <v>14</v>
      </c>
      <c r="B113" s="42">
        <f t="shared" si="18"/>
        <v>0</v>
      </c>
      <c r="C113" s="42">
        <f t="shared" si="19"/>
        <v>0</v>
      </c>
      <c r="D113" s="42">
        <f t="shared" si="20"/>
        <v>0</v>
      </c>
      <c r="J113" s="93" t="s">
        <v>15</v>
      </c>
      <c r="L113" s="8" t="s">
        <v>4</v>
      </c>
      <c r="M113" s="22">
        <v>0.13</v>
      </c>
    </row>
    <row r="114">
      <c r="A114" s="4" t="s">
        <v>15</v>
      </c>
      <c r="B114" s="95">
        <f t="shared" si="18"/>
        <v>0.2266666667</v>
      </c>
      <c r="C114" s="95">
        <f t="shared" si="19"/>
        <v>0.08</v>
      </c>
      <c r="D114" s="95">
        <f t="shared" si="20"/>
        <v>0.3714285714</v>
      </c>
      <c r="J114" s="93" t="s">
        <v>19</v>
      </c>
      <c r="L114" s="8" t="s">
        <v>5</v>
      </c>
      <c r="M114" s="22">
        <v>0.07</v>
      </c>
    </row>
    <row r="115">
      <c r="A115" s="3" t="s">
        <v>16</v>
      </c>
      <c r="B115" s="42">
        <f t="shared" si="18"/>
        <v>0.3933333333</v>
      </c>
      <c r="C115" s="42">
        <f t="shared" si="19"/>
        <v>0.08</v>
      </c>
      <c r="D115" s="42">
        <f t="shared" si="20"/>
        <v>0.4607142857</v>
      </c>
      <c r="J115" s="93" t="s">
        <v>13</v>
      </c>
      <c r="L115" s="8" t="s">
        <v>6</v>
      </c>
      <c r="M115" s="22">
        <v>0.12</v>
      </c>
    </row>
    <row r="116">
      <c r="A116" s="4" t="s">
        <v>17</v>
      </c>
      <c r="B116" s="95">
        <f t="shared" si="18"/>
        <v>0.3133333333</v>
      </c>
      <c r="C116" s="95">
        <f t="shared" si="19"/>
        <v>0.08</v>
      </c>
      <c r="D116" s="95">
        <f t="shared" si="20"/>
        <v>0.4178571429</v>
      </c>
      <c r="J116" s="93" t="s">
        <v>17</v>
      </c>
      <c r="L116" s="8" t="s">
        <v>7</v>
      </c>
      <c r="M116" s="22">
        <v>0.09</v>
      </c>
    </row>
    <row r="117">
      <c r="A117" s="3" t="s">
        <v>18</v>
      </c>
      <c r="B117" s="42">
        <f t="shared" si="18"/>
        <v>0.5083333333</v>
      </c>
      <c r="C117" s="42">
        <f t="shared" si="19"/>
        <v>0.08</v>
      </c>
      <c r="D117" s="42">
        <f t="shared" si="20"/>
        <v>0.5223214286</v>
      </c>
      <c r="J117" s="93" t="s">
        <v>20</v>
      </c>
      <c r="L117" s="8" t="s">
        <v>8</v>
      </c>
      <c r="M117" s="22">
        <v>0.06</v>
      </c>
    </row>
    <row r="118">
      <c r="A118" s="4" t="s">
        <v>19</v>
      </c>
      <c r="B118" s="95">
        <f t="shared" si="18"/>
        <v>0.2433333333</v>
      </c>
      <c r="C118" s="95">
        <f t="shared" si="19"/>
        <v>0.08</v>
      </c>
      <c r="D118" s="95">
        <f t="shared" si="20"/>
        <v>0.3803571429</v>
      </c>
      <c r="J118" s="93" t="s">
        <v>16</v>
      </c>
      <c r="L118" s="8" t="s">
        <v>9</v>
      </c>
      <c r="M118" s="22">
        <v>0.05</v>
      </c>
    </row>
    <row r="119">
      <c r="A119" s="3" t="s">
        <v>20</v>
      </c>
      <c r="B119" s="42">
        <f t="shared" si="18"/>
        <v>0.3916666667</v>
      </c>
      <c r="C119" s="42">
        <f t="shared" si="19"/>
        <v>0.08</v>
      </c>
      <c r="D119" s="42">
        <f t="shared" si="20"/>
        <v>0.4598214286</v>
      </c>
      <c r="J119" s="93" t="s">
        <v>18</v>
      </c>
      <c r="L119" s="8" t="s">
        <v>10</v>
      </c>
      <c r="M119" s="22">
        <v>0.1</v>
      </c>
    </row>
    <row r="120">
      <c r="A120" s="4" t="s">
        <v>21</v>
      </c>
      <c r="B120" s="95">
        <f t="shared" si="18"/>
        <v>0.565</v>
      </c>
      <c r="C120" s="95">
        <f t="shared" si="19"/>
        <v>0.13</v>
      </c>
      <c r="D120" s="95">
        <f t="shared" si="20"/>
        <v>0.7089285714</v>
      </c>
      <c r="J120" s="93" t="s">
        <v>22</v>
      </c>
      <c r="L120" s="91" t="s">
        <v>201</v>
      </c>
      <c r="M120" s="24">
        <f>SUM(M110:M119)</f>
        <v>1</v>
      </c>
    </row>
    <row r="121">
      <c r="A121" s="3" t="s">
        <v>22</v>
      </c>
      <c r="B121" s="42">
        <f t="shared" si="18"/>
        <v>0.555</v>
      </c>
      <c r="C121" s="42">
        <f t="shared" si="19"/>
        <v>0.09333333333</v>
      </c>
      <c r="D121" s="42">
        <f t="shared" si="20"/>
        <v>0.5889880952</v>
      </c>
      <c r="J121" s="93" t="s">
        <v>24</v>
      </c>
    </row>
    <row r="122">
      <c r="A122" s="4" t="s">
        <v>23</v>
      </c>
      <c r="B122" s="95">
        <f t="shared" si="18"/>
        <v>0.6083333333</v>
      </c>
      <c r="C122" s="95">
        <f t="shared" si="19"/>
        <v>0.13</v>
      </c>
      <c r="D122" s="95">
        <f t="shared" si="20"/>
        <v>0.7321428571</v>
      </c>
      <c r="J122" s="93" t="s">
        <v>21</v>
      </c>
    </row>
    <row r="123">
      <c r="A123" s="3" t="s">
        <v>24</v>
      </c>
      <c r="B123" s="42">
        <f t="shared" si="18"/>
        <v>0.605</v>
      </c>
      <c r="C123" s="42">
        <f t="shared" si="19"/>
        <v>0.1</v>
      </c>
      <c r="D123" s="42">
        <f t="shared" si="20"/>
        <v>0.6366071429</v>
      </c>
      <c r="J123" s="93" t="s">
        <v>23</v>
      </c>
    </row>
    <row r="124">
      <c r="A124" s="4" t="s">
        <v>25</v>
      </c>
      <c r="B124" s="95">
        <f t="shared" si="18"/>
        <v>0.7366666667</v>
      </c>
      <c r="C124" s="95">
        <f t="shared" si="19"/>
        <v>0.16</v>
      </c>
      <c r="D124" s="95">
        <f t="shared" si="20"/>
        <v>0.8946428571</v>
      </c>
      <c r="J124" s="93" t="s">
        <v>27</v>
      </c>
    </row>
    <row r="125">
      <c r="A125" s="3" t="s">
        <v>26</v>
      </c>
      <c r="B125" s="42">
        <f t="shared" si="18"/>
        <v>0.78</v>
      </c>
      <c r="C125" s="42">
        <f t="shared" si="19"/>
        <v>0.16</v>
      </c>
      <c r="D125" s="42">
        <f t="shared" si="20"/>
        <v>0.9178571429</v>
      </c>
      <c r="J125" s="93" t="s">
        <v>25</v>
      </c>
    </row>
    <row r="126">
      <c r="A126" s="4" t="s">
        <v>27</v>
      </c>
      <c r="B126" s="95">
        <f t="shared" si="18"/>
        <v>0.5783333333</v>
      </c>
      <c r="C126" s="95">
        <f t="shared" si="19"/>
        <v>0.16</v>
      </c>
      <c r="D126" s="95">
        <f t="shared" si="20"/>
        <v>0.8098214286</v>
      </c>
      <c r="J126" s="93" t="s">
        <v>26</v>
      </c>
    </row>
    <row r="127">
      <c r="A127" s="3" t="s">
        <v>28</v>
      </c>
      <c r="B127" s="42">
        <f t="shared" si="18"/>
        <v>0.8</v>
      </c>
      <c r="C127" s="42">
        <f t="shared" si="19"/>
        <v>0.16</v>
      </c>
      <c r="D127" s="42">
        <f t="shared" si="20"/>
        <v>0.9285714286</v>
      </c>
      <c r="J127" s="93" t="s">
        <v>28</v>
      </c>
    </row>
    <row r="128">
      <c r="A128" s="4" t="s">
        <v>29</v>
      </c>
      <c r="B128" s="95">
        <f t="shared" si="18"/>
        <v>0.9133333333</v>
      </c>
      <c r="C128" s="95">
        <f t="shared" si="19"/>
        <v>0.16</v>
      </c>
      <c r="D128" s="95">
        <f t="shared" si="20"/>
        <v>0.9892857143</v>
      </c>
      <c r="J128" s="93" t="s">
        <v>29</v>
      </c>
    </row>
    <row r="129">
      <c r="A129" s="3" t="s">
        <v>30</v>
      </c>
      <c r="B129" s="42">
        <f t="shared" si="18"/>
        <v>0.9333333333</v>
      </c>
      <c r="C129" s="42">
        <f t="shared" si="19"/>
        <v>0.16</v>
      </c>
      <c r="D129" s="42">
        <f t="shared" si="20"/>
        <v>1</v>
      </c>
      <c r="J129" s="93" t="s">
        <v>30</v>
      </c>
    </row>
    <row r="131">
      <c r="A131" s="1" t="s">
        <v>0</v>
      </c>
      <c r="B131" s="1" t="s">
        <v>213</v>
      </c>
    </row>
    <row r="132">
      <c r="A132" s="4" t="s">
        <v>11</v>
      </c>
      <c r="B132" s="40">
        <f t="shared" ref="B132:B151" si="21">RANK(D110,$D$110:$D$129,1)</f>
        <v>2</v>
      </c>
    </row>
    <row r="133">
      <c r="A133" s="3" t="s">
        <v>12</v>
      </c>
      <c r="B133" s="40">
        <f t="shared" si="21"/>
        <v>3</v>
      </c>
    </row>
    <row r="134">
      <c r="A134" s="4" t="s">
        <v>13</v>
      </c>
      <c r="B134" s="40">
        <f t="shared" si="21"/>
        <v>6</v>
      </c>
    </row>
    <row r="135">
      <c r="A135" s="3" t="s">
        <v>14</v>
      </c>
      <c r="B135" s="40">
        <f t="shared" si="21"/>
        <v>1</v>
      </c>
    </row>
    <row r="136">
      <c r="A136" s="4" t="s">
        <v>15</v>
      </c>
      <c r="B136" s="40">
        <f t="shared" si="21"/>
        <v>4</v>
      </c>
    </row>
    <row r="137">
      <c r="A137" s="3" t="s">
        <v>16</v>
      </c>
      <c r="B137" s="40">
        <f t="shared" si="21"/>
        <v>9</v>
      </c>
    </row>
    <row r="138">
      <c r="A138" s="4" t="s">
        <v>17</v>
      </c>
      <c r="B138" s="40">
        <f t="shared" si="21"/>
        <v>7</v>
      </c>
    </row>
    <row r="139">
      <c r="A139" s="3" t="s">
        <v>18</v>
      </c>
      <c r="B139" s="40">
        <f t="shared" si="21"/>
        <v>10</v>
      </c>
    </row>
    <row r="140">
      <c r="A140" s="4" t="s">
        <v>19</v>
      </c>
      <c r="B140" s="40">
        <f t="shared" si="21"/>
        <v>5</v>
      </c>
    </row>
    <row r="141">
      <c r="A141" s="3" t="s">
        <v>20</v>
      </c>
      <c r="B141" s="40">
        <f t="shared" si="21"/>
        <v>8</v>
      </c>
    </row>
    <row r="142">
      <c r="A142" s="4" t="s">
        <v>21</v>
      </c>
      <c r="B142" s="40">
        <f t="shared" si="21"/>
        <v>13</v>
      </c>
    </row>
    <row r="143">
      <c r="A143" s="3" t="s">
        <v>22</v>
      </c>
      <c r="B143" s="40">
        <f t="shared" si="21"/>
        <v>11</v>
      </c>
    </row>
    <row r="144">
      <c r="A144" s="4" t="s">
        <v>23</v>
      </c>
      <c r="B144" s="40">
        <f t="shared" si="21"/>
        <v>14</v>
      </c>
    </row>
    <row r="145">
      <c r="A145" s="3" t="s">
        <v>24</v>
      </c>
      <c r="B145" s="40">
        <f t="shared" si="21"/>
        <v>12</v>
      </c>
    </row>
    <row r="146">
      <c r="A146" s="4" t="s">
        <v>25</v>
      </c>
      <c r="B146" s="40">
        <f t="shared" si="21"/>
        <v>16</v>
      </c>
    </row>
    <row r="147">
      <c r="A147" s="3" t="s">
        <v>26</v>
      </c>
      <c r="B147" s="40">
        <f t="shared" si="21"/>
        <v>17</v>
      </c>
    </row>
    <row r="148">
      <c r="A148" s="4" t="s">
        <v>27</v>
      </c>
      <c r="B148" s="40">
        <f t="shared" si="21"/>
        <v>15</v>
      </c>
    </row>
    <row r="149">
      <c r="A149" s="3" t="s">
        <v>28</v>
      </c>
      <c r="B149" s="40">
        <f t="shared" si="21"/>
        <v>18</v>
      </c>
    </row>
    <row r="150">
      <c r="A150" s="4" t="s">
        <v>29</v>
      </c>
      <c r="B150" s="40">
        <f t="shared" si="21"/>
        <v>19</v>
      </c>
    </row>
    <row r="151">
      <c r="A151" s="3" t="s">
        <v>30</v>
      </c>
      <c r="B151" s="40">
        <f t="shared" si="21"/>
        <v>20</v>
      </c>
    </row>
    <row r="153">
      <c r="A153" s="52" t="s">
        <v>229</v>
      </c>
      <c r="B153" s="93"/>
    </row>
    <row r="154">
      <c r="A154" s="94" t="s">
        <v>202</v>
      </c>
    </row>
    <row r="155">
      <c r="A155" s="1" t="s">
        <v>0</v>
      </c>
      <c r="B155" s="1" t="s">
        <v>203</v>
      </c>
      <c r="C155" s="1" t="s">
        <v>204</v>
      </c>
      <c r="D155" s="1" t="s">
        <v>205</v>
      </c>
      <c r="E155" s="1" t="s">
        <v>207</v>
      </c>
      <c r="F155" s="1" t="s">
        <v>208</v>
      </c>
      <c r="G155" s="1" t="s">
        <v>209</v>
      </c>
      <c r="H155" s="1" t="s">
        <v>210</v>
      </c>
      <c r="I155" s="1" t="s">
        <v>211</v>
      </c>
      <c r="J155" s="1" t="s">
        <v>212</v>
      </c>
      <c r="L155" s="1" t="s">
        <v>230</v>
      </c>
    </row>
    <row r="156">
      <c r="A156" s="4" t="s">
        <v>11</v>
      </c>
      <c r="B156" s="95">
        <f t="shared" ref="B156:B175" si="22">(B27*$M$156)+($M$157*C27)+(D27*$M$158)+($M$159*E27)+(F27*$M$160)+($M$161*G27)+(H27*$M$162)+($M$163*I27)+(J27*$M$164)+($M$165*K27)</f>
        <v>0.1018816511</v>
      </c>
      <c r="C156" s="95">
        <f t="shared" ref="C156:C175" si="23">MAX(B27*$M$156,$M$157*C27,D27*$M$158,$M$159*E27,F27*$M$160,$M$161*G27,H27*$M$162,$M$163*I27,J27*$M$164,$M$165*K27)</f>
        <v>0.0561828828</v>
      </c>
      <c r="D156" s="95">
        <f t="shared" ref="D156:D175" si="24">(((B156-$E$156)/($F$156-$E$156))*$I$156) + (((C156-$G$156)/($H$156-$G$156))*(1-$I$156))</f>
        <v>0.2238583081</v>
      </c>
      <c r="E156" s="53">
        <f>MIN(B156:B175)</f>
        <v>0</v>
      </c>
      <c r="F156" s="53">
        <f>MAX(B156:B175)</f>
        <v>0.9201306537</v>
      </c>
      <c r="G156" s="53">
        <f>MIN(C156:C175)</f>
        <v>0</v>
      </c>
      <c r="H156" s="53">
        <f>MAX(C156:C175)</f>
        <v>0.1667190326</v>
      </c>
      <c r="I156" s="96">
        <v>0.5</v>
      </c>
      <c r="J156" s="43" t="str">
        <f t="array" ref="J156:J175">SORT(A156:A175,D156:D175,1)</f>
        <v>SARITUA MARPAUNG</v>
      </c>
      <c r="L156" s="8" t="s">
        <v>1</v>
      </c>
      <c r="M156" s="85">
        <f>MEREC!B76</f>
        <v>0.07383636958</v>
      </c>
    </row>
    <row r="157">
      <c r="A157" s="3" t="s">
        <v>12</v>
      </c>
      <c r="B157" s="42">
        <f t="shared" si="22"/>
        <v>0.2432763791</v>
      </c>
      <c r="C157" s="42">
        <f t="shared" si="23"/>
        <v>0.05676301558</v>
      </c>
      <c r="D157" s="42">
        <f t="shared" si="24"/>
        <v>0.3024322091</v>
      </c>
      <c r="J157" s="43" t="s">
        <v>11</v>
      </c>
      <c r="L157" s="8" t="s">
        <v>2</v>
      </c>
      <c r="M157" s="85">
        <f>MEREC!C76</f>
        <v>0.07288900642</v>
      </c>
    </row>
    <row r="158">
      <c r="A158" s="4" t="s">
        <v>13</v>
      </c>
      <c r="B158" s="95">
        <f t="shared" si="22"/>
        <v>0.2795846919</v>
      </c>
      <c r="C158" s="95">
        <f t="shared" si="23"/>
        <v>0.05676301558</v>
      </c>
      <c r="D158" s="95">
        <f t="shared" si="24"/>
        <v>0.3221621858</v>
      </c>
      <c r="J158" s="43" t="s">
        <v>19</v>
      </c>
      <c r="L158" s="8" t="s">
        <v>3</v>
      </c>
      <c r="M158" s="85">
        <f>MEREC!D76</f>
        <v>0.1060673386</v>
      </c>
    </row>
    <row r="159">
      <c r="A159" s="3" t="s">
        <v>14</v>
      </c>
      <c r="B159" s="42">
        <f t="shared" si="22"/>
        <v>0</v>
      </c>
      <c r="C159" s="42">
        <f t="shared" si="23"/>
        <v>0</v>
      </c>
      <c r="D159" s="42">
        <f t="shared" si="24"/>
        <v>0</v>
      </c>
      <c r="J159" s="43" t="s">
        <v>15</v>
      </c>
      <c r="L159" s="8" t="s">
        <v>4</v>
      </c>
      <c r="M159" s="85">
        <f>MEREC!E76</f>
        <v>0.1123657656</v>
      </c>
    </row>
    <row r="160">
      <c r="A160" s="4" t="s">
        <v>15</v>
      </c>
      <c r="B160" s="95">
        <f t="shared" si="22"/>
        <v>0.2407928736</v>
      </c>
      <c r="C160" s="95">
        <f t="shared" si="23"/>
        <v>0.05676301558</v>
      </c>
      <c r="D160" s="95">
        <f t="shared" si="24"/>
        <v>0.3010826694</v>
      </c>
      <c r="J160" s="43" t="s">
        <v>12</v>
      </c>
      <c r="L160" s="8" t="s">
        <v>5</v>
      </c>
      <c r="M160" s="85">
        <f>MEREC!F76</f>
        <v>0.1135260312</v>
      </c>
    </row>
    <row r="161">
      <c r="A161" s="3" t="s">
        <v>16</v>
      </c>
      <c r="B161" s="42">
        <f t="shared" si="22"/>
        <v>0.4528418124</v>
      </c>
      <c r="C161" s="42">
        <f t="shared" si="23"/>
        <v>0.1135260312</v>
      </c>
      <c r="D161" s="42">
        <f t="shared" si="24"/>
        <v>0.5865458535</v>
      </c>
      <c r="J161" s="43" t="s">
        <v>13</v>
      </c>
      <c r="L161" s="8" t="s">
        <v>6</v>
      </c>
      <c r="M161" s="85">
        <f>MEREC!G76</f>
        <v>0.09855186571</v>
      </c>
    </row>
    <row r="162">
      <c r="A162" s="4" t="s">
        <v>17</v>
      </c>
      <c r="B162" s="95">
        <f t="shared" si="22"/>
        <v>0.2982176492</v>
      </c>
      <c r="C162" s="95">
        <f t="shared" si="23"/>
        <v>0.05676301558</v>
      </c>
      <c r="D162" s="95">
        <f t="shared" si="24"/>
        <v>0.3322873551</v>
      </c>
      <c r="J162" s="43" t="s">
        <v>17</v>
      </c>
      <c r="L162" s="8" t="s">
        <v>7</v>
      </c>
      <c r="M162" s="85">
        <f>MEREC!H76</f>
        <v>0.08007078013</v>
      </c>
    </row>
    <row r="163">
      <c r="A163" s="3" t="s">
        <v>18</v>
      </c>
      <c r="B163" s="42">
        <f t="shared" si="22"/>
        <v>0.5547234635</v>
      </c>
      <c r="C163" s="42">
        <f t="shared" si="23"/>
        <v>0.1135260312</v>
      </c>
      <c r="D163" s="42">
        <f t="shared" si="24"/>
        <v>0.6419084537</v>
      </c>
      <c r="J163" s="43" t="s">
        <v>20</v>
      </c>
      <c r="L163" s="8" t="s">
        <v>8</v>
      </c>
      <c r="M163" s="85">
        <f>MEREC!I76</f>
        <v>0.1667190326</v>
      </c>
    </row>
    <row r="164">
      <c r="A164" s="4" t="s">
        <v>19</v>
      </c>
      <c r="B164" s="95">
        <f t="shared" si="22"/>
        <v>0.1950413194</v>
      </c>
      <c r="C164" s="95">
        <f t="shared" si="23"/>
        <v>0.0561828828</v>
      </c>
      <c r="D164" s="95">
        <f t="shared" si="24"/>
        <v>0.2744813734</v>
      </c>
      <c r="J164" s="43" t="s">
        <v>16</v>
      </c>
      <c r="L164" s="8" t="s">
        <v>9</v>
      </c>
      <c r="M164" s="85">
        <f>MEREC!J76</f>
        <v>0.08457627365</v>
      </c>
    </row>
    <row r="165">
      <c r="A165" s="3" t="s">
        <v>20</v>
      </c>
      <c r="B165" s="42">
        <f t="shared" si="22"/>
        <v>0.4291553489</v>
      </c>
      <c r="C165" s="42">
        <f t="shared" si="23"/>
        <v>0.1135260312</v>
      </c>
      <c r="D165" s="42">
        <f t="shared" si="24"/>
        <v>0.5736746034</v>
      </c>
      <c r="J165" s="43" t="s">
        <v>27</v>
      </c>
      <c r="L165" s="8" t="s">
        <v>10</v>
      </c>
      <c r="M165" s="85">
        <f>MEREC!K76</f>
        <v>0.09139753658</v>
      </c>
    </row>
    <row r="166">
      <c r="A166" s="4" t="s">
        <v>21</v>
      </c>
      <c r="B166" s="95">
        <f t="shared" si="22"/>
        <v>0.5894991103</v>
      </c>
      <c r="C166" s="95">
        <f t="shared" si="23"/>
        <v>0.1123657656</v>
      </c>
      <c r="D166" s="95">
        <f t="shared" si="24"/>
        <v>0.6573258746</v>
      </c>
      <c r="J166" s="43" t="s">
        <v>18</v>
      </c>
      <c r="L166" s="91" t="s">
        <v>201</v>
      </c>
      <c r="M166" s="10">
        <f>SUM(M156:M165)</f>
        <v>1</v>
      </c>
    </row>
    <row r="167">
      <c r="A167" s="3" t="s">
        <v>22</v>
      </c>
      <c r="B167" s="42">
        <f t="shared" si="22"/>
        <v>0.579019799</v>
      </c>
      <c r="C167" s="42">
        <f t="shared" si="23"/>
        <v>0.1135260312</v>
      </c>
      <c r="D167" s="42">
        <f t="shared" si="24"/>
        <v>0.6551111089</v>
      </c>
      <c r="J167" s="43" t="s">
        <v>22</v>
      </c>
    </row>
    <row r="168">
      <c r="A168" s="4" t="s">
        <v>23</v>
      </c>
      <c r="B168" s="95">
        <f t="shared" si="22"/>
        <v>0.6178941423</v>
      </c>
      <c r="C168" s="95">
        <f t="shared" si="23"/>
        <v>0.1135260312</v>
      </c>
      <c r="D168" s="95">
        <f t="shared" si="24"/>
        <v>0.6762354694</v>
      </c>
      <c r="J168" s="43" t="s">
        <v>21</v>
      </c>
    </row>
    <row r="169">
      <c r="A169" s="3" t="s">
        <v>24</v>
      </c>
      <c r="B169" s="42">
        <f t="shared" si="22"/>
        <v>0.6247185673</v>
      </c>
      <c r="C169" s="42">
        <f t="shared" si="23"/>
        <v>0.1135260312</v>
      </c>
      <c r="D169" s="42">
        <f t="shared" si="24"/>
        <v>0.6799438694</v>
      </c>
      <c r="J169" s="43" t="s">
        <v>23</v>
      </c>
    </row>
    <row r="170">
      <c r="A170" s="4" t="s">
        <v>25</v>
      </c>
      <c r="B170" s="95">
        <f t="shared" si="22"/>
        <v>0.7485747782</v>
      </c>
      <c r="C170" s="95">
        <f t="shared" si="23"/>
        <v>0.1667190326</v>
      </c>
      <c r="D170" s="95">
        <f t="shared" si="24"/>
        <v>0.9067763503</v>
      </c>
      <c r="J170" s="43" t="s">
        <v>24</v>
      </c>
    </row>
    <row r="171">
      <c r="A171" s="3" t="s">
        <v>26</v>
      </c>
      <c r="B171" s="42">
        <f t="shared" si="22"/>
        <v>0.7769698103</v>
      </c>
      <c r="C171" s="42">
        <f t="shared" si="23"/>
        <v>0.1667190326</v>
      </c>
      <c r="D171" s="42">
        <f t="shared" si="24"/>
        <v>0.9222062417</v>
      </c>
      <c r="J171" s="43" t="s">
        <v>28</v>
      </c>
    </row>
    <row r="172">
      <c r="A172" s="4" t="s">
        <v>27</v>
      </c>
      <c r="B172" s="95">
        <f t="shared" si="22"/>
        <v>0.539645802</v>
      </c>
      <c r="C172" s="95">
        <f t="shared" si="23"/>
        <v>0.1135260312</v>
      </c>
      <c r="D172" s="95">
        <f t="shared" si="24"/>
        <v>0.633715236</v>
      </c>
      <c r="J172" s="43" t="s">
        <v>30</v>
      </c>
    </row>
    <row r="173">
      <c r="A173" s="3" t="s">
        <v>28</v>
      </c>
      <c r="B173" s="42">
        <f t="shared" si="22"/>
        <v>0.752620689</v>
      </c>
      <c r="C173" s="42">
        <f t="shared" si="23"/>
        <v>0.1123657656</v>
      </c>
      <c r="D173" s="42">
        <f t="shared" si="24"/>
        <v>0.7459663183</v>
      </c>
      <c r="J173" s="43" t="s">
        <v>25</v>
      </c>
    </row>
    <row r="174">
      <c r="A174" s="4" t="s">
        <v>29</v>
      </c>
      <c r="B174" s="95">
        <f t="shared" si="22"/>
        <v>0.9153682876</v>
      </c>
      <c r="C174" s="95">
        <f t="shared" si="23"/>
        <v>0.1667190326</v>
      </c>
      <c r="D174" s="95">
        <f t="shared" si="24"/>
        <v>0.9974121251</v>
      </c>
      <c r="J174" s="43" t="s">
        <v>26</v>
      </c>
    </row>
    <row r="175">
      <c r="A175" s="3" t="s">
        <v>30</v>
      </c>
      <c r="B175" s="42">
        <f t="shared" si="22"/>
        <v>0.9201306537</v>
      </c>
      <c r="C175" s="42">
        <f t="shared" si="23"/>
        <v>0.1135260312</v>
      </c>
      <c r="D175" s="42">
        <f t="shared" si="24"/>
        <v>0.8404711191</v>
      </c>
      <c r="J175" s="43" t="s">
        <v>29</v>
      </c>
    </row>
    <row r="177">
      <c r="A177" s="1" t="s">
        <v>0</v>
      </c>
      <c r="B177" s="1" t="s">
        <v>213</v>
      </c>
    </row>
    <row r="178">
      <c r="A178" s="4" t="s">
        <v>11</v>
      </c>
      <c r="B178" s="40">
        <f t="shared" ref="B178:B197" si="25">RANK(D156,$D$156:$D$175,1)</f>
        <v>2</v>
      </c>
    </row>
    <row r="179">
      <c r="A179" s="3" t="s">
        <v>12</v>
      </c>
      <c r="B179" s="40">
        <f t="shared" si="25"/>
        <v>5</v>
      </c>
    </row>
    <row r="180">
      <c r="A180" s="4" t="s">
        <v>13</v>
      </c>
      <c r="B180" s="40">
        <f t="shared" si="25"/>
        <v>6</v>
      </c>
    </row>
    <row r="181">
      <c r="A181" s="3" t="s">
        <v>14</v>
      </c>
      <c r="B181" s="40">
        <f t="shared" si="25"/>
        <v>1</v>
      </c>
    </row>
    <row r="182">
      <c r="A182" s="4" t="s">
        <v>15</v>
      </c>
      <c r="B182" s="40">
        <f t="shared" si="25"/>
        <v>4</v>
      </c>
    </row>
    <row r="183">
      <c r="A183" s="3" t="s">
        <v>16</v>
      </c>
      <c r="B183" s="40">
        <f t="shared" si="25"/>
        <v>9</v>
      </c>
    </row>
    <row r="184">
      <c r="A184" s="4" t="s">
        <v>17</v>
      </c>
      <c r="B184" s="40">
        <f t="shared" si="25"/>
        <v>7</v>
      </c>
    </row>
    <row r="185">
      <c r="A185" s="3" t="s">
        <v>18</v>
      </c>
      <c r="B185" s="40">
        <f t="shared" si="25"/>
        <v>11</v>
      </c>
    </row>
    <row r="186">
      <c r="A186" s="4" t="s">
        <v>19</v>
      </c>
      <c r="B186" s="40">
        <f t="shared" si="25"/>
        <v>3</v>
      </c>
    </row>
    <row r="187">
      <c r="A187" s="3" t="s">
        <v>20</v>
      </c>
      <c r="B187" s="40">
        <f t="shared" si="25"/>
        <v>8</v>
      </c>
    </row>
    <row r="188">
      <c r="A188" s="4" t="s">
        <v>21</v>
      </c>
      <c r="B188" s="40">
        <f t="shared" si="25"/>
        <v>13</v>
      </c>
    </row>
    <row r="189">
      <c r="A189" s="3" t="s">
        <v>22</v>
      </c>
      <c r="B189" s="40">
        <f t="shared" si="25"/>
        <v>12</v>
      </c>
    </row>
    <row r="190">
      <c r="A190" s="4" t="s">
        <v>23</v>
      </c>
      <c r="B190" s="40">
        <f t="shared" si="25"/>
        <v>14</v>
      </c>
    </row>
    <row r="191">
      <c r="A191" s="3" t="s">
        <v>24</v>
      </c>
      <c r="B191" s="40">
        <f t="shared" si="25"/>
        <v>15</v>
      </c>
    </row>
    <row r="192">
      <c r="A192" s="4" t="s">
        <v>25</v>
      </c>
      <c r="B192" s="40">
        <f t="shared" si="25"/>
        <v>18</v>
      </c>
    </row>
    <row r="193">
      <c r="A193" s="3" t="s">
        <v>26</v>
      </c>
      <c r="B193" s="40">
        <f t="shared" si="25"/>
        <v>19</v>
      </c>
    </row>
    <row r="194">
      <c r="A194" s="4" t="s">
        <v>27</v>
      </c>
      <c r="B194" s="40">
        <f t="shared" si="25"/>
        <v>10</v>
      </c>
    </row>
    <row r="195">
      <c r="A195" s="3" t="s">
        <v>28</v>
      </c>
      <c r="B195" s="40">
        <f t="shared" si="25"/>
        <v>16</v>
      </c>
    </row>
    <row r="196">
      <c r="A196" s="4" t="s">
        <v>29</v>
      </c>
      <c r="B196" s="40">
        <f t="shared" si="25"/>
        <v>20</v>
      </c>
    </row>
    <row r="197">
      <c r="A197" s="3" t="s">
        <v>30</v>
      </c>
      <c r="B197" s="40">
        <f t="shared" si="25"/>
        <v>17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2" t="s">
        <v>11</v>
      </c>
      <c r="B2" s="2">
        <v>5.0</v>
      </c>
      <c r="C2" s="2">
        <v>5.0</v>
      </c>
      <c r="D2" s="2">
        <v>5.0</v>
      </c>
      <c r="E2" s="2">
        <v>4.0</v>
      </c>
      <c r="F2" s="2">
        <v>5.0</v>
      </c>
      <c r="G2" s="2">
        <v>5.0</v>
      </c>
      <c r="H2" s="2">
        <v>5.0</v>
      </c>
      <c r="I2" s="2">
        <v>4.0</v>
      </c>
      <c r="J2" s="2">
        <v>5.0</v>
      </c>
      <c r="K2" s="2">
        <v>4.0</v>
      </c>
    </row>
    <row r="3">
      <c r="A3" s="3" t="s">
        <v>12</v>
      </c>
      <c r="B3" s="3">
        <v>5.0</v>
      </c>
      <c r="C3" s="3">
        <v>5.0</v>
      </c>
      <c r="D3" s="3">
        <v>4.0</v>
      </c>
      <c r="E3" s="3">
        <v>4.0</v>
      </c>
      <c r="F3" s="3">
        <v>4.0</v>
      </c>
      <c r="G3" s="3">
        <v>4.0</v>
      </c>
      <c r="H3" s="3">
        <v>5.0</v>
      </c>
      <c r="I3" s="3">
        <v>4.0</v>
      </c>
      <c r="J3" s="3">
        <v>5.0</v>
      </c>
      <c r="K3" s="3">
        <v>4.0</v>
      </c>
    </row>
    <row r="4">
      <c r="A4" s="2" t="s">
        <v>13</v>
      </c>
      <c r="B4" s="2">
        <v>4.0</v>
      </c>
      <c r="C4" s="2">
        <v>5.0</v>
      </c>
      <c r="D4" s="2">
        <v>4.0</v>
      </c>
      <c r="E4" s="2">
        <v>5.0</v>
      </c>
      <c r="F4" s="2">
        <v>4.0</v>
      </c>
      <c r="G4" s="2">
        <v>4.0</v>
      </c>
      <c r="H4" s="2">
        <v>5.0</v>
      </c>
      <c r="I4" s="2">
        <v>3.0</v>
      </c>
      <c r="J4" s="2">
        <v>5.0</v>
      </c>
      <c r="K4" s="2">
        <v>4.0</v>
      </c>
    </row>
    <row r="5">
      <c r="A5" s="3" t="s">
        <v>14</v>
      </c>
      <c r="B5" s="3">
        <v>5.0</v>
      </c>
      <c r="C5" s="3">
        <v>5.0</v>
      </c>
      <c r="D5" s="3">
        <v>5.0</v>
      </c>
      <c r="E5" s="3">
        <v>5.0</v>
      </c>
      <c r="F5" s="3">
        <v>5.0</v>
      </c>
      <c r="G5" s="3">
        <v>5.0</v>
      </c>
      <c r="H5" s="3">
        <v>5.0</v>
      </c>
      <c r="I5" s="3">
        <v>4.0</v>
      </c>
      <c r="J5" s="3">
        <v>5.0</v>
      </c>
      <c r="K5" s="3">
        <v>5.0</v>
      </c>
    </row>
    <row r="6">
      <c r="A6" s="2" t="s">
        <v>15</v>
      </c>
      <c r="B6" s="2">
        <v>4.0</v>
      </c>
      <c r="C6" s="2">
        <v>5.0</v>
      </c>
      <c r="D6" s="2">
        <v>4.0</v>
      </c>
      <c r="E6" s="2">
        <v>4.0</v>
      </c>
      <c r="F6" s="2">
        <v>4.0</v>
      </c>
      <c r="G6" s="2">
        <v>5.0</v>
      </c>
      <c r="H6" s="2">
        <v>5.0</v>
      </c>
      <c r="I6" s="2">
        <v>3.0</v>
      </c>
      <c r="J6" s="2">
        <v>5.0</v>
      </c>
      <c r="K6" s="2">
        <v>5.0</v>
      </c>
    </row>
    <row r="7">
      <c r="A7" s="3" t="s">
        <v>16</v>
      </c>
      <c r="B7" s="3">
        <v>4.0</v>
      </c>
      <c r="C7" s="3">
        <v>4.0</v>
      </c>
      <c r="D7" s="3">
        <v>4.0</v>
      </c>
      <c r="E7" s="3">
        <v>5.0</v>
      </c>
      <c r="F7" s="3">
        <v>3.0</v>
      </c>
      <c r="G7" s="3">
        <v>4.0</v>
      </c>
      <c r="H7" s="3">
        <v>4.0</v>
      </c>
      <c r="I7" s="3">
        <v>2.0</v>
      </c>
      <c r="J7" s="3">
        <v>4.0</v>
      </c>
      <c r="K7" s="3">
        <v>5.0</v>
      </c>
    </row>
    <row r="8">
      <c r="A8" s="2" t="s">
        <v>17</v>
      </c>
      <c r="B8" s="2">
        <v>4.0</v>
      </c>
      <c r="C8" s="2">
        <v>4.0</v>
      </c>
      <c r="D8" s="2">
        <v>4.0</v>
      </c>
      <c r="E8" s="2">
        <v>5.0</v>
      </c>
      <c r="F8" s="2">
        <v>4.0</v>
      </c>
      <c r="G8" s="2">
        <v>4.0</v>
      </c>
      <c r="H8" s="2">
        <v>4.0</v>
      </c>
      <c r="I8" s="2">
        <v>3.0</v>
      </c>
      <c r="J8" s="2">
        <v>5.0</v>
      </c>
      <c r="K8" s="2">
        <v>5.0</v>
      </c>
    </row>
    <row r="9">
      <c r="A9" s="3" t="s">
        <v>18</v>
      </c>
      <c r="B9" s="3">
        <v>4.0</v>
      </c>
      <c r="C9" s="3">
        <v>4.0</v>
      </c>
      <c r="D9" s="3">
        <v>4.0</v>
      </c>
      <c r="E9" s="3">
        <v>4.0</v>
      </c>
      <c r="F9" s="3">
        <v>3.0</v>
      </c>
      <c r="G9" s="3">
        <v>4.0</v>
      </c>
      <c r="H9" s="3">
        <v>4.0</v>
      </c>
      <c r="I9" s="3">
        <v>2.0</v>
      </c>
      <c r="J9" s="3">
        <v>4.0</v>
      </c>
      <c r="K9" s="3">
        <v>4.0</v>
      </c>
    </row>
    <row r="10">
      <c r="A10" s="2" t="s">
        <v>19</v>
      </c>
      <c r="B10" s="2">
        <v>4.0</v>
      </c>
      <c r="C10" s="2">
        <v>4.0</v>
      </c>
      <c r="D10" s="2">
        <v>4.0</v>
      </c>
      <c r="E10" s="2">
        <v>4.0</v>
      </c>
      <c r="F10" s="2">
        <v>5.0</v>
      </c>
      <c r="G10" s="2">
        <v>5.0</v>
      </c>
      <c r="H10" s="2">
        <v>5.0</v>
      </c>
      <c r="I10" s="2">
        <v>4.0</v>
      </c>
      <c r="J10" s="2">
        <v>4.0</v>
      </c>
      <c r="K10" s="2">
        <v>5.0</v>
      </c>
    </row>
    <row r="11">
      <c r="A11" s="3" t="s">
        <v>20</v>
      </c>
      <c r="B11" s="3">
        <v>4.0</v>
      </c>
      <c r="C11" s="3">
        <v>5.0</v>
      </c>
      <c r="D11" s="3">
        <v>4.0</v>
      </c>
      <c r="E11" s="3">
        <v>4.0</v>
      </c>
      <c r="F11" s="3">
        <v>3.0</v>
      </c>
      <c r="G11" s="3">
        <v>4.0</v>
      </c>
      <c r="H11" s="3">
        <v>4.0</v>
      </c>
      <c r="I11" s="3">
        <v>3.0</v>
      </c>
      <c r="J11" s="3">
        <v>4.0</v>
      </c>
      <c r="K11" s="3">
        <v>5.0</v>
      </c>
    </row>
    <row r="12">
      <c r="A12" s="2" t="s">
        <v>21</v>
      </c>
      <c r="B12" s="2">
        <v>4.0</v>
      </c>
      <c r="C12" s="2">
        <v>4.0</v>
      </c>
      <c r="D12" s="2">
        <v>3.0</v>
      </c>
      <c r="E12" s="2">
        <v>3.0</v>
      </c>
      <c r="F12" s="2">
        <v>4.0</v>
      </c>
      <c r="G12" s="2">
        <v>4.0</v>
      </c>
      <c r="H12" s="2">
        <v>4.0</v>
      </c>
      <c r="I12" s="2">
        <v>2.0</v>
      </c>
      <c r="J12" s="2">
        <v>4.0</v>
      </c>
      <c r="K12" s="2">
        <v>4.0</v>
      </c>
    </row>
    <row r="13">
      <c r="A13" s="3" t="s">
        <v>22</v>
      </c>
      <c r="B13" s="3">
        <v>4.0</v>
      </c>
      <c r="C13" s="3">
        <v>3.0</v>
      </c>
      <c r="D13" s="3">
        <v>4.0</v>
      </c>
      <c r="E13" s="3">
        <v>4.0</v>
      </c>
      <c r="F13" s="3">
        <v>3.0</v>
      </c>
      <c r="G13" s="3">
        <v>4.0</v>
      </c>
      <c r="H13" s="3">
        <v>4.0</v>
      </c>
      <c r="I13" s="3">
        <v>2.0</v>
      </c>
      <c r="J13" s="3">
        <v>4.0</v>
      </c>
      <c r="K13" s="3">
        <v>4.0</v>
      </c>
    </row>
    <row r="14">
      <c r="A14" s="2" t="s">
        <v>23</v>
      </c>
      <c r="B14" s="2">
        <v>4.0</v>
      </c>
      <c r="C14" s="2">
        <v>4.0</v>
      </c>
      <c r="D14" s="2">
        <v>4.0</v>
      </c>
      <c r="E14" s="2">
        <v>3.0</v>
      </c>
      <c r="F14" s="2">
        <v>3.0</v>
      </c>
      <c r="G14" s="2">
        <v>3.0</v>
      </c>
      <c r="H14" s="2">
        <v>4.0</v>
      </c>
      <c r="I14" s="2">
        <v>2.0</v>
      </c>
      <c r="J14" s="2">
        <v>5.0</v>
      </c>
      <c r="K14" s="2">
        <v>4.0</v>
      </c>
    </row>
    <row r="15">
      <c r="A15" s="3" t="s">
        <v>24</v>
      </c>
      <c r="B15" s="3">
        <v>4.0</v>
      </c>
      <c r="C15" s="3">
        <v>3.0</v>
      </c>
      <c r="D15" s="3">
        <v>4.0</v>
      </c>
      <c r="E15" s="3">
        <v>4.0</v>
      </c>
      <c r="F15" s="3">
        <v>3.0</v>
      </c>
      <c r="G15" s="3">
        <v>4.0</v>
      </c>
      <c r="H15" s="3">
        <v>4.0</v>
      </c>
      <c r="I15" s="3">
        <v>2.0</v>
      </c>
      <c r="J15" s="3">
        <v>4.0</v>
      </c>
      <c r="K15" s="3">
        <v>3.0</v>
      </c>
    </row>
    <row r="16">
      <c r="A16" s="2" t="s">
        <v>25</v>
      </c>
      <c r="B16" s="2">
        <v>3.0</v>
      </c>
      <c r="C16" s="2">
        <v>3.0</v>
      </c>
      <c r="D16" s="2">
        <v>3.0</v>
      </c>
      <c r="E16" s="2">
        <v>3.0</v>
      </c>
      <c r="F16" s="2">
        <v>4.0</v>
      </c>
      <c r="G16" s="2">
        <v>4.0</v>
      </c>
      <c r="H16" s="2">
        <v>4.0</v>
      </c>
      <c r="I16" s="2">
        <v>1.0</v>
      </c>
      <c r="J16" s="2">
        <v>3.0</v>
      </c>
      <c r="K16" s="2">
        <v>4.0</v>
      </c>
    </row>
    <row r="17">
      <c r="A17" s="3" t="s">
        <v>26</v>
      </c>
      <c r="B17" s="3">
        <v>3.0</v>
      </c>
      <c r="C17" s="3">
        <v>3.0</v>
      </c>
      <c r="D17" s="3">
        <v>4.0</v>
      </c>
      <c r="E17" s="3">
        <v>3.0</v>
      </c>
      <c r="F17" s="3">
        <v>3.0</v>
      </c>
      <c r="G17" s="3">
        <v>3.0</v>
      </c>
      <c r="H17" s="3">
        <v>4.0</v>
      </c>
      <c r="I17" s="3">
        <v>1.0</v>
      </c>
      <c r="J17" s="3">
        <v>4.0</v>
      </c>
      <c r="K17" s="3">
        <v>4.0</v>
      </c>
    </row>
    <row r="18">
      <c r="A18" s="2" t="s">
        <v>27</v>
      </c>
      <c r="B18" s="2">
        <v>3.0</v>
      </c>
      <c r="C18" s="2">
        <v>4.0</v>
      </c>
      <c r="D18" s="2">
        <v>4.0</v>
      </c>
      <c r="E18" s="2">
        <v>4.0</v>
      </c>
      <c r="F18" s="2">
        <v>3.0</v>
      </c>
      <c r="G18" s="2">
        <v>3.0</v>
      </c>
      <c r="H18" s="2">
        <v>4.0</v>
      </c>
      <c r="I18" s="2">
        <v>3.0</v>
      </c>
      <c r="J18" s="2">
        <v>4.0</v>
      </c>
      <c r="K18" s="2">
        <v>5.0</v>
      </c>
    </row>
    <row r="19">
      <c r="A19" s="3" t="s">
        <v>28</v>
      </c>
      <c r="B19" s="3">
        <v>3.0</v>
      </c>
      <c r="C19" s="3">
        <v>3.0</v>
      </c>
      <c r="D19" s="3">
        <v>4.0</v>
      </c>
      <c r="E19" s="3">
        <v>3.0</v>
      </c>
      <c r="F19" s="3">
        <v>4.0</v>
      </c>
      <c r="G19" s="3">
        <v>3.0</v>
      </c>
      <c r="H19" s="3">
        <v>4.0</v>
      </c>
      <c r="I19" s="3">
        <v>2.0</v>
      </c>
      <c r="J19" s="3">
        <v>3.0</v>
      </c>
      <c r="K19" s="3">
        <v>3.0</v>
      </c>
    </row>
    <row r="20">
      <c r="A20" s="2" t="s">
        <v>29</v>
      </c>
      <c r="B20" s="2">
        <v>3.0</v>
      </c>
      <c r="C20" s="2">
        <v>2.0</v>
      </c>
      <c r="D20" s="2">
        <v>3.0</v>
      </c>
      <c r="E20" s="2">
        <v>3.0</v>
      </c>
      <c r="F20" s="2">
        <v>3.0</v>
      </c>
      <c r="G20" s="2">
        <v>4.0</v>
      </c>
      <c r="H20" s="2">
        <v>3.0</v>
      </c>
      <c r="I20" s="2">
        <v>1.0</v>
      </c>
      <c r="J20" s="2">
        <v>3.0</v>
      </c>
      <c r="K20" s="2">
        <v>3.0</v>
      </c>
    </row>
    <row r="21">
      <c r="A21" s="3" t="s">
        <v>30</v>
      </c>
      <c r="B21" s="3">
        <v>3.0</v>
      </c>
      <c r="C21" s="3">
        <v>3.0</v>
      </c>
      <c r="D21" s="3">
        <v>2.0</v>
      </c>
      <c r="E21" s="3">
        <v>3.0</v>
      </c>
      <c r="F21" s="3">
        <v>3.0</v>
      </c>
      <c r="G21" s="3">
        <v>3.0</v>
      </c>
      <c r="H21" s="3">
        <v>3.0</v>
      </c>
      <c r="I21" s="3">
        <v>2.0</v>
      </c>
      <c r="J21" s="3">
        <v>3.0</v>
      </c>
      <c r="K21" s="3">
        <v>3.0</v>
      </c>
    </row>
    <row r="22">
      <c r="A22" s="19" t="s">
        <v>77</v>
      </c>
      <c r="B22" s="19">
        <f t="shared" ref="B22:K22" si="1">MAX(B2:B21)</f>
        <v>5</v>
      </c>
      <c r="C22" s="19">
        <f t="shared" si="1"/>
        <v>5</v>
      </c>
      <c r="D22" s="19">
        <f t="shared" si="1"/>
        <v>5</v>
      </c>
      <c r="E22" s="19">
        <f t="shared" si="1"/>
        <v>5</v>
      </c>
      <c r="F22" s="19">
        <f t="shared" si="1"/>
        <v>5</v>
      </c>
      <c r="G22" s="19">
        <f t="shared" si="1"/>
        <v>5</v>
      </c>
      <c r="H22" s="19">
        <f t="shared" si="1"/>
        <v>5</v>
      </c>
      <c r="I22" s="19">
        <f t="shared" si="1"/>
        <v>4</v>
      </c>
      <c r="J22" s="19">
        <f t="shared" si="1"/>
        <v>5</v>
      </c>
      <c r="K22" s="19">
        <f t="shared" si="1"/>
        <v>5</v>
      </c>
    </row>
    <row r="23">
      <c r="A23" s="52" t="s">
        <v>87</v>
      </c>
      <c r="B23" s="93">
        <f t="shared" ref="B23:K23" si="2">min(B2:B21)</f>
        <v>3</v>
      </c>
      <c r="C23" s="93">
        <f t="shared" si="2"/>
        <v>2</v>
      </c>
      <c r="D23" s="93">
        <f t="shared" si="2"/>
        <v>2</v>
      </c>
      <c r="E23" s="93">
        <f t="shared" si="2"/>
        <v>3</v>
      </c>
      <c r="F23" s="93">
        <f t="shared" si="2"/>
        <v>3</v>
      </c>
      <c r="G23" s="93">
        <f t="shared" si="2"/>
        <v>3</v>
      </c>
      <c r="H23" s="93">
        <f t="shared" si="2"/>
        <v>3</v>
      </c>
      <c r="I23" s="93">
        <f t="shared" si="2"/>
        <v>1</v>
      </c>
      <c r="J23" s="93">
        <f t="shared" si="2"/>
        <v>3</v>
      </c>
      <c r="K23" s="93">
        <f t="shared" si="2"/>
        <v>3</v>
      </c>
    </row>
    <row r="25">
      <c r="A25" s="94" t="s">
        <v>78</v>
      </c>
    </row>
    <row r="26">
      <c r="A26" s="1" t="s">
        <v>0</v>
      </c>
      <c r="B26" s="1" t="s">
        <v>1</v>
      </c>
      <c r="C26" s="1" t="s">
        <v>2</v>
      </c>
      <c r="D26" s="1" t="s">
        <v>3</v>
      </c>
      <c r="E26" s="1" t="s">
        <v>4</v>
      </c>
      <c r="F26" s="1" t="s">
        <v>5</v>
      </c>
      <c r="G26" s="1" t="s">
        <v>6</v>
      </c>
      <c r="H26" s="1" t="s">
        <v>7</v>
      </c>
      <c r="I26" s="1" t="s">
        <v>8</v>
      </c>
      <c r="J26" s="1" t="s">
        <v>9</v>
      </c>
      <c r="K26" s="1" t="s">
        <v>10</v>
      </c>
      <c r="M26" s="1" t="s">
        <v>231</v>
      </c>
      <c r="N26" s="47"/>
    </row>
    <row r="27">
      <c r="A27" s="2" t="s">
        <v>11</v>
      </c>
      <c r="B27" s="2">
        <f t="shared" ref="B27:B46" si="3">B2/$B$22</f>
        <v>1</v>
      </c>
      <c r="C27" s="2">
        <f t="shared" ref="C27:C46" si="4">C2/$C$22</f>
        <v>1</v>
      </c>
      <c r="D27" s="2">
        <f t="shared" ref="D27:D46" si="5">D2/$D$22</f>
        <v>1</v>
      </c>
      <c r="E27" s="2">
        <f t="shared" ref="E27:E46" si="6">E2/$E$22</f>
        <v>0.8</v>
      </c>
      <c r="F27" s="2">
        <f t="shared" ref="F27:F46" si="7">F2/$F$22</f>
        <v>1</v>
      </c>
      <c r="G27" s="2">
        <f t="shared" ref="G27:G46" si="8">G2/$G$22</f>
        <v>1</v>
      </c>
      <c r="H27" s="2">
        <f t="shared" ref="H27:H46" si="9">H2/$H$22</f>
        <v>1</v>
      </c>
      <c r="I27" s="2">
        <f t="shared" ref="I27:I46" si="10">I2/$I$22</f>
        <v>1</v>
      </c>
      <c r="J27" s="2">
        <f t="shared" ref="J27:J46" si="11">J2/$J$22</f>
        <v>1</v>
      </c>
      <c r="K27" s="2">
        <f t="shared" ref="K27:K46" si="12">$K$23/K2</f>
        <v>0.75</v>
      </c>
      <c r="M27" s="85" t="s">
        <v>1</v>
      </c>
      <c r="N27" s="22">
        <v>0.085</v>
      </c>
    </row>
    <row r="28">
      <c r="A28" s="3" t="s">
        <v>12</v>
      </c>
      <c r="B28" s="74">
        <f t="shared" si="3"/>
        <v>1</v>
      </c>
      <c r="C28" s="74">
        <f t="shared" si="4"/>
        <v>1</v>
      </c>
      <c r="D28" s="74">
        <f t="shared" si="5"/>
        <v>0.8</v>
      </c>
      <c r="E28" s="74">
        <f t="shared" si="6"/>
        <v>0.8</v>
      </c>
      <c r="F28" s="74">
        <f t="shared" si="7"/>
        <v>0.8</v>
      </c>
      <c r="G28" s="74">
        <f t="shared" si="8"/>
        <v>0.8</v>
      </c>
      <c r="H28" s="74">
        <f t="shared" si="9"/>
        <v>1</v>
      </c>
      <c r="I28" s="74">
        <f t="shared" si="10"/>
        <v>1</v>
      </c>
      <c r="J28" s="74">
        <f t="shared" si="11"/>
        <v>1</v>
      </c>
      <c r="K28" s="74">
        <f t="shared" si="12"/>
        <v>0.75</v>
      </c>
      <c r="M28" s="85" t="s">
        <v>2</v>
      </c>
      <c r="N28" s="22">
        <v>0.1266666667</v>
      </c>
    </row>
    <row r="29">
      <c r="A29" s="2" t="s">
        <v>13</v>
      </c>
      <c r="B29" s="2">
        <f t="shared" si="3"/>
        <v>0.8</v>
      </c>
      <c r="C29" s="2">
        <f t="shared" si="4"/>
        <v>1</v>
      </c>
      <c r="D29" s="2">
        <f t="shared" si="5"/>
        <v>0.8</v>
      </c>
      <c r="E29" s="2">
        <f t="shared" si="6"/>
        <v>1</v>
      </c>
      <c r="F29" s="2">
        <f t="shared" si="7"/>
        <v>0.8</v>
      </c>
      <c r="G29" s="2">
        <f t="shared" si="8"/>
        <v>0.8</v>
      </c>
      <c r="H29" s="2">
        <f t="shared" si="9"/>
        <v>1</v>
      </c>
      <c r="I29" s="2">
        <f t="shared" si="10"/>
        <v>0.75</v>
      </c>
      <c r="J29" s="2">
        <f t="shared" si="11"/>
        <v>1</v>
      </c>
      <c r="K29" s="2">
        <f t="shared" si="12"/>
        <v>0.75</v>
      </c>
      <c r="M29" s="85" t="s">
        <v>3</v>
      </c>
      <c r="N29" s="22">
        <v>0.1233333333</v>
      </c>
    </row>
    <row r="30">
      <c r="A30" s="3" t="s">
        <v>14</v>
      </c>
      <c r="B30" s="74">
        <f t="shared" si="3"/>
        <v>1</v>
      </c>
      <c r="C30" s="74">
        <f t="shared" si="4"/>
        <v>1</v>
      </c>
      <c r="D30" s="74">
        <f t="shared" si="5"/>
        <v>1</v>
      </c>
      <c r="E30" s="74">
        <f t="shared" si="6"/>
        <v>1</v>
      </c>
      <c r="F30" s="74">
        <f t="shared" si="7"/>
        <v>1</v>
      </c>
      <c r="G30" s="74">
        <f t="shared" si="8"/>
        <v>1</v>
      </c>
      <c r="H30" s="74">
        <f t="shared" si="9"/>
        <v>1</v>
      </c>
      <c r="I30" s="74">
        <f t="shared" si="10"/>
        <v>1</v>
      </c>
      <c r="J30" s="74">
        <f t="shared" si="11"/>
        <v>1</v>
      </c>
      <c r="K30" s="74">
        <f t="shared" si="12"/>
        <v>0.6</v>
      </c>
      <c r="M30" s="85" t="s">
        <v>4</v>
      </c>
      <c r="N30" s="22">
        <v>0.085</v>
      </c>
    </row>
    <row r="31">
      <c r="A31" s="2" t="s">
        <v>15</v>
      </c>
      <c r="B31" s="2">
        <f t="shared" si="3"/>
        <v>0.8</v>
      </c>
      <c r="C31" s="2">
        <f t="shared" si="4"/>
        <v>1</v>
      </c>
      <c r="D31" s="2">
        <f t="shared" si="5"/>
        <v>0.8</v>
      </c>
      <c r="E31" s="2">
        <f t="shared" si="6"/>
        <v>0.8</v>
      </c>
      <c r="F31" s="2">
        <f t="shared" si="7"/>
        <v>0.8</v>
      </c>
      <c r="G31" s="2">
        <f t="shared" si="8"/>
        <v>1</v>
      </c>
      <c r="H31" s="2">
        <f t="shared" si="9"/>
        <v>1</v>
      </c>
      <c r="I31" s="2">
        <f t="shared" si="10"/>
        <v>0.75</v>
      </c>
      <c r="J31" s="2">
        <f t="shared" si="11"/>
        <v>1</v>
      </c>
      <c r="K31" s="2">
        <f t="shared" si="12"/>
        <v>0.6</v>
      </c>
      <c r="M31" s="85" t="s">
        <v>5</v>
      </c>
      <c r="N31" s="22">
        <v>0.065</v>
      </c>
    </row>
    <row r="32">
      <c r="A32" s="3" t="s">
        <v>16</v>
      </c>
      <c r="B32" s="74">
        <f t="shared" si="3"/>
        <v>0.8</v>
      </c>
      <c r="C32" s="74">
        <f t="shared" si="4"/>
        <v>0.8</v>
      </c>
      <c r="D32" s="74">
        <f t="shared" si="5"/>
        <v>0.8</v>
      </c>
      <c r="E32" s="74">
        <f t="shared" si="6"/>
        <v>1</v>
      </c>
      <c r="F32" s="74">
        <f t="shared" si="7"/>
        <v>0.6</v>
      </c>
      <c r="G32" s="74">
        <f t="shared" si="8"/>
        <v>0.8</v>
      </c>
      <c r="H32" s="74">
        <f t="shared" si="9"/>
        <v>0.8</v>
      </c>
      <c r="I32" s="74">
        <f t="shared" si="10"/>
        <v>0.5</v>
      </c>
      <c r="J32" s="74">
        <f t="shared" si="11"/>
        <v>0.8</v>
      </c>
      <c r="K32" s="74">
        <f t="shared" si="12"/>
        <v>0.6</v>
      </c>
      <c r="M32" s="85" t="s">
        <v>6</v>
      </c>
      <c r="N32" s="22">
        <v>0.095</v>
      </c>
    </row>
    <row r="33">
      <c r="A33" s="2" t="s">
        <v>17</v>
      </c>
      <c r="B33" s="2">
        <f t="shared" si="3"/>
        <v>0.8</v>
      </c>
      <c r="C33" s="2">
        <f t="shared" si="4"/>
        <v>0.8</v>
      </c>
      <c r="D33" s="2">
        <f t="shared" si="5"/>
        <v>0.8</v>
      </c>
      <c r="E33" s="2">
        <f t="shared" si="6"/>
        <v>1</v>
      </c>
      <c r="F33" s="2">
        <f t="shared" si="7"/>
        <v>0.8</v>
      </c>
      <c r="G33" s="2">
        <f t="shared" si="8"/>
        <v>0.8</v>
      </c>
      <c r="H33" s="2">
        <f t="shared" si="9"/>
        <v>0.8</v>
      </c>
      <c r="I33" s="2">
        <f t="shared" si="10"/>
        <v>0.75</v>
      </c>
      <c r="J33" s="2">
        <f t="shared" si="11"/>
        <v>1</v>
      </c>
      <c r="K33" s="2">
        <f t="shared" si="12"/>
        <v>0.6</v>
      </c>
      <c r="M33" s="85" t="s">
        <v>7</v>
      </c>
      <c r="N33" s="22">
        <v>0.12</v>
      </c>
    </row>
    <row r="34">
      <c r="A34" s="3" t="s">
        <v>18</v>
      </c>
      <c r="B34" s="74">
        <f t="shared" si="3"/>
        <v>0.8</v>
      </c>
      <c r="C34" s="74">
        <f t="shared" si="4"/>
        <v>0.8</v>
      </c>
      <c r="D34" s="74">
        <f t="shared" si="5"/>
        <v>0.8</v>
      </c>
      <c r="E34" s="74">
        <f t="shared" si="6"/>
        <v>0.8</v>
      </c>
      <c r="F34" s="74">
        <f t="shared" si="7"/>
        <v>0.6</v>
      </c>
      <c r="G34" s="74">
        <f t="shared" si="8"/>
        <v>0.8</v>
      </c>
      <c r="H34" s="74">
        <f t="shared" si="9"/>
        <v>0.8</v>
      </c>
      <c r="I34" s="74">
        <f t="shared" si="10"/>
        <v>0.5</v>
      </c>
      <c r="J34" s="74">
        <f t="shared" si="11"/>
        <v>0.8</v>
      </c>
      <c r="K34" s="74">
        <f t="shared" si="12"/>
        <v>0.75</v>
      </c>
      <c r="M34" s="85" t="s">
        <v>8</v>
      </c>
      <c r="N34" s="22">
        <v>0.1</v>
      </c>
    </row>
    <row r="35">
      <c r="A35" s="2" t="s">
        <v>19</v>
      </c>
      <c r="B35" s="2">
        <f t="shared" si="3"/>
        <v>0.8</v>
      </c>
      <c r="C35" s="2">
        <f t="shared" si="4"/>
        <v>0.8</v>
      </c>
      <c r="D35" s="2">
        <f t="shared" si="5"/>
        <v>0.8</v>
      </c>
      <c r="E35" s="2">
        <f t="shared" si="6"/>
        <v>0.8</v>
      </c>
      <c r="F35" s="2">
        <f t="shared" si="7"/>
        <v>1</v>
      </c>
      <c r="G35" s="2">
        <f t="shared" si="8"/>
        <v>1</v>
      </c>
      <c r="H35" s="2">
        <f t="shared" si="9"/>
        <v>1</v>
      </c>
      <c r="I35" s="2">
        <f t="shared" si="10"/>
        <v>1</v>
      </c>
      <c r="J35" s="2">
        <f t="shared" si="11"/>
        <v>0.8</v>
      </c>
      <c r="K35" s="2">
        <f t="shared" si="12"/>
        <v>0.6</v>
      </c>
      <c r="M35" s="85" t="s">
        <v>9</v>
      </c>
      <c r="N35" s="22">
        <v>0.115</v>
      </c>
    </row>
    <row r="36">
      <c r="A36" s="3" t="s">
        <v>20</v>
      </c>
      <c r="B36" s="74">
        <f t="shared" si="3"/>
        <v>0.8</v>
      </c>
      <c r="C36" s="74">
        <f t="shared" si="4"/>
        <v>1</v>
      </c>
      <c r="D36" s="74">
        <f t="shared" si="5"/>
        <v>0.8</v>
      </c>
      <c r="E36" s="74">
        <f t="shared" si="6"/>
        <v>0.8</v>
      </c>
      <c r="F36" s="74">
        <f t="shared" si="7"/>
        <v>0.6</v>
      </c>
      <c r="G36" s="74">
        <f t="shared" si="8"/>
        <v>0.8</v>
      </c>
      <c r="H36" s="74">
        <f t="shared" si="9"/>
        <v>0.8</v>
      </c>
      <c r="I36" s="74">
        <f t="shared" si="10"/>
        <v>0.75</v>
      </c>
      <c r="J36" s="74">
        <f t="shared" si="11"/>
        <v>0.8</v>
      </c>
      <c r="K36" s="74">
        <f t="shared" si="12"/>
        <v>0.6</v>
      </c>
      <c r="M36" s="85" t="s">
        <v>10</v>
      </c>
      <c r="N36" s="22">
        <v>0.085</v>
      </c>
    </row>
    <row r="37">
      <c r="A37" s="2" t="s">
        <v>21</v>
      </c>
      <c r="B37" s="2">
        <f t="shared" si="3"/>
        <v>0.8</v>
      </c>
      <c r="C37" s="2">
        <f t="shared" si="4"/>
        <v>0.8</v>
      </c>
      <c r="D37" s="2">
        <f t="shared" si="5"/>
        <v>0.6</v>
      </c>
      <c r="E37" s="2">
        <f t="shared" si="6"/>
        <v>0.6</v>
      </c>
      <c r="F37" s="2">
        <f t="shared" si="7"/>
        <v>0.8</v>
      </c>
      <c r="G37" s="2">
        <f t="shared" si="8"/>
        <v>0.8</v>
      </c>
      <c r="H37" s="2">
        <f t="shared" si="9"/>
        <v>0.8</v>
      </c>
      <c r="I37" s="2">
        <f t="shared" si="10"/>
        <v>0.5</v>
      </c>
      <c r="J37" s="2">
        <f t="shared" si="11"/>
        <v>0.8</v>
      </c>
      <c r="K37" s="2">
        <f t="shared" si="12"/>
        <v>0.75</v>
      </c>
    </row>
    <row r="38">
      <c r="A38" s="3" t="s">
        <v>22</v>
      </c>
      <c r="B38" s="3">
        <f t="shared" si="3"/>
        <v>0.8</v>
      </c>
      <c r="C38" s="3">
        <f t="shared" si="4"/>
        <v>0.6</v>
      </c>
      <c r="D38" s="3">
        <f t="shared" si="5"/>
        <v>0.8</v>
      </c>
      <c r="E38" s="3">
        <f t="shared" si="6"/>
        <v>0.8</v>
      </c>
      <c r="F38" s="3">
        <f t="shared" si="7"/>
        <v>0.6</v>
      </c>
      <c r="G38" s="3">
        <f t="shared" si="8"/>
        <v>0.8</v>
      </c>
      <c r="H38" s="3">
        <f t="shared" si="9"/>
        <v>0.8</v>
      </c>
      <c r="I38" s="3">
        <f t="shared" si="10"/>
        <v>0.5</v>
      </c>
      <c r="J38" s="3">
        <f t="shared" si="11"/>
        <v>0.8</v>
      </c>
      <c r="K38" s="3">
        <f t="shared" si="12"/>
        <v>0.75</v>
      </c>
    </row>
    <row r="39">
      <c r="A39" s="2" t="s">
        <v>23</v>
      </c>
      <c r="B39" s="2">
        <f t="shared" si="3"/>
        <v>0.8</v>
      </c>
      <c r="C39" s="2">
        <f t="shared" si="4"/>
        <v>0.8</v>
      </c>
      <c r="D39" s="2">
        <f t="shared" si="5"/>
        <v>0.8</v>
      </c>
      <c r="E39" s="2">
        <f t="shared" si="6"/>
        <v>0.6</v>
      </c>
      <c r="F39" s="2">
        <f t="shared" si="7"/>
        <v>0.6</v>
      </c>
      <c r="G39" s="2">
        <f t="shared" si="8"/>
        <v>0.6</v>
      </c>
      <c r="H39" s="2">
        <f t="shared" si="9"/>
        <v>0.8</v>
      </c>
      <c r="I39" s="2">
        <f t="shared" si="10"/>
        <v>0.5</v>
      </c>
      <c r="J39" s="2">
        <f t="shared" si="11"/>
        <v>1</v>
      </c>
      <c r="K39" s="2">
        <f t="shared" si="12"/>
        <v>0.75</v>
      </c>
    </row>
    <row r="40">
      <c r="A40" s="3" t="s">
        <v>24</v>
      </c>
      <c r="B40" s="74">
        <f t="shared" si="3"/>
        <v>0.8</v>
      </c>
      <c r="C40" s="74">
        <f t="shared" si="4"/>
        <v>0.6</v>
      </c>
      <c r="D40" s="74">
        <f t="shared" si="5"/>
        <v>0.8</v>
      </c>
      <c r="E40" s="74">
        <f t="shared" si="6"/>
        <v>0.8</v>
      </c>
      <c r="F40" s="74">
        <f t="shared" si="7"/>
        <v>0.6</v>
      </c>
      <c r="G40" s="74">
        <f t="shared" si="8"/>
        <v>0.8</v>
      </c>
      <c r="H40" s="74">
        <f t="shared" si="9"/>
        <v>0.8</v>
      </c>
      <c r="I40" s="74">
        <f t="shared" si="10"/>
        <v>0.5</v>
      </c>
      <c r="J40" s="74">
        <f t="shared" si="11"/>
        <v>0.8</v>
      </c>
      <c r="K40" s="74">
        <f t="shared" si="12"/>
        <v>1</v>
      </c>
    </row>
    <row r="41">
      <c r="A41" s="2" t="s">
        <v>25</v>
      </c>
      <c r="B41" s="2">
        <f t="shared" si="3"/>
        <v>0.6</v>
      </c>
      <c r="C41" s="2">
        <f t="shared" si="4"/>
        <v>0.6</v>
      </c>
      <c r="D41" s="2">
        <f t="shared" si="5"/>
        <v>0.6</v>
      </c>
      <c r="E41" s="2">
        <f t="shared" si="6"/>
        <v>0.6</v>
      </c>
      <c r="F41" s="2">
        <f t="shared" si="7"/>
        <v>0.8</v>
      </c>
      <c r="G41" s="2">
        <f t="shared" si="8"/>
        <v>0.8</v>
      </c>
      <c r="H41" s="2">
        <f t="shared" si="9"/>
        <v>0.8</v>
      </c>
      <c r="I41" s="2">
        <f t="shared" si="10"/>
        <v>0.25</v>
      </c>
      <c r="J41" s="2">
        <f t="shared" si="11"/>
        <v>0.6</v>
      </c>
      <c r="K41" s="2">
        <f t="shared" si="12"/>
        <v>0.75</v>
      </c>
    </row>
    <row r="42">
      <c r="A42" s="3" t="s">
        <v>26</v>
      </c>
      <c r="B42" s="74">
        <f t="shared" si="3"/>
        <v>0.6</v>
      </c>
      <c r="C42" s="74">
        <f t="shared" si="4"/>
        <v>0.6</v>
      </c>
      <c r="D42" s="74">
        <f t="shared" si="5"/>
        <v>0.8</v>
      </c>
      <c r="E42" s="74">
        <f t="shared" si="6"/>
        <v>0.6</v>
      </c>
      <c r="F42" s="74">
        <f t="shared" si="7"/>
        <v>0.6</v>
      </c>
      <c r="G42" s="74">
        <f t="shared" si="8"/>
        <v>0.6</v>
      </c>
      <c r="H42" s="74">
        <f t="shared" si="9"/>
        <v>0.8</v>
      </c>
      <c r="I42" s="74">
        <f t="shared" si="10"/>
        <v>0.25</v>
      </c>
      <c r="J42" s="74">
        <f t="shared" si="11"/>
        <v>0.8</v>
      </c>
      <c r="K42" s="74">
        <f t="shared" si="12"/>
        <v>0.75</v>
      </c>
    </row>
    <row r="43">
      <c r="A43" s="2" t="s">
        <v>27</v>
      </c>
      <c r="B43" s="2">
        <f t="shared" si="3"/>
        <v>0.6</v>
      </c>
      <c r="C43" s="2">
        <f t="shared" si="4"/>
        <v>0.8</v>
      </c>
      <c r="D43" s="2">
        <f t="shared" si="5"/>
        <v>0.8</v>
      </c>
      <c r="E43" s="2">
        <f t="shared" si="6"/>
        <v>0.8</v>
      </c>
      <c r="F43" s="2">
        <f t="shared" si="7"/>
        <v>0.6</v>
      </c>
      <c r="G43" s="2">
        <f t="shared" si="8"/>
        <v>0.6</v>
      </c>
      <c r="H43" s="2">
        <f t="shared" si="9"/>
        <v>0.8</v>
      </c>
      <c r="I43" s="2">
        <f t="shared" si="10"/>
        <v>0.75</v>
      </c>
      <c r="J43" s="2">
        <f t="shared" si="11"/>
        <v>0.8</v>
      </c>
      <c r="K43" s="2">
        <f t="shared" si="12"/>
        <v>0.6</v>
      </c>
    </row>
    <row r="44">
      <c r="A44" s="3" t="s">
        <v>28</v>
      </c>
      <c r="B44" s="74">
        <f t="shared" si="3"/>
        <v>0.6</v>
      </c>
      <c r="C44" s="74">
        <f t="shared" si="4"/>
        <v>0.6</v>
      </c>
      <c r="D44" s="74">
        <f t="shared" si="5"/>
        <v>0.8</v>
      </c>
      <c r="E44" s="74">
        <f t="shared" si="6"/>
        <v>0.6</v>
      </c>
      <c r="F44" s="74">
        <f t="shared" si="7"/>
        <v>0.8</v>
      </c>
      <c r="G44" s="74">
        <f t="shared" si="8"/>
        <v>0.6</v>
      </c>
      <c r="H44" s="74">
        <f t="shared" si="9"/>
        <v>0.8</v>
      </c>
      <c r="I44" s="74">
        <f t="shared" si="10"/>
        <v>0.5</v>
      </c>
      <c r="J44" s="74">
        <f t="shared" si="11"/>
        <v>0.6</v>
      </c>
      <c r="K44" s="74">
        <f t="shared" si="12"/>
        <v>1</v>
      </c>
    </row>
    <row r="45">
      <c r="A45" s="2" t="s">
        <v>29</v>
      </c>
      <c r="B45" s="2">
        <f t="shared" si="3"/>
        <v>0.6</v>
      </c>
      <c r="C45" s="2">
        <f t="shared" si="4"/>
        <v>0.4</v>
      </c>
      <c r="D45" s="2">
        <f t="shared" si="5"/>
        <v>0.6</v>
      </c>
      <c r="E45" s="2">
        <f t="shared" si="6"/>
        <v>0.6</v>
      </c>
      <c r="F45" s="2">
        <f t="shared" si="7"/>
        <v>0.6</v>
      </c>
      <c r="G45" s="2">
        <f t="shared" si="8"/>
        <v>0.8</v>
      </c>
      <c r="H45" s="2">
        <f t="shared" si="9"/>
        <v>0.6</v>
      </c>
      <c r="I45" s="2">
        <f t="shared" si="10"/>
        <v>0.25</v>
      </c>
      <c r="J45" s="2">
        <f t="shared" si="11"/>
        <v>0.6</v>
      </c>
      <c r="K45" s="2">
        <f t="shared" si="12"/>
        <v>1</v>
      </c>
    </row>
    <row r="46">
      <c r="A46" s="3" t="s">
        <v>30</v>
      </c>
      <c r="B46" s="74">
        <f t="shared" si="3"/>
        <v>0.6</v>
      </c>
      <c r="C46" s="74">
        <f t="shared" si="4"/>
        <v>0.6</v>
      </c>
      <c r="D46" s="74">
        <f t="shared" si="5"/>
        <v>0.4</v>
      </c>
      <c r="E46" s="74">
        <f t="shared" si="6"/>
        <v>0.6</v>
      </c>
      <c r="F46" s="74">
        <f t="shared" si="7"/>
        <v>0.6</v>
      </c>
      <c r="G46" s="74">
        <f t="shared" si="8"/>
        <v>0.6</v>
      </c>
      <c r="H46" s="74">
        <f t="shared" si="9"/>
        <v>0.6</v>
      </c>
      <c r="I46" s="74">
        <f t="shared" si="10"/>
        <v>0.5</v>
      </c>
      <c r="J46" s="74">
        <f t="shared" si="11"/>
        <v>0.6</v>
      </c>
      <c r="K46" s="74">
        <f t="shared" si="12"/>
        <v>1</v>
      </c>
    </row>
    <row r="48">
      <c r="A48" s="94" t="s">
        <v>232</v>
      </c>
      <c r="B48" s="21"/>
      <c r="C48" s="21"/>
    </row>
    <row r="49">
      <c r="A49" s="1" t="s">
        <v>0</v>
      </c>
      <c r="B49" s="1" t="s">
        <v>233</v>
      </c>
      <c r="C49" s="74"/>
      <c r="D49" s="1" t="s">
        <v>212</v>
      </c>
      <c r="E49" s="1" t="s">
        <v>213</v>
      </c>
      <c r="F49" s="74"/>
      <c r="G49" s="74"/>
      <c r="H49" s="3" t="s">
        <v>234</v>
      </c>
      <c r="I49" s="74" t="s">
        <v>235</v>
      </c>
      <c r="J49" s="74"/>
      <c r="K49" s="74"/>
    </row>
    <row r="50">
      <c r="A50" s="2" t="s">
        <v>11</v>
      </c>
      <c r="B50" s="2">
        <f t="shared" ref="B50:B69" si="13">(B27^$N$27)*(C27^$N$28)*(D27^$N$29)*(E27^$N$30)*(F27^$N$31)*(G27^$N$32)*(H27^$N$33)*(I27^$N$34)*(J27^$N$35)*(K27^$N$36)</f>
        <v>0.9575089813</v>
      </c>
      <c r="C50" s="74"/>
      <c r="D50" s="4" t="str">
        <f t="shared" ref="D50:D69" si="14">INDEX($A$50:$A$69, MATCH(ROW(A1), $E$50:$E$69, 0))</f>
        <v>AMANDA NABABAN</v>
      </c>
      <c r="E50" s="4">
        <f t="shared" ref="E50:E69" si="15">RANK(B50, $B$50:$B$69, 0)</f>
        <v>1</v>
      </c>
      <c r="F50" s="74"/>
      <c r="G50" s="74"/>
      <c r="H50" s="74">
        <f t="shared" ref="H50:H69" si="16">SUMPRODUCT(B27:K27,TRANSPOSE($N$27:$N$36))</f>
        <v>0.96175</v>
      </c>
      <c r="I50" s="74">
        <f t="shared" ref="I50:I69" si="17">RANK(H50,$H$50:$H$69,0)</f>
        <v>2</v>
      </c>
      <c r="J50" s="74"/>
      <c r="K50" s="74"/>
    </row>
    <row r="51">
      <c r="A51" s="3" t="s">
        <v>12</v>
      </c>
      <c r="B51" s="74">
        <f t="shared" si="13"/>
        <v>0.8988454395</v>
      </c>
      <c r="C51" s="74"/>
      <c r="D51" s="74" t="str">
        <f t="shared" si="14"/>
        <v>SARITUA MARPAUNG</v>
      </c>
      <c r="E51" s="74">
        <f t="shared" si="15"/>
        <v>3</v>
      </c>
      <c r="F51" s="74"/>
      <c r="G51" s="74"/>
      <c r="H51" s="74">
        <f t="shared" si="16"/>
        <v>0.9050833333</v>
      </c>
      <c r="I51" s="74">
        <f t="shared" si="17"/>
        <v>3</v>
      </c>
      <c r="J51" s="74"/>
      <c r="K51" s="74"/>
    </row>
    <row r="52">
      <c r="A52" s="2" t="s">
        <v>13</v>
      </c>
      <c r="B52" s="2">
        <f t="shared" si="13"/>
        <v>0.873355673</v>
      </c>
      <c r="C52" s="74"/>
      <c r="D52" s="4" t="str">
        <f t="shared" si="14"/>
        <v>ARNITA NABABAN</v>
      </c>
      <c r="E52" s="4">
        <f t="shared" si="15"/>
        <v>4</v>
      </c>
      <c r="F52" s="74"/>
      <c r="G52" s="74"/>
      <c r="H52" s="74">
        <f t="shared" si="16"/>
        <v>0.8800833333</v>
      </c>
      <c r="I52" s="74">
        <f t="shared" si="17"/>
        <v>4</v>
      </c>
      <c r="J52" s="74"/>
      <c r="K52" s="74"/>
    </row>
    <row r="53">
      <c r="A53" s="3" t="s">
        <v>14</v>
      </c>
      <c r="B53" s="74">
        <f t="shared" si="13"/>
        <v>0.9575089813</v>
      </c>
      <c r="C53" s="74"/>
      <c r="D53" s="74" t="str">
        <f t="shared" si="14"/>
        <v>MORES NABABAN</v>
      </c>
      <c r="E53" s="74">
        <f t="shared" si="15"/>
        <v>2</v>
      </c>
      <c r="F53" s="74"/>
      <c r="G53" s="74"/>
      <c r="H53" s="74">
        <f t="shared" si="16"/>
        <v>0.966</v>
      </c>
      <c r="I53" s="74">
        <f t="shared" si="17"/>
        <v>1</v>
      </c>
      <c r="J53" s="74"/>
      <c r="K53" s="74"/>
    </row>
    <row r="54">
      <c r="A54" s="2" t="s">
        <v>15</v>
      </c>
      <c r="B54" s="2">
        <f t="shared" si="13"/>
        <v>0.8588610243</v>
      </c>
      <c r="C54" s="74"/>
      <c r="D54" s="4" t="str">
        <f t="shared" si="14"/>
        <v>ELSA NABABAN</v>
      </c>
      <c r="E54" s="4">
        <f t="shared" si="15"/>
        <v>5</v>
      </c>
      <c r="F54" s="74"/>
      <c r="G54" s="74"/>
      <c r="H54" s="74">
        <f t="shared" si="16"/>
        <v>0.8693333333</v>
      </c>
      <c r="I54" s="74">
        <f t="shared" si="17"/>
        <v>5</v>
      </c>
      <c r="J54" s="74"/>
      <c r="K54" s="74"/>
    </row>
    <row r="55">
      <c r="A55" s="3" t="s">
        <v>16</v>
      </c>
      <c r="B55" s="74">
        <f t="shared" si="13"/>
        <v>0.7450313185</v>
      </c>
      <c r="C55" s="74"/>
      <c r="D55" s="74" t="str">
        <f t="shared" si="14"/>
        <v>JOSIA NABABAN</v>
      </c>
      <c r="E55" s="74">
        <f t="shared" si="15"/>
        <v>10</v>
      </c>
      <c r="F55" s="74"/>
      <c r="G55" s="74"/>
      <c r="H55" s="74">
        <f t="shared" si="16"/>
        <v>0.757</v>
      </c>
      <c r="I55" s="74">
        <f t="shared" si="17"/>
        <v>9</v>
      </c>
      <c r="J55" s="74"/>
      <c r="K55" s="74"/>
    </row>
    <row r="56">
      <c r="A56" s="2" t="s">
        <v>17</v>
      </c>
      <c r="B56" s="2">
        <f t="shared" si="13"/>
        <v>0.8110531673</v>
      </c>
      <c r="C56" s="74"/>
      <c r="D56" s="4" t="str">
        <f t="shared" si="14"/>
        <v>IRFAN AGUS</v>
      </c>
      <c r="E56" s="4">
        <f t="shared" si="15"/>
        <v>7</v>
      </c>
      <c r="F56" s="74"/>
      <c r="G56" s="74"/>
      <c r="H56" s="74">
        <f t="shared" si="16"/>
        <v>0.818</v>
      </c>
      <c r="I56" s="74">
        <f t="shared" si="17"/>
        <v>7</v>
      </c>
      <c r="J56" s="74"/>
      <c r="K56" s="74"/>
    </row>
    <row r="57">
      <c r="A57" s="3" t="s">
        <v>18</v>
      </c>
      <c r="B57" s="74">
        <f t="shared" si="13"/>
        <v>0.7450313185</v>
      </c>
      <c r="C57" s="74"/>
      <c r="D57" s="74" t="str">
        <f t="shared" si="14"/>
        <v>IRMA SIANIPAR</v>
      </c>
      <c r="E57" s="74">
        <f t="shared" si="15"/>
        <v>9</v>
      </c>
      <c r="F57" s="74"/>
      <c r="G57" s="74"/>
      <c r="H57" s="74">
        <f t="shared" si="16"/>
        <v>0.75275</v>
      </c>
      <c r="I57" s="74">
        <f t="shared" si="17"/>
        <v>10</v>
      </c>
      <c r="J57" s="74"/>
      <c r="K57" s="74"/>
    </row>
    <row r="58">
      <c r="A58" s="2" t="s">
        <v>19</v>
      </c>
      <c r="B58" s="2">
        <f t="shared" si="13"/>
        <v>0.8497594428</v>
      </c>
      <c r="C58" s="74"/>
      <c r="D58" s="4" t="str">
        <f t="shared" si="14"/>
        <v>LESTARI SIBAGARIANG</v>
      </c>
      <c r="E58" s="4">
        <f t="shared" si="15"/>
        <v>6</v>
      </c>
      <c r="F58" s="74"/>
      <c r="G58" s="74"/>
      <c r="H58" s="74">
        <f t="shared" si="16"/>
        <v>0.859</v>
      </c>
      <c r="I58" s="74">
        <f t="shared" si="17"/>
        <v>6</v>
      </c>
      <c r="J58" s="74"/>
      <c r="K58" s="74"/>
    </row>
    <row r="59">
      <c r="A59" s="3" t="s">
        <v>20</v>
      </c>
      <c r="B59" s="74">
        <f t="shared" si="13"/>
        <v>0.783107841</v>
      </c>
      <c r="C59" s="74"/>
      <c r="D59" s="74" t="str">
        <f t="shared" si="14"/>
        <v>HADI SAPUTRA</v>
      </c>
      <c r="E59" s="74">
        <f t="shared" si="15"/>
        <v>8</v>
      </c>
      <c r="F59" s="74"/>
      <c r="G59" s="74"/>
      <c r="H59" s="74">
        <f t="shared" si="16"/>
        <v>0.7903333333</v>
      </c>
      <c r="I59" s="74">
        <f t="shared" si="17"/>
        <v>8</v>
      </c>
      <c r="J59" s="74"/>
      <c r="K59" s="74"/>
    </row>
    <row r="60">
      <c r="A60" s="2" t="s">
        <v>21</v>
      </c>
      <c r="B60" s="2">
        <f t="shared" si="13"/>
        <v>0.71493514</v>
      </c>
      <c r="C60" s="74"/>
      <c r="D60" s="4" t="str">
        <f t="shared" si="14"/>
        <v>ESTER NABABAN</v>
      </c>
      <c r="E60" s="4">
        <f t="shared" si="15"/>
        <v>15</v>
      </c>
      <c r="F60" s="74"/>
      <c r="G60" s="74"/>
      <c r="H60" s="74">
        <f t="shared" si="16"/>
        <v>0.7240833333</v>
      </c>
      <c r="I60" s="74">
        <f t="shared" si="17"/>
        <v>15</v>
      </c>
      <c r="J60" s="74"/>
      <c r="K60" s="74"/>
    </row>
    <row r="61">
      <c r="A61" s="3" t="s">
        <v>22</v>
      </c>
      <c r="B61" s="74">
        <f t="shared" si="13"/>
        <v>0.7183712714</v>
      </c>
      <c r="C61" s="75"/>
      <c r="D61" s="74" t="str">
        <f t="shared" si="14"/>
        <v>HOSIANA NABABAN</v>
      </c>
      <c r="E61" s="74">
        <f t="shared" si="15"/>
        <v>14</v>
      </c>
      <c r="F61" s="75"/>
      <c r="G61" s="75"/>
      <c r="H61" s="74">
        <f t="shared" si="16"/>
        <v>0.7274166667</v>
      </c>
      <c r="I61" s="74">
        <f t="shared" si="17"/>
        <v>14</v>
      </c>
      <c r="J61" s="75"/>
      <c r="K61" s="75"/>
    </row>
    <row r="62">
      <c r="A62" s="2" t="s">
        <v>23</v>
      </c>
      <c r="B62" s="2">
        <f t="shared" si="13"/>
        <v>0.7258221346</v>
      </c>
      <c r="C62" s="74"/>
      <c r="D62" s="4" t="str">
        <f t="shared" si="14"/>
        <v>ELFRIDA SITINJAK</v>
      </c>
      <c r="E62" s="4">
        <f t="shared" si="15"/>
        <v>12</v>
      </c>
      <c r="F62" s="74"/>
      <c r="G62" s="74"/>
      <c r="H62" s="74">
        <f t="shared" si="16"/>
        <v>0.73975</v>
      </c>
      <c r="I62" s="74">
        <f t="shared" si="17"/>
        <v>12</v>
      </c>
      <c r="J62" s="74"/>
      <c r="K62" s="74"/>
    </row>
    <row r="63">
      <c r="A63" s="3" t="s">
        <v>24</v>
      </c>
      <c r="B63" s="74">
        <f t="shared" si="13"/>
        <v>0.7361541227</v>
      </c>
      <c r="C63" s="74"/>
      <c r="D63" s="74" t="str">
        <f t="shared" si="14"/>
        <v>RAHUL NABABAN</v>
      </c>
      <c r="E63" s="74">
        <f t="shared" si="15"/>
        <v>11</v>
      </c>
      <c r="F63" s="74"/>
      <c r="G63" s="74"/>
      <c r="H63" s="74">
        <f t="shared" si="16"/>
        <v>0.7486666667</v>
      </c>
      <c r="I63" s="74">
        <f t="shared" si="17"/>
        <v>11</v>
      </c>
      <c r="J63" s="74"/>
      <c r="K63" s="74"/>
    </row>
    <row r="64">
      <c r="A64" s="2" t="s">
        <v>25</v>
      </c>
      <c r="B64" s="2">
        <f t="shared" si="13"/>
        <v>0.6072259508</v>
      </c>
      <c r="C64" s="74"/>
      <c r="D64" s="4" t="str">
        <f t="shared" si="14"/>
        <v>LAMTIUR NABABAN</v>
      </c>
      <c r="E64" s="4">
        <f t="shared" si="15"/>
        <v>18</v>
      </c>
      <c r="F64" s="74"/>
      <c r="G64" s="74"/>
      <c r="H64" s="74">
        <f t="shared" si="16"/>
        <v>0.63375</v>
      </c>
      <c r="I64" s="74">
        <f t="shared" si="17"/>
        <v>18</v>
      </c>
      <c r="J64" s="74"/>
      <c r="K64" s="74"/>
    </row>
    <row r="65">
      <c r="A65" s="3" t="s">
        <v>26</v>
      </c>
      <c r="B65" s="74">
        <f t="shared" si="13"/>
        <v>0.6210651944</v>
      </c>
      <c r="C65" s="74"/>
      <c r="D65" s="74" t="str">
        <f t="shared" si="14"/>
        <v>CREDO NABABAN</v>
      </c>
      <c r="E65" s="74">
        <f t="shared" si="15"/>
        <v>17</v>
      </c>
      <c r="F65" s="74"/>
      <c r="G65" s="74"/>
      <c r="H65" s="74">
        <f t="shared" si="16"/>
        <v>0.6494166667</v>
      </c>
      <c r="I65" s="74">
        <f t="shared" si="17"/>
        <v>17</v>
      </c>
      <c r="J65" s="74"/>
      <c r="K65" s="74"/>
    </row>
    <row r="66">
      <c r="A66" s="2" t="s">
        <v>27</v>
      </c>
      <c r="B66" s="2">
        <f t="shared" si="13"/>
        <v>0.7228652233</v>
      </c>
      <c r="C66" s="74"/>
      <c r="D66" s="4" t="str">
        <f t="shared" si="14"/>
        <v>MORISCA SIBAGARIANG</v>
      </c>
      <c r="E66" s="4">
        <f t="shared" si="15"/>
        <v>13</v>
      </c>
      <c r="F66" s="74"/>
      <c r="G66" s="74"/>
      <c r="H66" s="74">
        <f t="shared" si="16"/>
        <v>0.729</v>
      </c>
      <c r="I66" s="74">
        <f t="shared" si="17"/>
        <v>13</v>
      </c>
      <c r="J66" s="74"/>
      <c r="K66" s="74"/>
    </row>
    <row r="67">
      <c r="A67" s="3" t="s">
        <v>28</v>
      </c>
      <c r="B67" s="74">
        <f t="shared" si="13"/>
        <v>0.6723773058</v>
      </c>
      <c r="C67" s="74"/>
      <c r="D67" s="74" t="str">
        <f t="shared" si="14"/>
        <v>ANWAR NABABAN</v>
      </c>
      <c r="E67" s="74">
        <f t="shared" si="15"/>
        <v>16</v>
      </c>
      <c r="F67" s="74"/>
      <c r="G67" s="74"/>
      <c r="H67" s="74">
        <f t="shared" si="16"/>
        <v>0.6856666667</v>
      </c>
      <c r="I67" s="74">
        <f t="shared" si="17"/>
        <v>16</v>
      </c>
      <c r="J67" s="74"/>
      <c r="K67" s="74"/>
    </row>
    <row r="68">
      <c r="A68" s="2" t="s">
        <v>29</v>
      </c>
      <c r="B68" s="2">
        <f t="shared" si="13"/>
        <v>0.5604689493</v>
      </c>
      <c r="C68" s="74"/>
      <c r="D68" s="4" t="str">
        <f t="shared" si="14"/>
        <v>JELMANRO SILITONGA</v>
      </c>
      <c r="E68" s="4">
        <f t="shared" si="15"/>
        <v>20</v>
      </c>
      <c r="F68" s="74"/>
      <c r="G68" s="74"/>
      <c r="H68" s="74">
        <f t="shared" si="16"/>
        <v>0.5926666667</v>
      </c>
      <c r="I68" s="74">
        <f t="shared" si="17"/>
        <v>20</v>
      </c>
      <c r="J68" s="74"/>
      <c r="K68" s="74"/>
    </row>
    <row r="69">
      <c r="A69" s="3" t="s">
        <v>30</v>
      </c>
      <c r="B69" s="74">
        <f t="shared" si="13"/>
        <v>0.5852916759</v>
      </c>
      <c r="C69" s="74"/>
      <c r="D69" s="74" t="str">
        <f t="shared" si="14"/>
        <v>SERDI SILITONGA</v>
      </c>
      <c r="E69" s="74">
        <f t="shared" si="15"/>
        <v>19</v>
      </c>
      <c r="F69" s="74"/>
      <c r="G69" s="74"/>
      <c r="H69" s="74">
        <f t="shared" si="16"/>
        <v>0.5993333333</v>
      </c>
      <c r="I69" s="74">
        <f t="shared" si="17"/>
        <v>19</v>
      </c>
      <c r="J69" s="74"/>
      <c r="K69" s="74"/>
    </row>
    <row r="70">
      <c r="E70" s="74"/>
    </row>
    <row r="71">
      <c r="A71" s="32" t="s">
        <v>1</v>
      </c>
      <c r="B71" s="32" t="s">
        <v>2</v>
      </c>
      <c r="C71" s="32" t="s">
        <v>3</v>
      </c>
      <c r="D71" s="32" t="s">
        <v>4</v>
      </c>
      <c r="E71" s="32" t="s">
        <v>5</v>
      </c>
      <c r="F71" s="32" t="s">
        <v>6</v>
      </c>
      <c r="G71" s="32" t="s">
        <v>7</v>
      </c>
      <c r="H71" s="32" t="s">
        <v>8</v>
      </c>
      <c r="I71" s="32" t="s">
        <v>9</v>
      </c>
      <c r="J71" s="32" t="s">
        <v>10</v>
      </c>
    </row>
    <row r="72">
      <c r="A72" s="31">
        <v>0.07383636957613834</v>
      </c>
      <c r="B72" s="31">
        <v>0.07288900642009463</v>
      </c>
      <c r="C72" s="31">
        <v>0.1060673386201275</v>
      </c>
      <c r="D72" s="31">
        <v>0.11236576559105191</v>
      </c>
      <c r="E72" s="31">
        <v>0.11352603116557144</v>
      </c>
      <c r="F72" s="31">
        <v>0.09855186571477402</v>
      </c>
      <c r="G72" s="31">
        <v>0.08007078012558544</v>
      </c>
      <c r="H72" s="31">
        <v>0.16671903255153106</v>
      </c>
      <c r="I72" s="31">
        <v>0.08457627365091037</v>
      </c>
      <c r="J72" s="31">
        <v>0.09139753658421526</v>
      </c>
    </row>
    <row r="73">
      <c r="A73" s="3" t="s">
        <v>236</v>
      </c>
      <c r="C73" s="3" t="s">
        <v>237</v>
      </c>
      <c r="E73" s="3" t="s">
        <v>238</v>
      </c>
    </row>
    <row r="74">
      <c r="A74" s="42">
        <f t="shared" ref="A74:A93" si="18">(B27^$A$72)*(C27^$B$72)*(D27^$C$72)*(E27^$D$72)*(F27^$E$72)*(G27^$F$72)*(H27^$G$72)*(I27^$H$72)*(J27^$I$72)*(K27^$J$72)</f>
        <v>0.94992986</v>
      </c>
      <c r="B74" s="3" t="s">
        <v>239</v>
      </c>
      <c r="C74" s="42">
        <f t="shared" ref="C74:C93" si="19">RANK(A74,$A$74:$A$93,0)</f>
        <v>2</v>
      </c>
      <c r="E74" s="42">
        <f t="shared" ref="E74:E93" si="20">SUMPRODUCT(B27:K27, $A$72:$J$72)</f>
        <v>0.9546774627</v>
      </c>
      <c r="F74" s="42">
        <f t="shared" ref="F74:F93" si="21">RANK(E74,$E$74:$E$93,0)</f>
        <v>2</v>
      </c>
    </row>
    <row r="75">
      <c r="A75" s="42">
        <f t="shared" si="18"/>
        <v>0.8848304923</v>
      </c>
      <c r="B75" s="3" t="s">
        <v>240</v>
      </c>
      <c r="C75" s="42">
        <f t="shared" si="19"/>
        <v>3</v>
      </c>
      <c r="E75" s="42">
        <f t="shared" si="20"/>
        <v>0.8910484156</v>
      </c>
      <c r="F75" s="42">
        <f t="shared" si="21"/>
        <v>3</v>
      </c>
    </row>
    <row r="76">
      <c r="A76" s="42">
        <f t="shared" si="18"/>
        <v>0.8506762335</v>
      </c>
      <c r="B76" s="3" t="s">
        <v>241</v>
      </c>
      <c r="C76" s="42">
        <f t="shared" si="19"/>
        <v>5</v>
      </c>
      <c r="E76" s="42">
        <f t="shared" si="20"/>
        <v>0.8570745367</v>
      </c>
      <c r="F76" s="42">
        <f t="shared" si="21"/>
        <v>5</v>
      </c>
    </row>
    <row r="77">
      <c r="A77" s="42">
        <f t="shared" si="18"/>
        <v>0.954384925</v>
      </c>
      <c r="B77" s="3" t="s">
        <v>242</v>
      </c>
      <c r="C77" s="42">
        <f t="shared" si="19"/>
        <v>1</v>
      </c>
      <c r="E77" s="42">
        <f t="shared" si="20"/>
        <v>0.9634409854</v>
      </c>
      <c r="F77" s="42">
        <f t="shared" si="21"/>
        <v>1</v>
      </c>
    </row>
    <row r="78">
      <c r="A78" s="42">
        <f t="shared" si="18"/>
        <v>0.8309373064</v>
      </c>
      <c r="B78" s="3" t="s">
        <v>243</v>
      </c>
      <c r="C78" s="42">
        <f t="shared" si="19"/>
        <v>6</v>
      </c>
      <c r="E78" s="42">
        <f t="shared" si="20"/>
        <v>0.8406021262</v>
      </c>
      <c r="F78" s="42">
        <f t="shared" si="21"/>
        <v>6</v>
      </c>
    </row>
    <row r="79">
      <c r="A79" s="42">
        <f t="shared" si="18"/>
        <v>0.7150654211</v>
      </c>
      <c r="B79" s="3" t="s">
        <v>244</v>
      </c>
      <c r="C79" s="42">
        <f t="shared" si="19"/>
        <v>10</v>
      </c>
      <c r="E79" s="42">
        <f t="shared" si="20"/>
        <v>0.7314727298</v>
      </c>
      <c r="F79" s="42">
        <f t="shared" si="21"/>
        <v>9</v>
      </c>
    </row>
    <row r="80">
      <c r="A80" s="42">
        <f t="shared" si="18"/>
        <v>0.8055335405</v>
      </c>
      <c r="B80" s="3" t="s">
        <v>245</v>
      </c>
      <c r="C80" s="42">
        <f t="shared" si="19"/>
        <v>7</v>
      </c>
      <c r="E80" s="42">
        <f t="shared" si="20"/>
        <v>0.8127729489</v>
      </c>
      <c r="F80" s="42">
        <f t="shared" si="21"/>
        <v>7</v>
      </c>
    </row>
    <row r="81">
      <c r="A81" s="42">
        <f t="shared" si="18"/>
        <v>0.7117274986</v>
      </c>
      <c r="B81" s="3" t="s">
        <v>246</v>
      </c>
      <c r="C81" s="42">
        <f t="shared" si="19"/>
        <v>11</v>
      </c>
      <c r="E81" s="42">
        <f t="shared" si="20"/>
        <v>0.7227092072</v>
      </c>
      <c r="F81" s="42">
        <f t="shared" si="21"/>
        <v>11</v>
      </c>
    </row>
    <row r="82">
      <c r="A82" s="42">
        <f t="shared" si="18"/>
        <v>0.8632563267</v>
      </c>
      <c r="B82" s="3" t="s">
        <v>247</v>
      </c>
      <c r="C82" s="42">
        <f t="shared" si="19"/>
        <v>4</v>
      </c>
      <c r="E82" s="42">
        <f t="shared" si="20"/>
        <v>0.8734940346</v>
      </c>
      <c r="F82" s="42">
        <f t="shared" si="21"/>
        <v>4</v>
      </c>
    </row>
    <row r="83">
      <c r="A83" s="42">
        <f t="shared" si="18"/>
        <v>0.7583642438</v>
      </c>
      <c r="B83" s="3" t="s">
        <v>248</v>
      </c>
      <c r="C83" s="42">
        <f t="shared" si="19"/>
        <v>8</v>
      </c>
      <c r="E83" s="42">
        <f t="shared" si="20"/>
        <v>0.7652571361</v>
      </c>
      <c r="F83" s="42">
        <f t="shared" si="21"/>
        <v>8</v>
      </c>
    </row>
    <row r="84">
      <c r="A84" s="42">
        <f t="shared" si="18"/>
        <v>0.6905685386</v>
      </c>
      <c r="B84" s="3" t="s">
        <v>249</v>
      </c>
      <c r="C84" s="42">
        <f t="shared" si="19"/>
        <v>14</v>
      </c>
      <c r="E84" s="42">
        <f t="shared" si="20"/>
        <v>0.7017277926</v>
      </c>
      <c r="F84" s="42">
        <f t="shared" si="21"/>
        <v>14</v>
      </c>
    </row>
    <row r="85">
      <c r="A85" s="42">
        <f t="shared" si="18"/>
        <v>0.6969587669</v>
      </c>
      <c r="B85" s="3" t="s">
        <v>250</v>
      </c>
      <c r="C85" s="42">
        <f t="shared" si="19"/>
        <v>13</v>
      </c>
      <c r="E85" s="42">
        <f t="shared" si="20"/>
        <v>0.7081314059</v>
      </c>
      <c r="F85" s="42">
        <f t="shared" si="21"/>
        <v>13</v>
      </c>
    </row>
    <row r="86">
      <c r="A86" s="42">
        <f t="shared" si="18"/>
        <v>0.6825873746</v>
      </c>
      <c r="B86" s="3" t="s">
        <v>251</v>
      </c>
      <c r="C86" s="42">
        <f t="shared" si="19"/>
        <v>15</v>
      </c>
      <c r="E86" s="42">
        <f t="shared" si="20"/>
        <v>0.6974409356</v>
      </c>
      <c r="F86" s="42">
        <f t="shared" si="21"/>
        <v>15</v>
      </c>
    </row>
    <row r="87">
      <c r="A87" s="42">
        <f t="shared" si="18"/>
        <v>0.7155272502</v>
      </c>
      <c r="B87" s="3" t="s">
        <v>252</v>
      </c>
      <c r="C87" s="42">
        <f t="shared" si="19"/>
        <v>9</v>
      </c>
      <c r="E87" s="42">
        <f t="shared" si="20"/>
        <v>0.73098079</v>
      </c>
      <c r="F87" s="42">
        <f t="shared" si="21"/>
        <v>10</v>
      </c>
    </row>
    <row r="88">
      <c r="A88" s="42">
        <f t="shared" si="18"/>
        <v>0.5756000501</v>
      </c>
      <c r="B88" s="3" t="s">
        <v>253</v>
      </c>
      <c r="C88" s="42">
        <f t="shared" si="19"/>
        <v>18</v>
      </c>
      <c r="E88" s="42">
        <f t="shared" si="20"/>
        <v>0.6137877045</v>
      </c>
      <c r="F88" s="42">
        <f t="shared" si="21"/>
        <v>17</v>
      </c>
    </row>
    <row r="89">
      <c r="A89" s="42">
        <f t="shared" si="18"/>
        <v>0.5720616714</v>
      </c>
      <c r="B89" s="3" t="s">
        <v>254</v>
      </c>
      <c r="C89" s="42">
        <f t="shared" si="19"/>
        <v>19</v>
      </c>
      <c r="E89" s="42">
        <f t="shared" si="20"/>
        <v>0.6095008476</v>
      </c>
      <c r="F89" s="42">
        <f t="shared" si="21"/>
        <v>18</v>
      </c>
    </row>
    <row r="90">
      <c r="A90" s="42">
        <f t="shared" si="18"/>
        <v>0.7100291932</v>
      </c>
      <c r="B90" s="3" t="s">
        <v>255</v>
      </c>
      <c r="C90" s="42">
        <f t="shared" si="19"/>
        <v>12</v>
      </c>
      <c r="E90" s="42">
        <f t="shared" si="20"/>
        <v>0.7162016878</v>
      </c>
      <c r="F90" s="42">
        <f t="shared" si="21"/>
        <v>12</v>
      </c>
    </row>
    <row r="91">
      <c r="A91" s="42">
        <f t="shared" si="18"/>
        <v>0.6647622042</v>
      </c>
      <c r="B91" s="3" t="s">
        <v>256</v>
      </c>
      <c r="C91" s="42">
        <f t="shared" si="19"/>
        <v>16</v>
      </c>
      <c r="E91" s="42">
        <f t="shared" si="20"/>
        <v>0.6798199414</v>
      </c>
      <c r="F91" s="42">
        <f t="shared" si="21"/>
        <v>16</v>
      </c>
    </row>
    <row r="92">
      <c r="A92" s="42">
        <f t="shared" si="18"/>
        <v>0.5426465646</v>
      </c>
      <c r="B92" s="3" t="s">
        <v>257</v>
      </c>
      <c r="C92" s="42">
        <f t="shared" si="19"/>
        <v>20</v>
      </c>
      <c r="E92" s="42">
        <f t="shared" si="20"/>
        <v>0.5833399251</v>
      </c>
      <c r="F92" s="42">
        <f t="shared" si="21"/>
        <v>20</v>
      </c>
    </row>
    <row r="93">
      <c r="A93" s="42">
        <f t="shared" si="18"/>
        <v>0.5841832865</v>
      </c>
      <c r="B93" s="3" t="s">
        <v>258</v>
      </c>
      <c r="C93" s="42">
        <f t="shared" si="19"/>
        <v>17</v>
      </c>
      <c r="E93" s="42">
        <f t="shared" si="20"/>
        <v>0.5986736437</v>
      </c>
      <c r="F93" s="42">
        <f t="shared" si="21"/>
        <v>19</v>
      </c>
    </row>
    <row r="94">
      <c r="A94" s="3" t="s">
        <v>259</v>
      </c>
      <c r="D94" s="3" t="s">
        <v>260</v>
      </c>
      <c r="E94" s="3" t="s">
        <v>261</v>
      </c>
      <c r="F94" s="3" t="s">
        <v>237</v>
      </c>
    </row>
    <row r="95">
      <c r="A95" s="3">
        <v>0.16</v>
      </c>
      <c r="B95" s="42">
        <f t="shared" ref="B95:B114" si="22">(B27^$A$95)*(C27^$A$96)*(D27^$A$97)*(E27^$A$98)*(F27^$A$99)*(G27^$A$100)*(H27^$A$101)*(I27^$A$102)*(J27^$A$103)*(K27^$A$104)</f>
        <v>0.9438605286</v>
      </c>
      <c r="C95" s="3" t="s">
        <v>239</v>
      </c>
      <c r="D95" s="42">
        <f t="shared" ref="D95:D114" si="23">RANK(B95,$B$95:$B$114,0)</f>
        <v>2</v>
      </c>
      <c r="E95" s="42">
        <f t="shared" ref="E95:E114" si="24">SUMPRODUCT(B27:K27, TRANSPOSE($A$95:$A$104))</f>
        <v>0.949</v>
      </c>
      <c r="F95" s="42">
        <f t="shared" ref="F95:F114" si="25">RANK(E95,$E$95:$E$114,0)</f>
        <v>2</v>
      </c>
    </row>
    <row r="96">
      <c r="A96" s="3">
        <v>0.14</v>
      </c>
      <c r="B96" s="42">
        <f t="shared" si="22"/>
        <v>0.8886732776</v>
      </c>
      <c r="C96" s="3" t="s">
        <v>240</v>
      </c>
      <c r="D96" s="42">
        <f t="shared" si="23"/>
        <v>3</v>
      </c>
      <c r="E96" s="42">
        <f t="shared" si="24"/>
        <v>0.895</v>
      </c>
      <c r="F96" s="42">
        <f t="shared" si="25"/>
        <v>3</v>
      </c>
    </row>
    <row r="97">
      <c r="A97" s="3">
        <v>0.08</v>
      </c>
      <c r="B97" s="42">
        <f t="shared" si="22"/>
        <v>0.8676378641</v>
      </c>
      <c r="C97" s="3" t="s">
        <v>241</v>
      </c>
      <c r="D97" s="42">
        <f t="shared" si="23"/>
        <v>4</v>
      </c>
      <c r="E97" s="42">
        <f t="shared" si="24"/>
        <v>0.874</v>
      </c>
      <c r="F97" s="42">
        <f t="shared" si="25"/>
        <v>4</v>
      </c>
    </row>
    <row r="98">
      <c r="A98" s="3">
        <v>0.13</v>
      </c>
      <c r="B98" s="42">
        <f t="shared" si="22"/>
        <v>0.9502002165</v>
      </c>
      <c r="C98" s="3" t="s">
        <v>242</v>
      </c>
      <c r="D98" s="42">
        <f t="shared" si="23"/>
        <v>1</v>
      </c>
      <c r="E98" s="42">
        <f t="shared" si="24"/>
        <v>0.96</v>
      </c>
      <c r="F98" s="42">
        <f t="shared" si="25"/>
        <v>1</v>
      </c>
    </row>
    <row r="99">
      <c r="A99" s="3">
        <v>0.07</v>
      </c>
      <c r="B99" s="42">
        <f t="shared" si="22"/>
        <v>0.8466002553</v>
      </c>
      <c r="C99" s="3" t="s">
        <v>243</v>
      </c>
      <c r="D99" s="42">
        <f t="shared" si="23"/>
        <v>5</v>
      </c>
      <c r="E99" s="42">
        <f t="shared" si="24"/>
        <v>0.857</v>
      </c>
      <c r="F99" s="42">
        <f t="shared" si="25"/>
        <v>5</v>
      </c>
    </row>
    <row r="100">
      <c r="A100" s="3">
        <v>0.12</v>
      </c>
      <c r="B100" s="42">
        <f t="shared" si="22"/>
        <v>0.7624326824</v>
      </c>
      <c r="C100" s="3" t="s">
        <v>244</v>
      </c>
      <c r="D100" s="42">
        <f t="shared" si="23"/>
        <v>9</v>
      </c>
      <c r="E100" s="42">
        <f t="shared" si="24"/>
        <v>0.774</v>
      </c>
      <c r="F100" s="42">
        <f t="shared" si="25"/>
        <v>9</v>
      </c>
    </row>
    <row r="101">
      <c r="A101" s="3">
        <v>0.09</v>
      </c>
      <c r="B101" s="42">
        <f t="shared" si="22"/>
        <v>0.8060429657</v>
      </c>
      <c r="C101" s="3" t="s">
        <v>245</v>
      </c>
      <c r="D101" s="42">
        <f t="shared" si="23"/>
        <v>7</v>
      </c>
      <c r="E101" s="42">
        <f t="shared" si="24"/>
        <v>0.813</v>
      </c>
      <c r="F101" s="42">
        <f t="shared" si="25"/>
        <v>7</v>
      </c>
    </row>
    <row r="102">
      <c r="A102" s="3">
        <v>0.06</v>
      </c>
      <c r="B102" s="42">
        <f t="shared" si="22"/>
        <v>0.75734577</v>
      </c>
      <c r="C102" s="3" t="s">
        <v>246</v>
      </c>
      <c r="D102" s="42">
        <f t="shared" si="23"/>
        <v>10</v>
      </c>
      <c r="E102" s="42">
        <f t="shared" si="24"/>
        <v>0.763</v>
      </c>
      <c r="F102" s="42">
        <f t="shared" si="25"/>
        <v>10</v>
      </c>
    </row>
    <row r="103">
      <c r="A103" s="3">
        <v>0.05</v>
      </c>
      <c r="B103" s="42">
        <f t="shared" si="22"/>
        <v>0.8385819645</v>
      </c>
      <c r="C103" s="3" t="s">
        <v>247</v>
      </c>
      <c r="D103" s="42">
        <f t="shared" si="23"/>
        <v>6</v>
      </c>
      <c r="E103" s="42">
        <f t="shared" si="24"/>
        <v>0.848</v>
      </c>
      <c r="F103" s="42">
        <f t="shared" si="25"/>
        <v>6</v>
      </c>
    </row>
    <row r="104">
      <c r="A104" s="3">
        <v>0.1</v>
      </c>
      <c r="B104" s="42">
        <f t="shared" si="22"/>
        <v>0.7829536989</v>
      </c>
      <c r="C104" s="3" t="s">
        <v>248</v>
      </c>
      <c r="D104" s="42">
        <f t="shared" si="23"/>
        <v>8</v>
      </c>
      <c r="E104" s="42">
        <f t="shared" si="24"/>
        <v>0.791</v>
      </c>
      <c r="F104" s="42">
        <f t="shared" si="25"/>
        <v>8</v>
      </c>
    </row>
    <row r="105">
      <c r="B105" s="42">
        <f t="shared" si="22"/>
        <v>0.7274493849</v>
      </c>
      <c r="C105" s="3" t="s">
        <v>249</v>
      </c>
      <c r="D105" s="42">
        <f t="shared" si="23"/>
        <v>12</v>
      </c>
      <c r="E105" s="42">
        <f t="shared" si="24"/>
        <v>0.735</v>
      </c>
      <c r="F105" s="42">
        <f t="shared" si="25"/>
        <v>12</v>
      </c>
    </row>
    <row r="106">
      <c r="B106" s="42">
        <f t="shared" si="22"/>
        <v>0.7274493849</v>
      </c>
      <c r="C106" s="3" t="s">
        <v>250</v>
      </c>
      <c r="D106" s="42">
        <f t="shared" si="23"/>
        <v>12</v>
      </c>
      <c r="E106" s="42">
        <f t="shared" si="24"/>
        <v>0.735</v>
      </c>
      <c r="F106" s="42">
        <f t="shared" si="25"/>
        <v>12</v>
      </c>
    </row>
    <row r="107">
      <c r="B107" s="42">
        <f t="shared" si="22"/>
        <v>0.7126971475</v>
      </c>
      <c r="C107" s="3" t="s">
        <v>251</v>
      </c>
      <c r="D107" s="42">
        <f t="shared" si="23"/>
        <v>14</v>
      </c>
      <c r="E107" s="42">
        <f t="shared" si="24"/>
        <v>0.723</v>
      </c>
      <c r="F107" s="42">
        <f t="shared" si="25"/>
        <v>14</v>
      </c>
    </row>
    <row r="108">
      <c r="B108" s="42">
        <f t="shared" si="22"/>
        <v>0.7486807292</v>
      </c>
      <c r="C108" s="3" t="s">
        <v>252</v>
      </c>
      <c r="D108" s="42">
        <f t="shared" si="23"/>
        <v>11</v>
      </c>
      <c r="E108" s="42">
        <f t="shared" si="24"/>
        <v>0.76</v>
      </c>
      <c r="F108" s="42">
        <f t="shared" si="25"/>
        <v>11</v>
      </c>
    </row>
    <row r="109">
      <c r="B109" s="42">
        <f t="shared" si="22"/>
        <v>0.6309753939</v>
      </c>
      <c r="C109" s="3" t="s">
        <v>253</v>
      </c>
      <c r="D109" s="42">
        <f t="shared" si="23"/>
        <v>17</v>
      </c>
      <c r="E109" s="42">
        <f t="shared" si="24"/>
        <v>0.65</v>
      </c>
      <c r="F109" s="42">
        <f t="shared" si="25"/>
        <v>17</v>
      </c>
    </row>
    <row r="110">
      <c r="B110" s="42">
        <f t="shared" si="22"/>
        <v>0.6201776331</v>
      </c>
      <c r="C110" s="3" t="s">
        <v>254</v>
      </c>
      <c r="D110" s="42">
        <f t="shared" si="23"/>
        <v>18</v>
      </c>
      <c r="E110" s="42">
        <f t="shared" si="24"/>
        <v>0.638</v>
      </c>
      <c r="F110" s="42">
        <f t="shared" si="25"/>
        <v>18</v>
      </c>
    </row>
    <row r="111">
      <c r="B111" s="42">
        <f t="shared" si="22"/>
        <v>0.7001415184</v>
      </c>
      <c r="C111" s="3" t="s">
        <v>255</v>
      </c>
      <c r="D111" s="42">
        <f t="shared" si="23"/>
        <v>15</v>
      </c>
      <c r="E111" s="42">
        <f t="shared" si="24"/>
        <v>0.707</v>
      </c>
      <c r="F111" s="42">
        <f t="shared" si="25"/>
        <v>15</v>
      </c>
    </row>
    <row r="112">
      <c r="B112" s="42">
        <f t="shared" si="22"/>
        <v>0.6692225206</v>
      </c>
      <c r="C112" s="3" t="s">
        <v>256</v>
      </c>
      <c r="D112" s="42">
        <f t="shared" si="23"/>
        <v>16</v>
      </c>
      <c r="E112" s="42">
        <f t="shared" si="24"/>
        <v>0.682</v>
      </c>
      <c r="F112" s="42">
        <f t="shared" si="25"/>
        <v>16</v>
      </c>
    </row>
    <row r="113">
      <c r="B113" s="42">
        <f t="shared" si="22"/>
        <v>0.5859537297</v>
      </c>
      <c r="C113" s="3" t="s">
        <v>257</v>
      </c>
      <c r="D113" s="42">
        <f t="shared" si="23"/>
        <v>20</v>
      </c>
      <c r="E113" s="42">
        <f t="shared" si="24"/>
        <v>0.615</v>
      </c>
      <c r="F113" s="42">
        <f t="shared" si="25"/>
        <v>20</v>
      </c>
    </row>
    <row r="114">
      <c r="B114" s="42">
        <f t="shared" si="22"/>
        <v>0.6046414971</v>
      </c>
      <c r="C114" s="3" t="s">
        <v>258</v>
      </c>
      <c r="D114" s="42">
        <f t="shared" si="23"/>
        <v>19</v>
      </c>
      <c r="E114" s="42">
        <f t="shared" si="24"/>
        <v>0.618</v>
      </c>
      <c r="F114" s="42">
        <f t="shared" si="25"/>
        <v>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61" t="s">
        <v>262</v>
      </c>
      <c r="B1" s="61" t="s">
        <v>263</v>
      </c>
      <c r="C1" s="61" t="s">
        <v>264</v>
      </c>
      <c r="D1" s="61" t="s">
        <v>265</v>
      </c>
      <c r="E1" s="61" t="s">
        <v>266</v>
      </c>
      <c r="F1" s="61" t="s">
        <v>267</v>
      </c>
      <c r="G1" s="61"/>
      <c r="H1" s="61" t="s">
        <v>268</v>
      </c>
      <c r="I1" s="44"/>
      <c r="J1" s="44"/>
      <c r="K1" s="44"/>
      <c r="L1" s="44"/>
      <c r="M1" s="44"/>
    </row>
    <row r="2">
      <c r="A2" s="61" t="s">
        <v>269</v>
      </c>
      <c r="B2" s="61">
        <v>0.842</v>
      </c>
      <c r="C2" s="61">
        <v>1.0</v>
      </c>
      <c r="D2" s="61">
        <v>2.0</v>
      </c>
      <c r="E2" s="44">
        <f t="shared" ref="E2:E7" si="1">C2-D2</f>
        <v>-1</v>
      </c>
      <c r="F2" s="44">
        <f t="shared" ref="F2:F7" si="2">E2^2</f>
        <v>1</v>
      </c>
      <c r="G2" s="44"/>
      <c r="H2" s="44">
        <f>(1 - ((6 *F8) / (6 * (6^2 - 1))))</f>
        <v>0.8285714286</v>
      </c>
      <c r="I2" s="61" t="s">
        <v>270</v>
      </c>
      <c r="J2" s="44"/>
      <c r="K2" s="44"/>
      <c r="L2" s="44"/>
      <c r="M2" s="44"/>
    </row>
    <row r="3">
      <c r="A3" s="61" t="s">
        <v>271</v>
      </c>
      <c r="B3" s="61">
        <v>0.831</v>
      </c>
      <c r="C3" s="61">
        <v>2.0</v>
      </c>
      <c r="D3" s="61">
        <v>1.0</v>
      </c>
      <c r="E3" s="44">
        <f t="shared" si="1"/>
        <v>1</v>
      </c>
      <c r="F3" s="44">
        <f t="shared" si="2"/>
        <v>1</v>
      </c>
      <c r="G3" s="44"/>
      <c r="H3" s="44"/>
      <c r="I3" s="61" t="s">
        <v>272</v>
      </c>
      <c r="J3" s="44"/>
      <c r="K3" s="44"/>
      <c r="L3" s="44"/>
      <c r="M3" s="44"/>
    </row>
    <row r="4">
      <c r="A4" s="61" t="s">
        <v>273</v>
      </c>
      <c r="B4" s="61">
        <v>0.764</v>
      </c>
      <c r="C4" s="61">
        <v>3.0</v>
      </c>
      <c r="D4" s="61">
        <v>4.0</v>
      </c>
      <c r="E4" s="44">
        <f t="shared" si="1"/>
        <v>-1</v>
      </c>
      <c r="F4" s="44">
        <f t="shared" si="2"/>
        <v>1</v>
      </c>
      <c r="G4" s="44"/>
      <c r="H4" s="44"/>
      <c r="I4" s="61" t="s">
        <v>274</v>
      </c>
      <c r="J4" s="44"/>
      <c r="K4" s="44"/>
      <c r="L4" s="44"/>
      <c r="M4" s="44"/>
    </row>
    <row r="5">
      <c r="A5" s="61" t="s">
        <v>275</v>
      </c>
      <c r="B5" s="61">
        <v>0.721</v>
      </c>
      <c r="C5" s="61">
        <v>4.0</v>
      </c>
      <c r="D5" s="61">
        <v>3.0</v>
      </c>
      <c r="E5" s="44">
        <f t="shared" si="1"/>
        <v>1</v>
      </c>
      <c r="F5" s="44">
        <f t="shared" si="2"/>
        <v>1</v>
      </c>
      <c r="G5" s="44"/>
      <c r="H5" s="44"/>
      <c r="I5" s="61" t="s">
        <v>276</v>
      </c>
      <c r="J5" s="44"/>
      <c r="K5" s="44"/>
      <c r="L5" s="44"/>
      <c r="M5" s="44"/>
    </row>
    <row r="6">
      <c r="A6" s="61" t="s">
        <v>277</v>
      </c>
      <c r="B6" s="61">
        <v>0.689</v>
      </c>
      <c r="C6" s="61">
        <v>5.0</v>
      </c>
      <c r="D6" s="61">
        <v>6.0</v>
      </c>
      <c r="E6" s="44">
        <f t="shared" si="1"/>
        <v>-1</v>
      </c>
      <c r="F6" s="44">
        <f t="shared" si="2"/>
        <v>1</v>
      </c>
      <c r="G6" s="44"/>
      <c r="H6" s="44"/>
      <c r="I6" s="44"/>
      <c r="J6" s="44"/>
      <c r="K6" s="44"/>
      <c r="L6" s="44"/>
      <c r="M6" s="44"/>
    </row>
    <row r="7">
      <c r="A7" s="61" t="s">
        <v>278</v>
      </c>
      <c r="B7" s="61">
        <v>0.645</v>
      </c>
      <c r="C7" s="61">
        <v>6.0</v>
      </c>
      <c r="D7" s="61">
        <v>5.0</v>
      </c>
      <c r="E7" s="44">
        <f t="shared" si="1"/>
        <v>1</v>
      </c>
      <c r="F7" s="44">
        <f t="shared" si="2"/>
        <v>1</v>
      </c>
      <c r="G7" s="44"/>
      <c r="H7" s="44"/>
      <c r="I7" s="44"/>
      <c r="J7" s="44"/>
      <c r="K7" s="44"/>
      <c r="L7" s="44"/>
      <c r="M7" s="44"/>
    </row>
    <row r="8">
      <c r="A8" s="44"/>
      <c r="B8" s="44"/>
      <c r="C8" s="44"/>
      <c r="D8" s="44"/>
      <c r="E8" s="44"/>
      <c r="F8" s="61">
        <f>SUM(F2:F7)</f>
        <v>6</v>
      </c>
      <c r="G8" s="44"/>
      <c r="H8" s="44"/>
      <c r="I8" s="44"/>
      <c r="J8" s="44"/>
      <c r="K8" s="44"/>
      <c r="L8" s="44"/>
      <c r="M8" s="44"/>
    </row>
    <row r="9">
      <c r="A9" s="61" t="s">
        <v>279</v>
      </c>
      <c r="B9" s="44"/>
      <c r="C9" s="44"/>
      <c r="D9" s="44"/>
      <c r="E9" s="44"/>
      <c r="F9" s="44"/>
      <c r="G9" s="44"/>
      <c r="H9" s="44"/>
      <c r="I9" s="44"/>
      <c r="J9" s="44"/>
      <c r="K9" s="44"/>
      <c r="L9" s="44"/>
      <c r="M9" s="44"/>
    </row>
    <row r="10">
      <c r="A10" s="61" t="s">
        <v>280</v>
      </c>
      <c r="B10" s="44"/>
      <c r="C10" s="44"/>
      <c r="D10" s="44"/>
      <c r="E10" s="44"/>
      <c r="F10" s="44"/>
      <c r="G10" s="44"/>
      <c r="H10" s="44"/>
      <c r="I10" s="44"/>
      <c r="J10" s="44"/>
      <c r="K10" s="44"/>
      <c r="L10" s="44"/>
      <c r="M10" s="44"/>
    </row>
    <row r="11">
      <c r="A11" s="61" t="s">
        <v>281</v>
      </c>
      <c r="B11" s="44"/>
      <c r="C11" s="44"/>
      <c r="D11" s="44"/>
      <c r="E11" s="44"/>
      <c r="F11" s="44"/>
      <c r="G11" s="44"/>
      <c r="H11" s="44"/>
      <c r="I11" s="44"/>
      <c r="J11" s="44"/>
      <c r="K11" s="44"/>
      <c r="L11" s="44"/>
      <c r="M11" s="44"/>
    </row>
    <row r="12">
      <c r="A12" s="61" t="s">
        <v>282</v>
      </c>
      <c r="B12" s="44"/>
      <c r="C12" s="44"/>
      <c r="D12" s="44"/>
      <c r="E12" s="44"/>
      <c r="F12" s="44"/>
      <c r="G12" s="44"/>
      <c r="H12" s="44"/>
      <c r="I12" s="44"/>
      <c r="J12" s="44"/>
      <c r="K12" s="44"/>
      <c r="L12" s="44"/>
      <c r="M12" s="44"/>
    </row>
    <row r="13">
      <c r="A13" s="61" t="s">
        <v>283</v>
      </c>
      <c r="B13" s="44"/>
      <c r="C13" s="44"/>
      <c r="D13" s="44"/>
      <c r="E13" s="44"/>
      <c r="F13" s="44"/>
      <c r="G13" s="44"/>
      <c r="H13" s="44"/>
      <c r="I13" s="44"/>
      <c r="J13" s="44"/>
      <c r="K13" s="44"/>
      <c r="L13" s="44"/>
      <c r="M13" s="44"/>
    </row>
    <row r="14">
      <c r="A14" s="61" t="s">
        <v>284</v>
      </c>
      <c r="B14" s="44"/>
      <c r="C14" s="44"/>
      <c r="D14" s="44"/>
      <c r="E14" s="44"/>
      <c r="F14" s="44"/>
      <c r="G14" s="44"/>
      <c r="H14" s="44"/>
      <c r="I14" s="44"/>
      <c r="J14" s="44"/>
      <c r="K14" s="44"/>
      <c r="L14" s="44"/>
      <c r="M14" s="44"/>
    </row>
    <row r="15">
      <c r="A15" s="61" t="s">
        <v>285</v>
      </c>
      <c r="B15" s="44"/>
      <c r="C15" s="44"/>
      <c r="D15" s="44"/>
      <c r="E15" s="44"/>
      <c r="F15" s="44"/>
      <c r="G15" s="44"/>
      <c r="H15" s="44"/>
      <c r="I15" s="44"/>
      <c r="J15" s="44"/>
      <c r="K15" s="44"/>
      <c r="L15" s="44"/>
      <c r="M15" s="44"/>
    </row>
    <row r="17">
      <c r="A17" s="85" t="s">
        <v>286</v>
      </c>
      <c r="B17" s="85" t="s">
        <v>287</v>
      </c>
      <c r="C17" s="85" t="s">
        <v>288</v>
      </c>
      <c r="D17" s="85" t="s">
        <v>289</v>
      </c>
      <c r="E17" s="85" t="s">
        <v>290</v>
      </c>
      <c r="F17" s="85" t="s">
        <v>291</v>
      </c>
      <c r="G17" s="40"/>
      <c r="H17" s="40"/>
      <c r="I17" s="40"/>
      <c r="J17" s="40"/>
      <c r="K17" s="40"/>
      <c r="L17" s="40"/>
      <c r="M17" s="40"/>
      <c r="N17" s="40"/>
      <c r="O17" s="40"/>
    </row>
    <row r="18">
      <c r="A18" s="85" t="s">
        <v>292</v>
      </c>
      <c r="B18" s="85">
        <v>2.0</v>
      </c>
      <c r="C18" s="85">
        <v>1.0</v>
      </c>
      <c r="D18" s="85">
        <v>3.0</v>
      </c>
      <c r="E18" s="85">
        <v>5.0</v>
      </c>
      <c r="F18" s="85">
        <v>4.0</v>
      </c>
      <c r="G18" s="40"/>
      <c r="H18" s="85" t="s">
        <v>293</v>
      </c>
      <c r="I18" s="40"/>
      <c r="J18" s="85" t="s">
        <v>294</v>
      </c>
      <c r="K18" s="40"/>
      <c r="L18" s="85" t="s">
        <v>295</v>
      </c>
      <c r="M18" s="40"/>
      <c r="N18" s="40"/>
      <c r="O18" s="40"/>
    </row>
    <row r="19">
      <c r="A19" s="85" t="s">
        <v>296</v>
      </c>
      <c r="B19" s="85">
        <v>2.0</v>
      </c>
      <c r="C19" s="85">
        <v>1.0</v>
      </c>
      <c r="D19" s="85">
        <v>3.0</v>
      </c>
      <c r="E19" s="85">
        <v>5.0</v>
      </c>
      <c r="F19" s="85">
        <v>4.0</v>
      </c>
      <c r="G19" s="40"/>
      <c r="H19" s="85" t="s">
        <v>293</v>
      </c>
      <c r="I19" s="40"/>
      <c r="J19" s="85" t="s">
        <v>297</v>
      </c>
      <c r="K19" s="40"/>
      <c r="L19" s="85" t="s">
        <v>298</v>
      </c>
      <c r="M19" s="40"/>
      <c r="N19" s="40"/>
      <c r="O19" s="40"/>
    </row>
    <row r="20">
      <c r="A20" s="85" t="s">
        <v>299</v>
      </c>
      <c r="B20" s="85">
        <v>1.0</v>
      </c>
      <c r="C20" s="85">
        <v>2.0</v>
      </c>
      <c r="D20" s="85">
        <v>3.0</v>
      </c>
      <c r="E20" s="85">
        <v>5.0</v>
      </c>
      <c r="F20" s="85">
        <v>4.0</v>
      </c>
      <c r="G20" s="40"/>
      <c r="H20" s="85" t="s">
        <v>300</v>
      </c>
      <c r="I20" s="40"/>
      <c r="J20" s="85" t="s">
        <v>301</v>
      </c>
      <c r="K20" s="40"/>
      <c r="L20" s="40"/>
      <c r="M20" s="40"/>
      <c r="N20" s="40"/>
      <c r="O20" s="40"/>
    </row>
    <row r="21">
      <c r="A21" s="85" t="s">
        <v>302</v>
      </c>
      <c r="B21" s="85">
        <v>1.0</v>
      </c>
      <c r="C21" s="85">
        <v>2.0</v>
      </c>
      <c r="D21" s="85">
        <v>4.0</v>
      </c>
      <c r="E21" s="85">
        <v>5.0</v>
      </c>
      <c r="F21" s="85">
        <v>3.0</v>
      </c>
      <c r="G21" s="40"/>
      <c r="H21" s="85" t="s">
        <v>303</v>
      </c>
      <c r="I21" s="40"/>
      <c r="J21" s="85" t="s">
        <v>294</v>
      </c>
      <c r="K21" s="40"/>
      <c r="L21" s="40"/>
      <c r="M21" s="40"/>
      <c r="N21" s="40"/>
      <c r="O21" s="40"/>
    </row>
    <row r="22">
      <c r="A22" s="85" t="s">
        <v>304</v>
      </c>
      <c r="B22" s="85">
        <v>1.0</v>
      </c>
      <c r="C22" s="85">
        <v>2.0</v>
      </c>
      <c r="D22" s="85">
        <v>4.0</v>
      </c>
      <c r="E22" s="85">
        <v>5.0</v>
      </c>
      <c r="F22" s="85">
        <v>3.0</v>
      </c>
      <c r="G22" s="40"/>
      <c r="H22" s="85" t="s">
        <v>303</v>
      </c>
      <c r="I22" s="40"/>
      <c r="J22" s="85" t="s">
        <v>305</v>
      </c>
      <c r="K22" s="40"/>
      <c r="L22" s="40"/>
      <c r="M22" s="40"/>
      <c r="N22" s="40"/>
      <c r="O22" s="40"/>
    </row>
    <row r="23">
      <c r="A23" s="40"/>
      <c r="B23" s="40"/>
      <c r="C23" s="40"/>
      <c r="D23" s="40"/>
      <c r="E23" s="40"/>
      <c r="F23" s="40"/>
      <c r="G23" s="40"/>
      <c r="H23" s="40"/>
      <c r="I23" s="40"/>
      <c r="J23" s="40"/>
      <c r="K23" s="40"/>
      <c r="L23" s="40"/>
      <c r="M23" s="40"/>
      <c r="N23" s="40"/>
      <c r="O23" s="40"/>
    </row>
    <row r="24">
      <c r="A24" s="85" t="s">
        <v>306</v>
      </c>
      <c r="B24" s="40"/>
      <c r="C24" s="40"/>
      <c r="D24" s="40"/>
      <c r="E24" s="40"/>
      <c r="F24" s="40"/>
      <c r="G24" s="40"/>
      <c r="H24" s="40"/>
      <c r="I24" s="40"/>
      <c r="J24" s="40"/>
      <c r="K24" s="40"/>
      <c r="L24" s="40"/>
      <c r="M24" s="40"/>
      <c r="N24" s="40"/>
      <c r="O24" s="40"/>
    </row>
    <row r="25">
      <c r="A25" s="85" t="s">
        <v>307</v>
      </c>
      <c r="B25" s="40"/>
      <c r="C25" s="40"/>
      <c r="D25" s="40"/>
      <c r="E25" s="40"/>
      <c r="F25" s="40"/>
      <c r="G25" s="40"/>
      <c r="H25" s="40"/>
      <c r="I25" s="40"/>
      <c r="J25" s="40"/>
      <c r="K25" s="40"/>
      <c r="L25" s="40"/>
      <c r="M25" s="40"/>
      <c r="N25" s="40"/>
      <c r="O25" s="40"/>
    </row>
    <row r="26">
      <c r="A26" s="85" t="s">
        <v>308</v>
      </c>
      <c r="B26" s="40"/>
      <c r="C26" s="40"/>
      <c r="D26" s="40"/>
      <c r="E26" s="40"/>
      <c r="F26" s="40"/>
      <c r="G26" s="40"/>
      <c r="H26" s="40"/>
      <c r="I26" s="40"/>
      <c r="J26" s="40"/>
      <c r="K26" s="40"/>
      <c r="L26" s="40"/>
      <c r="M26" s="40"/>
      <c r="N26" s="40"/>
      <c r="O26" s="40"/>
    </row>
    <row r="27">
      <c r="A27" s="85" t="s">
        <v>309</v>
      </c>
      <c r="B27" s="40"/>
      <c r="C27" s="40"/>
      <c r="D27" s="40"/>
      <c r="E27" s="40"/>
      <c r="F27" s="40"/>
      <c r="G27" s="40"/>
      <c r="H27" s="40"/>
      <c r="I27" s="40"/>
      <c r="J27" s="40"/>
      <c r="K27" s="40"/>
      <c r="L27" s="40"/>
      <c r="M27" s="40"/>
      <c r="N27" s="40"/>
      <c r="O27" s="40"/>
    </row>
    <row r="28">
      <c r="A28" s="85" t="s">
        <v>310</v>
      </c>
      <c r="B28" s="40"/>
      <c r="C28" s="40"/>
      <c r="D28" s="40"/>
      <c r="E28" s="40"/>
      <c r="F28" s="40"/>
      <c r="G28" s="40"/>
      <c r="H28" s="40"/>
      <c r="I28" s="40"/>
      <c r="J28" s="40"/>
      <c r="K28" s="40"/>
      <c r="L28" s="40"/>
      <c r="M28" s="40"/>
      <c r="N28" s="40"/>
      <c r="O28" s="40"/>
    </row>
    <row r="29">
      <c r="A29" s="40"/>
      <c r="B29" s="40"/>
      <c r="C29" s="40"/>
      <c r="D29" s="40"/>
      <c r="E29" s="40"/>
      <c r="F29" s="40"/>
      <c r="G29" s="40"/>
      <c r="H29" s="40"/>
      <c r="I29" s="40"/>
      <c r="J29" s="40"/>
      <c r="K29" s="40"/>
      <c r="L29" s="40"/>
      <c r="M29" s="40"/>
      <c r="N29" s="40"/>
      <c r="O29" s="40"/>
    </row>
    <row r="30">
      <c r="A30" s="85" t="s">
        <v>311</v>
      </c>
      <c r="B30" s="40"/>
      <c r="C30" s="40"/>
      <c r="D30" s="40"/>
      <c r="E30" s="40"/>
      <c r="F30" s="40"/>
      <c r="G30" s="40"/>
      <c r="H30" s="40"/>
      <c r="I30" s="40"/>
      <c r="J30" s="40"/>
      <c r="K30" s="40"/>
      <c r="L30" s="40"/>
      <c r="M30" s="40"/>
      <c r="N30" s="40"/>
      <c r="O30" s="40"/>
    </row>
    <row r="31">
      <c r="A31" s="85" t="s">
        <v>312</v>
      </c>
      <c r="B31" s="85" t="s">
        <v>313</v>
      </c>
      <c r="C31" s="85" t="s">
        <v>301</v>
      </c>
      <c r="D31" s="85" t="s">
        <v>266</v>
      </c>
      <c r="E31" s="85" t="s">
        <v>267</v>
      </c>
      <c r="F31" s="85" t="s">
        <v>268</v>
      </c>
      <c r="G31" s="40"/>
      <c r="H31" s="40"/>
      <c r="I31" s="40"/>
      <c r="J31" s="40"/>
      <c r="K31" s="40"/>
      <c r="L31" s="40"/>
      <c r="M31" s="40"/>
      <c r="N31" s="40"/>
      <c r="O31" s="40"/>
    </row>
    <row r="32">
      <c r="A32" s="85" t="s">
        <v>314</v>
      </c>
      <c r="B32" s="85">
        <v>2.0</v>
      </c>
      <c r="C32" s="85">
        <v>1.0</v>
      </c>
      <c r="D32" s="40">
        <f t="shared" ref="D32:D36" si="3">B32-C32</f>
        <v>1</v>
      </c>
      <c r="E32" s="40">
        <f t="shared" ref="E32:E36" si="4">D32^2</f>
        <v>1</v>
      </c>
      <c r="F32" s="40">
        <f>(1 - ((6 *E37) / (5 * (5^2 - 1))))</f>
        <v>0.9</v>
      </c>
      <c r="G32" s="85" t="s">
        <v>315</v>
      </c>
      <c r="H32" s="40"/>
      <c r="I32" s="40"/>
      <c r="J32" s="40"/>
      <c r="K32" s="40"/>
      <c r="L32" s="40"/>
      <c r="M32" s="40"/>
      <c r="N32" s="40"/>
      <c r="O32" s="40"/>
    </row>
    <row r="33">
      <c r="A33" s="85" t="s">
        <v>316</v>
      </c>
      <c r="B33" s="85">
        <v>1.0</v>
      </c>
      <c r="C33" s="85">
        <v>2.0</v>
      </c>
      <c r="D33" s="40">
        <f t="shared" si="3"/>
        <v>-1</v>
      </c>
      <c r="E33" s="40">
        <f t="shared" si="4"/>
        <v>1</v>
      </c>
      <c r="F33" s="40"/>
      <c r="G33" s="40"/>
      <c r="H33" s="40"/>
      <c r="I33" s="40"/>
      <c r="J33" s="40"/>
      <c r="K33" s="40"/>
      <c r="L33" s="40"/>
      <c r="M33" s="40"/>
      <c r="N33" s="40"/>
      <c r="O33" s="40"/>
    </row>
    <row r="34">
      <c r="A34" s="85" t="s">
        <v>317</v>
      </c>
      <c r="B34" s="85">
        <v>3.0</v>
      </c>
      <c r="C34" s="85">
        <v>3.0</v>
      </c>
      <c r="D34" s="40">
        <f t="shared" si="3"/>
        <v>0</v>
      </c>
      <c r="E34" s="40">
        <f t="shared" si="4"/>
        <v>0</v>
      </c>
      <c r="F34" s="40"/>
      <c r="G34" s="85" t="s">
        <v>318</v>
      </c>
      <c r="H34" s="40"/>
      <c r="I34" s="40"/>
      <c r="J34" s="40"/>
      <c r="K34" s="40"/>
      <c r="L34" s="40"/>
      <c r="M34" s="40"/>
      <c r="N34" s="40"/>
      <c r="O34" s="40"/>
    </row>
    <row r="35">
      <c r="A35" s="85" t="s">
        <v>319</v>
      </c>
      <c r="B35" s="85">
        <v>5.0</v>
      </c>
      <c r="C35" s="85">
        <v>5.0</v>
      </c>
      <c r="D35" s="40">
        <f t="shared" si="3"/>
        <v>0</v>
      </c>
      <c r="E35" s="40">
        <f t="shared" si="4"/>
        <v>0</v>
      </c>
      <c r="F35" s="40"/>
      <c r="G35" s="40"/>
      <c r="H35" s="40"/>
      <c r="I35" s="40"/>
      <c r="J35" s="40"/>
      <c r="K35" s="40"/>
      <c r="L35" s="40"/>
      <c r="M35" s="40"/>
      <c r="N35" s="40"/>
      <c r="O35" s="40"/>
    </row>
    <row r="36">
      <c r="A36" s="85" t="s">
        <v>320</v>
      </c>
      <c r="B36" s="85">
        <v>4.0</v>
      </c>
      <c r="C36" s="85">
        <v>4.0</v>
      </c>
      <c r="D36" s="40">
        <f t="shared" si="3"/>
        <v>0</v>
      </c>
      <c r="E36" s="40">
        <f t="shared" si="4"/>
        <v>0</v>
      </c>
      <c r="F36" s="40"/>
      <c r="G36" s="40"/>
      <c r="H36" s="40"/>
      <c r="I36" s="40"/>
      <c r="J36" s="40"/>
      <c r="K36" s="40"/>
      <c r="L36" s="40"/>
      <c r="M36" s="40"/>
      <c r="N36" s="40"/>
      <c r="O36" s="40"/>
    </row>
    <row r="37">
      <c r="A37" s="40"/>
      <c r="B37" s="40"/>
      <c r="C37" s="40"/>
      <c r="D37" s="40"/>
      <c r="E37" s="40">
        <f>SUM(E32:E36)</f>
        <v>2</v>
      </c>
      <c r="F37" s="40"/>
      <c r="G37" s="40"/>
      <c r="H37" s="40"/>
      <c r="I37" s="40"/>
      <c r="J37" s="40"/>
      <c r="K37" s="40"/>
      <c r="L37" s="40"/>
      <c r="M37" s="40"/>
      <c r="N37" s="40"/>
      <c r="O37" s="40"/>
    </row>
    <row r="38">
      <c r="A38" s="40"/>
      <c r="B38" s="40"/>
      <c r="C38" s="40"/>
      <c r="D38" s="40"/>
      <c r="E38" s="40"/>
      <c r="F38" s="40"/>
      <c r="G38" s="40"/>
      <c r="H38" s="40"/>
      <c r="I38" s="40"/>
      <c r="J38" s="40"/>
      <c r="K38" s="40"/>
      <c r="L38" s="40"/>
      <c r="M38" s="40"/>
      <c r="N38" s="40"/>
      <c r="O38" s="40"/>
    </row>
    <row r="39">
      <c r="A39" s="85" t="s">
        <v>312</v>
      </c>
      <c r="B39" s="85" t="s">
        <v>321</v>
      </c>
      <c r="C39" s="85" t="s">
        <v>301</v>
      </c>
      <c r="D39" s="85" t="s">
        <v>266</v>
      </c>
      <c r="E39" s="85" t="s">
        <v>267</v>
      </c>
      <c r="F39" s="85" t="s">
        <v>268</v>
      </c>
      <c r="G39" s="40"/>
      <c r="H39" s="40"/>
      <c r="I39" s="40"/>
      <c r="J39" s="40"/>
      <c r="K39" s="40"/>
      <c r="L39" s="40"/>
      <c r="M39" s="40"/>
      <c r="N39" s="40"/>
      <c r="O39" s="40"/>
    </row>
    <row r="40">
      <c r="A40" s="85" t="s">
        <v>314</v>
      </c>
      <c r="B40" s="85">
        <v>1.0</v>
      </c>
      <c r="C40" s="85">
        <v>1.0</v>
      </c>
      <c r="D40" s="40">
        <f t="shared" ref="D40:D44" si="5">B40-C40</f>
        <v>0</v>
      </c>
      <c r="E40" s="40">
        <f t="shared" ref="E40:E44" si="6">D40^2</f>
        <v>0</v>
      </c>
      <c r="F40" s="40">
        <f>(1 - ((6 *E45) / (5 * (5^2 - 1))))</f>
        <v>0.9</v>
      </c>
      <c r="G40" s="85" t="s">
        <v>315</v>
      </c>
      <c r="H40" s="40"/>
      <c r="I40" s="40"/>
      <c r="J40" s="40"/>
      <c r="K40" s="40"/>
      <c r="L40" s="40"/>
      <c r="M40" s="40"/>
      <c r="N40" s="40"/>
      <c r="O40" s="40"/>
    </row>
    <row r="41">
      <c r="A41" s="85" t="s">
        <v>316</v>
      </c>
      <c r="B41" s="85">
        <v>2.0</v>
      </c>
      <c r="C41" s="85">
        <v>2.0</v>
      </c>
      <c r="D41" s="40">
        <f t="shared" si="5"/>
        <v>0</v>
      </c>
      <c r="E41" s="40">
        <f t="shared" si="6"/>
        <v>0</v>
      </c>
      <c r="F41" s="40"/>
      <c r="G41" s="40"/>
      <c r="H41" s="40"/>
      <c r="I41" s="40"/>
      <c r="J41" s="40"/>
      <c r="K41" s="40"/>
      <c r="L41" s="40"/>
      <c r="M41" s="40"/>
      <c r="N41" s="40"/>
      <c r="O41" s="40"/>
    </row>
    <row r="42">
      <c r="A42" s="85" t="s">
        <v>317</v>
      </c>
      <c r="B42" s="85">
        <v>4.0</v>
      </c>
      <c r="C42" s="85">
        <v>3.0</v>
      </c>
      <c r="D42" s="40">
        <f t="shared" si="5"/>
        <v>1</v>
      </c>
      <c r="E42" s="40">
        <f t="shared" si="6"/>
        <v>1</v>
      </c>
      <c r="F42" s="40"/>
      <c r="G42" s="85" t="s">
        <v>322</v>
      </c>
      <c r="H42" s="40"/>
      <c r="I42" s="40"/>
      <c r="J42" s="40"/>
      <c r="K42" s="40"/>
      <c r="L42" s="40"/>
      <c r="M42" s="40"/>
      <c r="N42" s="40"/>
      <c r="O42" s="40"/>
    </row>
    <row r="43">
      <c r="A43" s="85" t="s">
        <v>319</v>
      </c>
      <c r="B43" s="85">
        <v>5.0</v>
      </c>
      <c r="C43" s="85">
        <v>5.0</v>
      </c>
      <c r="D43" s="40">
        <f t="shared" si="5"/>
        <v>0</v>
      </c>
      <c r="E43" s="40">
        <f t="shared" si="6"/>
        <v>0</v>
      </c>
      <c r="F43" s="40"/>
      <c r="G43" s="40"/>
      <c r="H43" s="40"/>
      <c r="I43" s="40"/>
      <c r="J43" s="40"/>
      <c r="K43" s="40"/>
      <c r="L43" s="40"/>
      <c r="M43" s="40"/>
      <c r="N43" s="40"/>
      <c r="O43" s="40"/>
    </row>
    <row r="44">
      <c r="A44" s="85" t="s">
        <v>320</v>
      </c>
      <c r="B44" s="85">
        <v>3.0</v>
      </c>
      <c r="C44" s="85">
        <v>4.0</v>
      </c>
      <c r="D44" s="40">
        <f t="shared" si="5"/>
        <v>-1</v>
      </c>
      <c r="E44" s="40">
        <f t="shared" si="6"/>
        <v>1</v>
      </c>
      <c r="F44" s="40"/>
      <c r="G44" s="40"/>
      <c r="H44" s="40"/>
      <c r="I44" s="40"/>
      <c r="J44" s="40"/>
      <c r="K44" s="40"/>
      <c r="L44" s="40"/>
      <c r="M44" s="40"/>
      <c r="N44" s="40"/>
      <c r="O44" s="40"/>
    </row>
    <row r="45">
      <c r="A45" s="40"/>
      <c r="B45" s="40"/>
      <c r="C45" s="40"/>
      <c r="D45" s="40"/>
      <c r="E45" s="40">
        <f>SUM(E40:E44)</f>
        <v>2</v>
      </c>
      <c r="F45" s="40"/>
      <c r="G45" s="40"/>
      <c r="H45" s="40"/>
      <c r="I45" s="40"/>
      <c r="J45" s="40"/>
      <c r="K45" s="40"/>
      <c r="L45" s="40"/>
      <c r="M45" s="40"/>
      <c r="N45" s="40"/>
      <c r="O45" s="4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0.14"/>
  </cols>
  <sheetData>
    <row r="1">
      <c r="A1" s="20" t="s">
        <v>323</v>
      </c>
      <c r="B1" s="20"/>
      <c r="C1" s="20"/>
      <c r="D1" s="74"/>
      <c r="E1" s="74"/>
      <c r="F1" s="74"/>
      <c r="G1" s="74"/>
    </row>
    <row r="2">
      <c r="A2" s="1" t="s">
        <v>0</v>
      </c>
      <c r="B2" s="1" t="s">
        <v>324</v>
      </c>
      <c r="C2" s="1" t="s">
        <v>46</v>
      </c>
      <c r="D2" s="1" t="s">
        <v>266</v>
      </c>
      <c r="E2" s="1" t="s">
        <v>267</v>
      </c>
      <c r="F2" s="52" t="s">
        <v>325</v>
      </c>
    </row>
    <row r="3">
      <c r="A3" s="95" t="s">
        <v>11</v>
      </c>
      <c r="B3" s="2">
        <f>MARCOS!G154</f>
        <v>2</v>
      </c>
      <c r="C3" s="2">
        <f>'PERBANDINGAN + AGREGASI'!C36</f>
        <v>2</v>
      </c>
      <c r="D3" s="73">
        <f t="shared" ref="D3:D22" si="1">B3-C3</f>
        <v>0</v>
      </c>
      <c r="E3" s="73">
        <f t="shared" ref="E3:E22" si="2">D3^2</f>
        <v>0</v>
      </c>
      <c r="F3" s="24">
        <f>(1 - ((6 *E23) / (20 * (20^2 - 1))))</f>
        <v>0.9669172932</v>
      </c>
    </row>
    <row r="4">
      <c r="A4" s="42" t="s">
        <v>12</v>
      </c>
      <c r="B4" s="74">
        <f>MARCOS!G155</f>
        <v>3</v>
      </c>
      <c r="C4" s="74">
        <f>'PERBANDINGAN + AGREGASI'!C37</f>
        <v>4</v>
      </c>
      <c r="D4" s="75">
        <f t="shared" si="1"/>
        <v>-1</v>
      </c>
      <c r="E4" s="75">
        <f t="shared" si="2"/>
        <v>1</v>
      </c>
    </row>
    <row r="5">
      <c r="A5" s="95" t="s">
        <v>13</v>
      </c>
      <c r="B5" s="2">
        <f>MARCOS!G156</f>
        <v>6</v>
      </c>
      <c r="C5" s="2">
        <f>'PERBANDINGAN + AGREGASI'!C38</f>
        <v>5</v>
      </c>
      <c r="D5" s="73">
        <f t="shared" si="1"/>
        <v>1</v>
      </c>
      <c r="E5" s="73">
        <f t="shared" si="2"/>
        <v>1</v>
      </c>
    </row>
    <row r="6">
      <c r="A6" s="42" t="s">
        <v>14</v>
      </c>
      <c r="B6" s="74">
        <f>MARCOS!G157</f>
        <v>1</v>
      </c>
      <c r="C6" s="74">
        <f>'PERBANDINGAN + AGREGASI'!C39</f>
        <v>1</v>
      </c>
      <c r="D6" s="75">
        <f t="shared" si="1"/>
        <v>0</v>
      </c>
      <c r="E6" s="75">
        <f t="shared" si="2"/>
        <v>0</v>
      </c>
    </row>
    <row r="7">
      <c r="A7" s="95" t="s">
        <v>15</v>
      </c>
      <c r="B7" s="2">
        <f>MARCOS!G158</f>
        <v>4</v>
      </c>
      <c r="C7" s="2">
        <f>'PERBANDINGAN + AGREGASI'!C40</f>
        <v>3</v>
      </c>
      <c r="D7" s="73">
        <f t="shared" si="1"/>
        <v>1</v>
      </c>
      <c r="E7" s="73">
        <f t="shared" si="2"/>
        <v>1</v>
      </c>
    </row>
    <row r="8">
      <c r="A8" s="42" t="s">
        <v>16</v>
      </c>
      <c r="B8" s="74">
        <f>MARCOS!G159</f>
        <v>9</v>
      </c>
      <c r="C8" s="74">
        <f>'PERBANDINGAN + AGREGASI'!C41</f>
        <v>9</v>
      </c>
      <c r="D8" s="75">
        <f t="shared" si="1"/>
        <v>0</v>
      </c>
      <c r="E8" s="75">
        <f t="shared" si="2"/>
        <v>0</v>
      </c>
    </row>
    <row r="9">
      <c r="A9" s="95" t="s">
        <v>17</v>
      </c>
      <c r="B9" s="2">
        <f>MARCOS!G160</f>
        <v>7</v>
      </c>
      <c r="C9" s="2">
        <f>'PERBANDINGAN + AGREGASI'!C42</f>
        <v>7</v>
      </c>
      <c r="D9" s="73">
        <f t="shared" si="1"/>
        <v>0</v>
      </c>
      <c r="E9" s="73">
        <f t="shared" si="2"/>
        <v>0</v>
      </c>
    </row>
    <row r="10">
      <c r="A10" s="42" t="s">
        <v>18</v>
      </c>
      <c r="B10" s="74">
        <f>MARCOS!G161</f>
        <v>11</v>
      </c>
      <c r="C10" s="74">
        <f>'PERBANDINGAN + AGREGASI'!C43</f>
        <v>10</v>
      </c>
      <c r="D10" s="75">
        <f t="shared" si="1"/>
        <v>1</v>
      </c>
      <c r="E10" s="75">
        <f t="shared" si="2"/>
        <v>1</v>
      </c>
    </row>
    <row r="11">
      <c r="A11" s="95" t="s">
        <v>19</v>
      </c>
      <c r="B11" s="2">
        <f>MARCOS!G162</f>
        <v>5</v>
      </c>
      <c r="C11" s="2">
        <f>'PERBANDINGAN + AGREGASI'!C44</f>
        <v>6</v>
      </c>
      <c r="D11" s="73">
        <f t="shared" si="1"/>
        <v>-1</v>
      </c>
      <c r="E11" s="73">
        <f t="shared" si="2"/>
        <v>1</v>
      </c>
    </row>
    <row r="12">
      <c r="A12" s="42" t="s">
        <v>20</v>
      </c>
      <c r="B12" s="74">
        <f>MARCOS!G163</f>
        <v>8</v>
      </c>
      <c r="C12" s="74">
        <f>'PERBANDINGAN + AGREGASI'!C45</f>
        <v>8</v>
      </c>
      <c r="D12" s="75">
        <f t="shared" si="1"/>
        <v>0</v>
      </c>
      <c r="E12" s="75">
        <f t="shared" si="2"/>
        <v>0</v>
      </c>
      <c r="G12" s="75"/>
      <c r="H12" s="75"/>
    </row>
    <row r="13">
      <c r="A13" s="95" t="s">
        <v>21</v>
      </c>
      <c r="B13" s="2">
        <f>MARCOS!G164</f>
        <v>14</v>
      </c>
      <c r="C13" s="2">
        <f>'PERBANDINGAN + AGREGASI'!C46</f>
        <v>12</v>
      </c>
      <c r="D13" s="73">
        <f t="shared" si="1"/>
        <v>2</v>
      </c>
      <c r="E13" s="73">
        <f t="shared" si="2"/>
        <v>4</v>
      </c>
      <c r="H13" s="75"/>
    </row>
    <row r="14">
      <c r="A14" s="42" t="s">
        <v>22</v>
      </c>
      <c r="B14" s="74">
        <f>MARCOS!G165</f>
        <v>13</v>
      </c>
      <c r="C14" s="74">
        <f>'PERBANDINGAN + AGREGASI'!C47</f>
        <v>11</v>
      </c>
      <c r="D14" s="75">
        <f t="shared" si="1"/>
        <v>2</v>
      </c>
      <c r="E14" s="75">
        <f t="shared" si="2"/>
        <v>4</v>
      </c>
    </row>
    <row r="15">
      <c r="A15" s="95" t="s">
        <v>23</v>
      </c>
      <c r="B15" s="2">
        <f>MARCOS!G166</f>
        <v>12</v>
      </c>
      <c r="C15" s="2">
        <f>'PERBANDINGAN + AGREGASI'!C48</f>
        <v>15</v>
      </c>
      <c r="D15" s="73">
        <f t="shared" si="1"/>
        <v>-3</v>
      </c>
      <c r="E15" s="73">
        <f t="shared" si="2"/>
        <v>9</v>
      </c>
    </row>
    <row r="16">
      <c r="A16" s="42" t="s">
        <v>24</v>
      </c>
      <c r="B16" s="74">
        <f>MARCOS!G167</f>
        <v>15</v>
      </c>
      <c r="C16" s="74">
        <f>'PERBANDINGAN + AGREGASI'!C49</f>
        <v>13</v>
      </c>
      <c r="D16" s="75">
        <f t="shared" si="1"/>
        <v>2</v>
      </c>
      <c r="E16" s="75">
        <f t="shared" si="2"/>
        <v>4</v>
      </c>
    </row>
    <row r="17">
      <c r="A17" s="95" t="s">
        <v>25</v>
      </c>
      <c r="B17" s="2">
        <f>MARCOS!G168</f>
        <v>18</v>
      </c>
      <c r="C17" s="2">
        <f>'PERBANDINGAN + AGREGASI'!C50</f>
        <v>17</v>
      </c>
      <c r="D17" s="73">
        <f t="shared" si="1"/>
        <v>1</v>
      </c>
      <c r="E17" s="73">
        <f t="shared" si="2"/>
        <v>1</v>
      </c>
    </row>
    <row r="18">
      <c r="A18" s="42" t="s">
        <v>26</v>
      </c>
      <c r="B18" s="74">
        <f>MARCOS!G169</f>
        <v>16</v>
      </c>
      <c r="C18" s="74">
        <f>'PERBANDINGAN + AGREGASI'!C51</f>
        <v>16</v>
      </c>
      <c r="D18" s="75">
        <f t="shared" si="1"/>
        <v>0</v>
      </c>
      <c r="E18" s="75">
        <f t="shared" si="2"/>
        <v>0</v>
      </c>
    </row>
    <row r="19">
      <c r="A19" s="95" t="s">
        <v>27</v>
      </c>
      <c r="B19" s="2">
        <f>MARCOS!G170</f>
        <v>10</v>
      </c>
      <c r="C19" s="2">
        <f>'PERBANDINGAN + AGREGASI'!C52</f>
        <v>14</v>
      </c>
      <c r="D19" s="73">
        <f t="shared" si="1"/>
        <v>-4</v>
      </c>
      <c r="E19" s="73">
        <f t="shared" si="2"/>
        <v>16</v>
      </c>
    </row>
    <row r="20">
      <c r="A20" s="42" t="s">
        <v>28</v>
      </c>
      <c r="B20" s="74">
        <f>MARCOS!G171</f>
        <v>17</v>
      </c>
      <c r="C20" s="74">
        <f>'PERBANDINGAN + AGREGASI'!C53</f>
        <v>18</v>
      </c>
      <c r="D20" s="75">
        <f t="shared" si="1"/>
        <v>-1</v>
      </c>
      <c r="E20" s="75">
        <f t="shared" si="2"/>
        <v>1</v>
      </c>
      <c r="G20" s="75"/>
    </row>
    <row r="21">
      <c r="A21" s="95" t="s">
        <v>29</v>
      </c>
      <c r="B21" s="2">
        <f>MARCOS!G172</f>
        <v>20</v>
      </c>
      <c r="C21" s="2">
        <f>'PERBANDINGAN + AGREGASI'!C54</f>
        <v>20</v>
      </c>
      <c r="D21" s="73">
        <f t="shared" si="1"/>
        <v>0</v>
      </c>
      <c r="E21" s="73">
        <f t="shared" si="2"/>
        <v>0</v>
      </c>
    </row>
    <row r="22">
      <c r="A22" s="42" t="s">
        <v>30</v>
      </c>
      <c r="B22" s="74">
        <f>MARCOS!G173</f>
        <v>19</v>
      </c>
      <c r="C22" s="74">
        <f>'PERBANDINGAN + AGREGASI'!C55</f>
        <v>19</v>
      </c>
      <c r="D22" s="75">
        <f t="shared" si="1"/>
        <v>0</v>
      </c>
      <c r="E22" s="75">
        <f t="shared" si="2"/>
        <v>0</v>
      </c>
    </row>
    <row r="23">
      <c r="E23" s="78">
        <f>SUM(E3:E22)</f>
        <v>44</v>
      </c>
    </row>
    <row r="26">
      <c r="A26" s="20" t="s">
        <v>323</v>
      </c>
      <c r="B26" s="21"/>
      <c r="C26" s="21"/>
    </row>
    <row r="27">
      <c r="A27" s="47" t="s">
        <v>0</v>
      </c>
      <c r="B27" s="1" t="s">
        <v>45</v>
      </c>
      <c r="C27" s="1" t="s">
        <v>326</v>
      </c>
      <c r="D27" s="1" t="s">
        <v>266</v>
      </c>
      <c r="E27" s="1" t="s">
        <v>267</v>
      </c>
      <c r="F27" s="52" t="s">
        <v>325</v>
      </c>
    </row>
    <row r="28">
      <c r="A28" s="95" t="s">
        <v>11</v>
      </c>
      <c r="B28" s="95">
        <f>'PERBANDINGAN + AGREGASI'!B36</f>
        <v>2</v>
      </c>
      <c r="C28" s="95">
        <f>VIKOR!B178</f>
        <v>2</v>
      </c>
      <c r="D28" s="95">
        <f t="shared" ref="D28:D47" si="3">B28-C28</f>
        <v>0</v>
      </c>
      <c r="E28" s="95">
        <f t="shared" ref="E28:E47" si="4">D28^2</f>
        <v>0</v>
      </c>
      <c r="F28" s="24">
        <f>(1 - ((6 *E48) / (20 * (20^2 - 1))))</f>
        <v>0.9939849624</v>
      </c>
    </row>
    <row r="29">
      <c r="A29" s="42" t="s">
        <v>12</v>
      </c>
      <c r="B29" s="42">
        <f>'PERBANDINGAN + AGREGASI'!B37</f>
        <v>4</v>
      </c>
      <c r="C29" s="42">
        <f>VIKOR!B179</f>
        <v>5</v>
      </c>
      <c r="D29" s="42">
        <f t="shared" si="3"/>
        <v>-1</v>
      </c>
      <c r="E29" s="42">
        <f t="shared" si="4"/>
        <v>1</v>
      </c>
      <c r="F29" s="75"/>
    </row>
    <row r="30">
      <c r="A30" s="95" t="s">
        <v>13</v>
      </c>
      <c r="B30" s="95">
        <f>'PERBANDINGAN + AGREGASI'!B38</f>
        <v>6</v>
      </c>
      <c r="C30" s="95">
        <f>VIKOR!B180</f>
        <v>6</v>
      </c>
      <c r="D30" s="95">
        <f t="shared" si="3"/>
        <v>0</v>
      </c>
      <c r="E30" s="95">
        <f t="shared" si="4"/>
        <v>0</v>
      </c>
      <c r="F30" s="75"/>
    </row>
    <row r="31">
      <c r="A31" s="42" t="s">
        <v>14</v>
      </c>
      <c r="B31" s="42">
        <f>'PERBANDINGAN + AGREGASI'!B39</f>
        <v>1</v>
      </c>
      <c r="C31" s="42">
        <f>VIKOR!B181</f>
        <v>1</v>
      </c>
      <c r="D31" s="42">
        <f t="shared" si="3"/>
        <v>0</v>
      </c>
      <c r="E31" s="42">
        <f t="shared" si="4"/>
        <v>0</v>
      </c>
      <c r="F31" s="75"/>
    </row>
    <row r="32">
      <c r="A32" s="95" t="s">
        <v>15</v>
      </c>
      <c r="B32" s="95">
        <f>'PERBANDINGAN + AGREGASI'!B40</f>
        <v>5</v>
      </c>
      <c r="C32" s="95">
        <f>VIKOR!B182</f>
        <v>4</v>
      </c>
      <c r="D32" s="95">
        <f t="shared" si="3"/>
        <v>1</v>
      </c>
      <c r="E32" s="95">
        <f t="shared" si="4"/>
        <v>1</v>
      </c>
      <c r="F32" s="75"/>
    </row>
    <row r="33">
      <c r="A33" s="42" t="s">
        <v>16</v>
      </c>
      <c r="B33" s="42">
        <f>'PERBANDINGAN + AGREGASI'!B41</f>
        <v>9</v>
      </c>
      <c r="C33" s="42">
        <f>VIKOR!B183</f>
        <v>9</v>
      </c>
      <c r="D33" s="42">
        <f t="shared" si="3"/>
        <v>0</v>
      </c>
      <c r="E33" s="42">
        <f t="shared" si="4"/>
        <v>0</v>
      </c>
      <c r="F33" s="75"/>
    </row>
    <row r="34">
      <c r="A34" s="95" t="s">
        <v>17</v>
      </c>
      <c r="B34" s="95">
        <f>'PERBANDINGAN + AGREGASI'!B42</f>
        <v>7</v>
      </c>
      <c r="C34" s="95">
        <f>VIKOR!B184</f>
        <v>7</v>
      </c>
      <c r="D34" s="95">
        <f t="shared" si="3"/>
        <v>0</v>
      </c>
      <c r="E34" s="95">
        <f t="shared" si="4"/>
        <v>0</v>
      </c>
      <c r="F34" s="75"/>
    </row>
    <row r="35">
      <c r="A35" s="42" t="s">
        <v>18</v>
      </c>
      <c r="B35" s="42">
        <f>'PERBANDINGAN + AGREGASI'!B43</f>
        <v>11</v>
      </c>
      <c r="C35" s="42">
        <f>VIKOR!B185</f>
        <v>11</v>
      </c>
      <c r="D35" s="42">
        <f t="shared" si="3"/>
        <v>0</v>
      </c>
      <c r="E35" s="42">
        <f t="shared" si="4"/>
        <v>0</v>
      </c>
      <c r="F35" s="75"/>
    </row>
    <row r="36">
      <c r="A36" s="95" t="s">
        <v>19</v>
      </c>
      <c r="B36" s="95">
        <f>'PERBANDINGAN + AGREGASI'!B44</f>
        <v>3</v>
      </c>
      <c r="C36" s="95">
        <f>VIKOR!B186</f>
        <v>3</v>
      </c>
      <c r="D36" s="95">
        <f t="shared" si="3"/>
        <v>0</v>
      </c>
      <c r="E36" s="95">
        <f t="shared" si="4"/>
        <v>0</v>
      </c>
      <c r="F36" s="75"/>
    </row>
    <row r="37">
      <c r="A37" s="42" t="s">
        <v>20</v>
      </c>
      <c r="B37" s="42">
        <f>'PERBANDINGAN + AGREGASI'!B45</f>
        <v>8</v>
      </c>
      <c r="C37" s="42">
        <f>VIKOR!B187</f>
        <v>8</v>
      </c>
      <c r="D37" s="42">
        <f t="shared" si="3"/>
        <v>0</v>
      </c>
      <c r="E37" s="42">
        <f t="shared" si="4"/>
        <v>0</v>
      </c>
      <c r="F37" s="75"/>
    </row>
    <row r="38">
      <c r="A38" s="95" t="s">
        <v>21</v>
      </c>
      <c r="B38" s="95">
        <f>'PERBANDINGAN + AGREGASI'!B46</f>
        <v>13</v>
      </c>
      <c r="C38" s="95">
        <f>VIKOR!B188</f>
        <v>13</v>
      </c>
      <c r="D38" s="95">
        <f t="shared" si="3"/>
        <v>0</v>
      </c>
      <c r="E38" s="95">
        <f t="shared" si="4"/>
        <v>0</v>
      </c>
      <c r="F38" s="75"/>
    </row>
    <row r="39">
      <c r="A39" s="42" t="s">
        <v>22</v>
      </c>
      <c r="B39" s="42">
        <f>'PERBANDINGAN + AGREGASI'!B47</f>
        <v>12</v>
      </c>
      <c r="C39" s="42">
        <f>VIKOR!B189</f>
        <v>12</v>
      </c>
      <c r="D39" s="42">
        <f t="shared" si="3"/>
        <v>0</v>
      </c>
      <c r="E39" s="42">
        <f t="shared" si="4"/>
        <v>0</v>
      </c>
      <c r="F39" s="75"/>
    </row>
    <row r="40">
      <c r="A40" s="95" t="s">
        <v>23</v>
      </c>
      <c r="B40" s="95">
        <f>'PERBANDINGAN + AGREGASI'!B48</f>
        <v>14</v>
      </c>
      <c r="C40" s="95">
        <f>VIKOR!B190</f>
        <v>14</v>
      </c>
      <c r="D40" s="95">
        <f t="shared" si="3"/>
        <v>0</v>
      </c>
      <c r="E40" s="95">
        <f t="shared" si="4"/>
        <v>0</v>
      </c>
      <c r="F40" s="75"/>
    </row>
    <row r="41">
      <c r="A41" s="42" t="s">
        <v>24</v>
      </c>
      <c r="B41" s="42">
        <f>'PERBANDINGAN + AGREGASI'!B49</f>
        <v>15</v>
      </c>
      <c r="C41" s="42">
        <f>VIKOR!B191</f>
        <v>15</v>
      </c>
      <c r="D41" s="42">
        <f t="shared" si="3"/>
        <v>0</v>
      </c>
      <c r="E41" s="42">
        <f t="shared" si="4"/>
        <v>0</v>
      </c>
      <c r="F41" s="75"/>
    </row>
    <row r="42">
      <c r="A42" s="95" t="s">
        <v>25</v>
      </c>
      <c r="B42" s="95">
        <f>'PERBANDINGAN + AGREGASI'!B50</f>
        <v>17</v>
      </c>
      <c r="C42" s="95">
        <f>VIKOR!B192</f>
        <v>18</v>
      </c>
      <c r="D42" s="95">
        <f t="shared" si="3"/>
        <v>-1</v>
      </c>
      <c r="E42" s="95">
        <f t="shared" si="4"/>
        <v>1</v>
      </c>
      <c r="F42" s="75"/>
    </row>
    <row r="43">
      <c r="A43" s="42" t="s">
        <v>26</v>
      </c>
      <c r="B43" s="42">
        <f>'PERBANDINGAN + AGREGASI'!B51</f>
        <v>18</v>
      </c>
      <c r="C43" s="42">
        <f>VIKOR!B193</f>
        <v>19</v>
      </c>
      <c r="D43" s="42">
        <f t="shared" si="3"/>
        <v>-1</v>
      </c>
      <c r="E43" s="42">
        <f t="shared" si="4"/>
        <v>1</v>
      </c>
      <c r="F43" s="75"/>
    </row>
    <row r="44">
      <c r="A44" s="95" t="s">
        <v>27</v>
      </c>
      <c r="B44" s="95">
        <f>'PERBANDINGAN + AGREGASI'!B52</f>
        <v>10</v>
      </c>
      <c r="C44" s="95">
        <f>VIKOR!B194</f>
        <v>10</v>
      </c>
      <c r="D44" s="95">
        <f t="shared" si="3"/>
        <v>0</v>
      </c>
      <c r="E44" s="95">
        <f t="shared" si="4"/>
        <v>0</v>
      </c>
      <c r="F44" s="75"/>
    </row>
    <row r="45">
      <c r="A45" s="42" t="s">
        <v>28</v>
      </c>
      <c r="B45" s="42">
        <f>'PERBANDINGAN + AGREGASI'!B53</f>
        <v>16</v>
      </c>
      <c r="C45" s="42">
        <f>VIKOR!B195</f>
        <v>16</v>
      </c>
      <c r="D45" s="42">
        <f t="shared" si="3"/>
        <v>0</v>
      </c>
      <c r="E45" s="42">
        <f t="shared" si="4"/>
        <v>0</v>
      </c>
      <c r="F45" s="75"/>
    </row>
    <row r="46">
      <c r="A46" s="95" t="s">
        <v>29</v>
      </c>
      <c r="B46" s="95">
        <f>'PERBANDINGAN + AGREGASI'!B54</f>
        <v>20</v>
      </c>
      <c r="C46" s="95">
        <f>VIKOR!B196</f>
        <v>20</v>
      </c>
      <c r="D46" s="95">
        <f t="shared" si="3"/>
        <v>0</v>
      </c>
      <c r="E46" s="95">
        <f t="shared" si="4"/>
        <v>0</v>
      </c>
      <c r="F46" s="75"/>
    </row>
    <row r="47">
      <c r="A47" s="42" t="s">
        <v>30</v>
      </c>
      <c r="B47" s="42">
        <f>'PERBANDINGAN + AGREGASI'!B55</f>
        <v>19</v>
      </c>
      <c r="C47" s="42">
        <f>VIKOR!B197</f>
        <v>17</v>
      </c>
      <c r="D47" s="42">
        <f t="shared" si="3"/>
        <v>2</v>
      </c>
      <c r="E47" s="42">
        <f t="shared" si="4"/>
        <v>4</v>
      </c>
      <c r="F47" s="75"/>
    </row>
    <row r="48">
      <c r="E48" s="40">
        <f>sum(E28:E47)</f>
        <v>8</v>
      </c>
    </row>
    <row r="50">
      <c r="A50" s="20" t="s">
        <v>327</v>
      </c>
      <c r="B50" s="21"/>
      <c r="C50" s="21"/>
    </row>
    <row r="51">
      <c r="A51" s="3" t="s">
        <v>328</v>
      </c>
      <c r="B51" s="3" t="s">
        <v>329</v>
      </c>
      <c r="C51" s="3" t="s">
        <v>330</v>
      </c>
      <c r="D51" s="3" t="s">
        <v>331</v>
      </c>
      <c r="E51" s="3" t="s">
        <v>332</v>
      </c>
      <c r="F51" s="3" t="s">
        <v>333</v>
      </c>
    </row>
    <row r="52">
      <c r="A52" s="2" t="s">
        <v>11</v>
      </c>
    </row>
    <row r="53">
      <c r="A53" s="3" t="s">
        <v>12</v>
      </c>
    </row>
    <row r="54">
      <c r="A54" s="4" t="s">
        <v>13</v>
      </c>
    </row>
    <row r="55">
      <c r="A55" s="3" t="s">
        <v>14</v>
      </c>
    </row>
    <row r="56">
      <c r="A56" s="4" t="s">
        <v>15</v>
      </c>
    </row>
    <row r="57">
      <c r="A57" s="3" t="s">
        <v>16</v>
      </c>
    </row>
    <row r="58">
      <c r="A58" s="4" t="s">
        <v>17</v>
      </c>
    </row>
    <row r="59">
      <c r="A59" s="3" t="s">
        <v>18</v>
      </c>
    </row>
    <row r="60">
      <c r="A60" s="4" t="s">
        <v>19</v>
      </c>
    </row>
    <row r="61">
      <c r="A61" s="3" t="s">
        <v>20</v>
      </c>
    </row>
    <row r="62">
      <c r="A62" s="4" t="s">
        <v>21</v>
      </c>
    </row>
    <row r="63">
      <c r="A63" s="3" t="s">
        <v>22</v>
      </c>
    </row>
    <row r="64">
      <c r="A64" s="4" t="s">
        <v>23</v>
      </c>
    </row>
    <row r="65">
      <c r="A65" s="3" t="s">
        <v>24</v>
      </c>
    </row>
    <row r="66">
      <c r="A66" s="4" t="s">
        <v>25</v>
      </c>
    </row>
    <row r="67">
      <c r="A67" s="3" t="s">
        <v>26</v>
      </c>
    </row>
    <row r="68">
      <c r="A68" s="4" t="s">
        <v>27</v>
      </c>
    </row>
    <row r="69">
      <c r="A69" s="3" t="s">
        <v>28</v>
      </c>
    </row>
    <row r="70">
      <c r="A70" s="4" t="s">
        <v>29</v>
      </c>
    </row>
    <row r="71">
      <c r="A71" s="3" t="s">
        <v>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39" t="s">
        <v>334</v>
      </c>
      <c r="B1" s="39"/>
      <c r="C1" s="74"/>
      <c r="D1" s="74"/>
      <c r="E1" s="74"/>
      <c r="F1" s="74"/>
      <c r="H1" s="39" t="s">
        <v>335</v>
      </c>
      <c r="I1" s="46"/>
    </row>
    <row r="2">
      <c r="A2" s="1" t="s">
        <v>114</v>
      </c>
      <c r="B2" s="1" t="s">
        <v>336</v>
      </c>
      <c r="C2" s="1" t="s">
        <v>337</v>
      </c>
      <c r="D2" s="1" t="s">
        <v>301</v>
      </c>
      <c r="E2" s="1" t="s">
        <v>338</v>
      </c>
      <c r="F2" s="1" t="s">
        <v>339</v>
      </c>
      <c r="H2" s="1" t="s">
        <v>114</v>
      </c>
      <c r="I2" s="1" t="s">
        <v>336</v>
      </c>
      <c r="J2" s="1" t="s">
        <v>337</v>
      </c>
      <c r="K2" s="1" t="s">
        <v>301</v>
      </c>
      <c r="L2" s="1" t="s">
        <v>338</v>
      </c>
      <c r="M2" s="1" t="s">
        <v>339</v>
      </c>
    </row>
    <row r="3">
      <c r="A3" s="3" t="s">
        <v>1</v>
      </c>
      <c r="B3" s="42">
        <v>0.08499999999999999</v>
      </c>
      <c r="C3" s="42">
        <v>0.08499999999999999</v>
      </c>
      <c r="D3" s="42">
        <f>FUCOM!L89</f>
        <v>0.085</v>
      </c>
      <c r="E3" s="42">
        <v>0.08499999999999999</v>
      </c>
      <c r="F3" s="42">
        <v>0.08499999999999999</v>
      </c>
      <c r="H3" s="3" t="s">
        <v>1</v>
      </c>
      <c r="I3" s="42">
        <f t="shared" ref="I3:I13" si="1">B3/$B$13</f>
        <v>0.09444444444</v>
      </c>
      <c r="J3" s="42">
        <f t="shared" ref="J3:J12" si="2">C3/$C$13</f>
        <v>0.08947368421</v>
      </c>
      <c r="K3" s="42">
        <f t="shared" ref="K3:K13" si="3">D3/$D$13</f>
        <v>0.085</v>
      </c>
      <c r="L3" s="42">
        <f t="shared" ref="L3:L13" si="4">E3/$E$13</f>
        <v>0.08095238095</v>
      </c>
      <c r="M3" s="42">
        <f t="shared" ref="M3:M13" si="5">F3/$F$13</f>
        <v>0.07727272727</v>
      </c>
    </row>
    <row r="4">
      <c r="A4" s="20" t="s">
        <v>2</v>
      </c>
      <c r="B4" s="21">
        <f>D4-10%</f>
        <v>0.02666666667</v>
      </c>
      <c r="C4" s="21">
        <f>D4-5%</f>
        <v>0.07666666667</v>
      </c>
      <c r="D4" s="21">
        <f>FUCOM!L90</f>
        <v>0.1266666667</v>
      </c>
      <c r="E4" s="21">
        <f>D4+5%</f>
        <v>0.1766666667</v>
      </c>
      <c r="F4" s="21">
        <f>D4+10%</f>
        <v>0.2266666667</v>
      </c>
      <c r="H4" s="20" t="s">
        <v>2</v>
      </c>
      <c r="I4" s="21">
        <f t="shared" si="1"/>
        <v>0.02962962963</v>
      </c>
      <c r="J4" s="21">
        <f t="shared" si="2"/>
        <v>0.08070175439</v>
      </c>
      <c r="K4" s="21">
        <f t="shared" si="3"/>
        <v>0.1266666667</v>
      </c>
      <c r="L4" s="21">
        <f t="shared" si="4"/>
        <v>0.1682539683</v>
      </c>
      <c r="M4" s="21">
        <f t="shared" si="5"/>
        <v>0.2060606061</v>
      </c>
    </row>
    <row r="5">
      <c r="A5" s="3" t="s">
        <v>3</v>
      </c>
      <c r="B5" s="42">
        <v>0.12333333333333331</v>
      </c>
      <c r="C5" s="42">
        <v>0.12333333333333331</v>
      </c>
      <c r="D5" s="42">
        <f>FUCOM!L91</f>
        <v>0.1233333333</v>
      </c>
      <c r="E5" s="42">
        <v>0.12333333333333331</v>
      </c>
      <c r="F5" s="42">
        <v>0.12333333333333331</v>
      </c>
      <c r="H5" s="3" t="s">
        <v>3</v>
      </c>
      <c r="I5" s="42">
        <f t="shared" si="1"/>
        <v>0.137037037</v>
      </c>
      <c r="J5" s="42">
        <f t="shared" si="2"/>
        <v>0.1298245614</v>
      </c>
      <c r="K5" s="42">
        <f t="shared" si="3"/>
        <v>0.1233333333</v>
      </c>
      <c r="L5" s="42">
        <f t="shared" si="4"/>
        <v>0.1174603175</v>
      </c>
      <c r="M5" s="42">
        <f t="shared" si="5"/>
        <v>0.1121212121</v>
      </c>
    </row>
    <row r="6">
      <c r="A6" s="3" t="s">
        <v>4</v>
      </c>
      <c r="B6" s="42">
        <v>0.08499999999999999</v>
      </c>
      <c r="C6" s="42">
        <v>0.08499999999999999</v>
      </c>
      <c r="D6" s="42">
        <f>FUCOM!L92</f>
        <v>0.085</v>
      </c>
      <c r="E6" s="42">
        <v>0.08499999999999999</v>
      </c>
      <c r="F6" s="42">
        <v>0.08499999999999999</v>
      </c>
      <c r="H6" s="3" t="s">
        <v>4</v>
      </c>
      <c r="I6" s="42">
        <f t="shared" si="1"/>
        <v>0.09444444444</v>
      </c>
      <c r="J6" s="42">
        <f t="shared" si="2"/>
        <v>0.08947368421</v>
      </c>
      <c r="K6" s="42">
        <f t="shared" si="3"/>
        <v>0.085</v>
      </c>
      <c r="L6" s="42">
        <f t="shared" si="4"/>
        <v>0.08095238095</v>
      </c>
      <c r="M6" s="42">
        <f t="shared" si="5"/>
        <v>0.07727272727</v>
      </c>
    </row>
    <row r="7">
      <c r="A7" s="3" t="s">
        <v>5</v>
      </c>
      <c r="B7" s="42">
        <v>0.065</v>
      </c>
      <c r="C7" s="42">
        <v>0.065</v>
      </c>
      <c r="D7" s="42">
        <f>FUCOM!L93</f>
        <v>0.065</v>
      </c>
      <c r="E7" s="42">
        <v>0.065</v>
      </c>
      <c r="F7" s="42">
        <v>0.065</v>
      </c>
      <c r="H7" s="3" t="s">
        <v>5</v>
      </c>
      <c r="I7" s="42">
        <f t="shared" si="1"/>
        <v>0.07222222222</v>
      </c>
      <c r="J7" s="42">
        <f t="shared" si="2"/>
        <v>0.06842105263</v>
      </c>
      <c r="K7" s="42">
        <f t="shared" si="3"/>
        <v>0.065</v>
      </c>
      <c r="L7" s="42">
        <f t="shared" si="4"/>
        <v>0.0619047619</v>
      </c>
      <c r="M7" s="42">
        <f t="shared" si="5"/>
        <v>0.05909090909</v>
      </c>
    </row>
    <row r="8">
      <c r="A8" s="3" t="s">
        <v>6</v>
      </c>
      <c r="B8" s="42">
        <v>0.095</v>
      </c>
      <c r="C8" s="42">
        <v>0.095</v>
      </c>
      <c r="D8" s="42">
        <f>FUCOM!L94</f>
        <v>0.095</v>
      </c>
      <c r="E8" s="42">
        <v>0.095</v>
      </c>
      <c r="F8" s="42">
        <v>0.095</v>
      </c>
      <c r="H8" s="3" t="s">
        <v>6</v>
      </c>
      <c r="I8" s="42">
        <f t="shared" si="1"/>
        <v>0.1055555556</v>
      </c>
      <c r="J8" s="42">
        <f t="shared" si="2"/>
        <v>0.1</v>
      </c>
      <c r="K8" s="42">
        <f t="shared" si="3"/>
        <v>0.095</v>
      </c>
      <c r="L8" s="42">
        <f t="shared" si="4"/>
        <v>0.09047619048</v>
      </c>
      <c r="M8" s="42">
        <f t="shared" si="5"/>
        <v>0.08636363636</v>
      </c>
    </row>
    <row r="9">
      <c r="A9" s="3" t="s">
        <v>7</v>
      </c>
      <c r="B9" s="97">
        <v>0.12</v>
      </c>
      <c r="C9" s="97">
        <v>0.12</v>
      </c>
      <c r="D9" s="97">
        <f>FUCOM!L95</f>
        <v>0.12</v>
      </c>
      <c r="E9" s="97">
        <v>0.12</v>
      </c>
      <c r="F9" s="97">
        <v>0.12</v>
      </c>
      <c r="H9" s="3" t="s">
        <v>7</v>
      </c>
      <c r="I9" s="42">
        <f t="shared" si="1"/>
        <v>0.1333333333</v>
      </c>
      <c r="J9" s="42">
        <f t="shared" si="2"/>
        <v>0.1263157895</v>
      </c>
      <c r="K9" s="42">
        <f t="shared" si="3"/>
        <v>0.12</v>
      </c>
      <c r="L9" s="42">
        <f t="shared" si="4"/>
        <v>0.1142857143</v>
      </c>
      <c r="M9" s="42">
        <f t="shared" si="5"/>
        <v>0.1090909091</v>
      </c>
    </row>
    <row r="10">
      <c r="A10" s="3" t="s">
        <v>8</v>
      </c>
      <c r="B10" s="42">
        <v>0.1</v>
      </c>
      <c r="C10" s="42">
        <v>0.1</v>
      </c>
      <c r="D10" s="42">
        <f>FUCOM!L96</f>
        <v>0.1</v>
      </c>
      <c r="E10" s="42">
        <v>0.1</v>
      </c>
      <c r="F10" s="42">
        <v>0.1</v>
      </c>
      <c r="H10" s="3" t="s">
        <v>8</v>
      </c>
      <c r="I10" s="42">
        <f t="shared" si="1"/>
        <v>0.1111111111</v>
      </c>
      <c r="J10" s="42">
        <f t="shared" si="2"/>
        <v>0.1052631579</v>
      </c>
      <c r="K10" s="42">
        <f t="shared" si="3"/>
        <v>0.1</v>
      </c>
      <c r="L10" s="42">
        <f t="shared" si="4"/>
        <v>0.09523809524</v>
      </c>
      <c r="M10" s="42">
        <f t="shared" si="5"/>
        <v>0.09090909091</v>
      </c>
    </row>
    <row r="11">
      <c r="A11" s="3" t="s">
        <v>9</v>
      </c>
      <c r="B11" s="42">
        <v>0.11499999999999999</v>
      </c>
      <c r="C11" s="42">
        <v>0.11499999999999999</v>
      </c>
      <c r="D11" s="42">
        <f>FUCOM!L97</f>
        <v>0.115</v>
      </c>
      <c r="E11" s="42">
        <v>0.11499999999999999</v>
      </c>
      <c r="F11" s="42">
        <v>0.11499999999999999</v>
      </c>
      <c r="H11" s="3" t="s">
        <v>9</v>
      </c>
      <c r="I11" s="42">
        <f t="shared" si="1"/>
        <v>0.1277777778</v>
      </c>
      <c r="J11" s="42">
        <f t="shared" si="2"/>
        <v>0.1210526316</v>
      </c>
      <c r="K11" s="42">
        <f t="shared" si="3"/>
        <v>0.115</v>
      </c>
      <c r="L11" s="42">
        <f t="shared" si="4"/>
        <v>0.1095238095</v>
      </c>
      <c r="M11" s="42">
        <f t="shared" si="5"/>
        <v>0.1045454545</v>
      </c>
    </row>
    <row r="12">
      <c r="A12" s="3" t="s">
        <v>10</v>
      </c>
      <c r="B12" s="42">
        <v>0.08499999999999999</v>
      </c>
      <c r="C12" s="42">
        <v>0.08499999999999999</v>
      </c>
      <c r="D12" s="42">
        <f>FUCOM!L98</f>
        <v>0.085</v>
      </c>
      <c r="E12" s="42">
        <v>0.08499999999999999</v>
      </c>
      <c r="F12" s="42">
        <v>0.08499999999999999</v>
      </c>
      <c r="H12" s="3" t="s">
        <v>10</v>
      </c>
      <c r="I12" s="42">
        <f t="shared" si="1"/>
        <v>0.09444444444</v>
      </c>
      <c r="J12" s="42">
        <f t="shared" si="2"/>
        <v>0.08947368421</v>
      </c>
      <c r="K12" s="42">
        <f t="shared" si="3"/>
        <v>0.085</v>
      </c>
      <c r="L12" s="42">
        <f t="shared" si="4"/>
        <v>0.08095238095</v>
      </c>
      <c r="M12" s="42">
        <f t="shared" si="5"/>
        <v>0.07727272727</v>
      </c>
    </row>
    <row r="13">
      <c r="A13" s="4" t="s">
        <v>340</v>
      </c>
      <c r="B13" s="95">
        <f>SUM(B3:B12)</f>
        <v>0.9</v>
      </c>
      <c r="C13" s="95">
        <f t="shared" ref="C13:E13" si="6">sum(C3:C12)</f>
        <v>0.95</v>
      </c>
      <c r="D13" s="95">
        <f t="shared" si="6"/>
        <v>1</v>
      </c>
      <c r="E13" s="95">
        <f t="shared" si="6"/>
        <v>1.05</v>
      </c>
      <c r="F13" s="95">
        <f>SUM(F3:F12)</f>
        <v>1.1</v>
      </c>
      <c r="H13" s="4" t="s">
        <v>340</v>
      </c>
      <c r="I13" s="95">
        <f t="shared" si="1"/>
        <v>1</v>
      </c>
      <c r="J13" s="95">
        <f>SUM(J3:J12)</f>
        <v>1</v>
      </c>
      <c r="K13" s="95">
        <f t="shared" si="3"/>
        <v>1</v>
      </c>
      <c r="L13" s="95">
        <f t="shared" si="4"/>
        <v>1</v>
      </c>
      <c r="M13" s="95">
        <f t="shared" si="5"/>
        <v>1</v>
      </c>
    </row>
    <row r="14">
      <c r="B14" s="75"/>
      <c r="C14" s="75"/>
      <c r="D14" s="75"/>
      <c r="E14" s="75"/>
      <c r="F14" s="75"/>
      <c r="G14" s="75"/>
      <c r="H14" s="75"/>
      <c r="I14" s="75"/>
      <c r="J14" s="75"/>
      <c r="K14" s="75"/>
    </row>
    <row r="15">
      <c r="A15" s="98" t="str">
        <f>FUCOM!A26</f>
        <v>NORMALISASI</v>
      </c>
      <c r="B15" s="99"/>
      <c r="C15" s="99"/>
      <c r="D15" s="99"/>
      <c r="E15" s="99"/>
      <c r="F15" s="99"/>
      <c r="G15" s="99"/>
      <c r="H15" s="99"/>
      <c r="I15" s="99"/>
      <c r="J15" s="99"/>
      <c r="K15" s="99"/>
    </row>
    <row r="16">
      <c r="A16" s="100" t="str">
        <f>FUCOM!A27</f>
        <v>ALTERNATIF</v>
      </c>
      <c r="B16" s="19" t="s">
        <v>1</v>
      </c>
      <c r="C16" s="19" t="s">
        <v>2</v>
      </c>
      <c r="D16" s="19" t="s">
        <v>3</v>
      </c>
      <c r="E16" s="19" t="s">
        <v>4</v>
      </c>
      <c r="F16" s="19" t="s">
        <v>5</v>
      </c>
      <c r="G16" s="19" t="s">
        <v>6</v>
      </c>
      <c r="H16" s="19" t="s">
        <v>7</v>
      </c>
      <c r="I16" s="19" t="s">
        <v>8</v>
      </c>
      <c r="J16" s="19" t="s">
        <v>9</v>
      </c>
      <c r="K16" s="19" t="s">
        <v>10</v>
      </c>
    </row>
    <row r="17">
      <c r="A17" s="101" t="str">
        <f>FUCOM!A28</f>
        <v>AMANDA NABABAN</v>
      </c>
      <c r="B17" s="101">
        <f>FUCOM!B28</f>
        <v>1</v>
      </c>
      <c r="C17" s="101">
        <f>FUCOM!C28</f>
        <v>1</v>
      </c>
      <c r="D17" s="101">
        <f>FUCOM!D28</f>
        <v>1</v>
      </c>
      <c r="E17" s="101">
        <f>FUCOM!E28</f>
        <v>0.5</v>
      </c>
      <c r="F17" s="101">
        <f>FUCOM!F28</f>
        <v>1</v>
      </c>
      <c r="G17" s="101">
        <f>FUCOM!G28</f>
        <v>1</v>
      </c>
      <c r="H17" s="101">
        <f>FUCOM!H28</f>
        <v>1</v>
      </c>
      <c r="I17" s="101">
        <f>FUCOM!I28</f>
        <v>1</v>
      </c>
      <c r="J17" s="101">
        <f>FUCOM!J28</f>
        <v>1</v>
      </c>
      <c r="K17" s="101">
        <f>FUCOM!K28</f>
        <v>0.5</v>
      </c>
    </row>
    <row r="18">
      <c r="A18" s="102" t="str">
        <f>FUCOM!A29</f>
        <v>ARNITA NABABAN</v>
      </c>
      <c r="B18" s="102">
        <f>FUCOM!B29</f>
        <v>1</v>
      </c>
      <c r="C18" s="102">
        <f>FUCOM!C29</f>
        <v>1</v>
      </c>
      <c r="D18" s="102">
        <f>FUCOM!D29</f>
        <v>0.6666666667</v>
      </c>
      <c r="E18" s="102">
        <f>FUCOM!E29</f>
        <v>0.5</v>
      </c>
      <c r="F18" s="102">
        <f>FUCOM!F29</f>
        <v>0.5</v>
      </c>
      <c r="G18" s="102">
        <f>FUCOM!G29</f>
        <v>0.5</v>
      </c>
      <c r="H18" s="102">
        <f>FUCOM!H29</f>
        <v>1</v>
      </c>
      <c r="I18" s="102">
        <f>FUCOM!I29</f>
        <v>1</v>
      </c>
      <c r="J18" s="102">
        <f>FUCOM!J29</f>
        <v>1</v>
      </c>
      <c r="K18" s="102">
        <f>FUCOM!K29</f>
        <v>0.5</v>
      </c>
    </row>
    <row r="19">
      <c r="A19" s="101" t="str">
        <f>FUCOM!A30</f>
        <v>MORES NABABAN</v>
      </c>
      <c r="B19" s="101">
        <f>FUCOM!B30</f>
        <v>0.5</v>
      </c>
      <c r="C19" s="101">
        <f>FUCOM!C30</f>
        <v>1</v>
      </c>
      <c r="D19" s="101">
        <f>FUCOM!D30</f>
        <v>0.6666666667</v>
      </c>
      <c r="E19" s="101">
        <f>FUCOM!E30</f>
        <v>1</v>
      </c>
      <c r="F19" s="101">
        <f>FUCOM!F30</f>
        <v>0.5</v>
      </c>
      <c r="G19" s="101">
        <f>FUCOM!G30</f>
        <v>0.5</v>
      </c>
      <c r="H19" s="101">
        <f>FUCOM!H30</f>
        <v>1</v>
      </c>
      <c r="I19" s="101">
        <f>FUCOM!I30</f>
        <v>0.6666666667</v>
      </c>
      <c r="J19" s="101">
        <f>FUCOM!J30</f>
        <v>1</v>
      </c>
      <c r="K19" s="101">
        <f>FUCOM!K30</f>
        <v>0.5</v>
      </c>
    </row>
    <row r="20">
      <c r="A20" s="102" t="str">
        <f>FUCOM!A31</f>
        <v>SARITUA MARPAUNG</v>
      </c>
      <c r="B20" s="102">
        <f>FUCOM!B31</f>
        <v>1</v>
      </c>
      <c r="C20" s="102">
        <f>FUCOM!C31</f>
        <v>1</v>
      </c>
      <c r="D20" s="102">
        <f>FUCOM!D31</f>
        <v>1</v>
      </c>
      <c r="E20" s="102">
        <f>FUCOM!E31</f>
        <v>1</v>
      </c>
      <c r="F20" s="102">
        <f>FUCOM!F31</f>
        <v>1</v>
      </c>
      <c r="G20" s="102">
        <f>FUCOM!G31</f>
        <v>1</v>
      </c>
      <c r="H20" s="102">
        <f>FUCOM!H31</f>
        <v>1</v>
      </c>
      <c r="I20" s="102">
        <f>FUCOM!I31</f>
        <v>1</v>
      </c>
      <c r="J20" s="102">
        <f>FUCOM!J31</f>
        <v>1</v>
      </c>
      <c r="K20" s="102">
        <f>FUCOM!K31</f>
        <v>0</v>
      </c>
    </row>
    <row r="21">
      <c r="A21" s="101" t="str">
        <f>FUCOM!A32</f>
        <v>ELSA NABABAN</v>
      </c>
      <c r="B21" s="101">
        <f>FUCOM!B32</f>
        <v>0.5</v>
      </c>
      <c r="C21" s="101">
        <f>FUCOM!C32</f>
        <v>1</v>
      </c>
      <c r="D21" s="101">
        <f>FUCOM!D32</f>
        <v>0.6666666667</v>
      </c>
      <c r="E21" s="101">
        <f>FUCOM!E32</f>
        <v>0.5</v>
      </c>
      <c r="F21" s="101">
        <f>FUCOM!F32</f>
        <v>0.5</v>
      </c>
      <c r="G21" s="101">
        <f>FUCOM!G32</f>
        <v>1</v>
      </c>
      <c r="H21" s="101">
        <f>FUCOM!H32</f>
        <v>1</v>
      </c>
      <c r="I21" s="101">
        <f>FUCOM!I32</f>
        <v>0.6666666667</v>
      </c>
      <c r="J21" s="101">
        <f>FUCOM!J32</f>
        <v>1</v>
      </c>
      <c r="K21" s="101">
        <f>FUCOM!K32</f>
        <v>0</v>
      </c>
    </row>
    <row r="22">
      <c r="A22" s="102" t="str">
        <f>FUCOM!A33</f>
        <v>HADI SAPUTRA</v>
      </c>
      <c r="B22" s="102">
        <f>FUCOM!B33</f>
        <v>0.5</v>
      </c>
      <c r="C22" s="102">
        <f>FUCOM!C33</f>
        <v>0.6666666667</v>
      </c>
      <c r="D22" s="102">
        <f>FUCOM!D33</f>
        <v>0.6666666667</v>
      </c>
      <c r="E22" s="102">
        <f>FUCOM!E33</f>
        <v>1</v>
      </c>
      <c r="F22" s="102">
        <f>FUCOM!F33</f>
        <v>0</v>
      </c>
      <c r="G22" s="102">
        <f>FUCOM!G33</f>
        <v>0.5</v>
      </c>
      <c r="H22" s="102">
        <f>FUCOM!H33</f>
        <v>0.5</v>
      </c>
      <c r="I22" s="102">
        <f>FUCOM!I33</f>
        <v>0.3333333333</v>
      </c>
      <c r="J22" s="102">
        <f>FUCOM!J33</f>
        <v>0.5</v>
      </c>
      <c r="K22" s="102">
        <f>FUCOM!K33</f>
        <v>0</v>
      </c>
    </row>
    <row r="23">
      <c r="A23" s="101" t="str">
        <f>FUCOM!A34</f>
        <v>IRFAN AGUS</v>
      </c>
      <c r="B23" s="101">
        <f>FUCOM!B34</f>
        <v>0.5</v>
      </c>
      <c r="C23" s="101">
        <f>FUCOM!C34</f>
        <v>0.6666666667</v>
      </c>
      <c r="D23" s="101">
        <f>FUCOM!D34</f>
        <v>0.6666666667</v>
      </c>
      <c r="E23" s="101">
        <f>FUCOM!E34</f>
        <v>1</v>
      </c>
      <c r="F23" s="101">
        <f>FUCOM!F34</f>
        <v>0.5</v>
      </c>
      <c r="G23" s="101">
        <f>FUCOM!G34</f>
        <v>0.5</v>
      </c>
      <c r="H23" s="101">
        <f>FUCOM!H34</f>
        <v>0.5</v>
      </c>
      <c r="I23" s="101">
        <f>FUCOM!I34</f>
        <v>0.6666666667</v>
      </c>
      <c r="J23" s="101">
        <f>FUCOM!J34</f>
        <v>1</v>
      </c>
      <c r="K23" s="101">
        <f>FUCOM!K34</f>
        <v>0</v>
      </c>
    </row>
    <row r="24">
      <c r="A24" s="102" t="str">
        <f>FUCOM!A35</f>
        <v>LESTARI SIBAGARIANG</v>
      </c>
      <c r="B24" s="102">
        <f>FUCOM!B35</f>
        <v>0.5</v>
      </c>
      <c r="C24" s="102">
        <f>FUCOM!C35</f>
        <v>0.6666666667</v>
      </c>
      <c r="D24" s="102">
        <f>FUCOM!D35</f>
        <v>0.6666666667</v>
      </c>
      <c r="E24" s="102">
        <f>FUCOM!E35</f>
        <v>0.5</v>
      </c>
      <c r="F24" s="102">
        <f>FUCOM!F35</f>
        <v>0</v>
      </c>
      <c r="G24" s="102">
        <f>FUCOM!G35</f>
        <v>0.5</v>
      </c>
      <c r="H24" s="102">
        <f>FUCOM!H35</f>
        <v>0.5</v>
      </c>
      <c r="I24" s="102">
        <f>FUCOM!I35</f>
        <v>0.3333333333</v>
      </c>
      <c r="J24" s="102">
        <f>FUCOM!J35</f>
        <v>0.5</v>
      </c>
      <c r="K24" s="102">
        <f>FUCOM!K35</f>
        <v>0.5</v>
      </c>
    </row>
    <row r="25">
      <c r="A25" s="101" t="str">
        <f>FUCOM!A36</f>
        <v>JOSIA NABABAN</v>
      </c>
      <c r="B25" s="101">
        <f>FUCOM!B36</f>
        <v>0.5</v>
      </c>
      <c r="C25" s="101">
        <f>FUCOM!C36</f>
        <v>0.6666666667</v>
      </c>
      <c r="D25" s="101">
        <f>FUCOM!D36</f>
        <v>0.6666666667</v>
      </c>
      <c r="E25" s="101">
        <f>FUCOM!E36</f>
        <v>0.5</v>
      </c>
      <c r="F25" s="101">
        <f>FUCOM!F36</f>
        <v>1</v>
      </c>
      <c r="G25" s="101">
        <f>FUCOM!G36</f>
        <v>1</v>
      </c>
      <c r="H25" s="101">
        <f>FUCOM!H36</f>
        <v>1</v>
      </c>
      <c r="I25" s="101">
        <f>FUCOM!I36</f>
        <v>1</v>
      </c>
      <c r="J25" s="101">
        <f>FUCOM!J36</f>
        <v>0.5</v>
      </c>
      <c r="K25" s="101">
        <f>FUCOM!K36</f>
        <v>0</v>
      </c>
    </row>
    <row r="26">
      <c r="A26" s="102" t="str">
        <f>FUCOM!A37</f>
        <v>IRMA SIANIPAR</v>
      </c>
      <c r="B26" s="102">
        <f>FUCOM!B37</f>
        <v>0.5</v>
      </c>
      <c r="C26" s="102">
        <f>FUCOM!C37</f>
        <v>1</v>
      </c>
      <c r="D26" s="102">
        <f>FUCOM!D37</f>
        <v>0.6666666667</v>
      </c>
      <c r="E26" s="102">
        <f>FUCOM!E37</f>
        <v>0.5</v>
      </c>
      <c r="F26" s="102">
        <f>FUCOM!F37</f>
        <v>0</v>
      </c>
      <c r="G26" s="102">
        <f>FUCOM!G37</f>
        <v>0.5</v>
      </c>
      <c r="H26" s="102">
        <f>FUCOM!H37</f>
        <v>0.5</v>
      </c>
      <c r="I26" s="102">
        <f>FUCOM!I37</f>
        <v>0.6666666667</v>
      </c>
      <c r="J26" s="102">
        <f>FUCOM!J37</f>
        <v>0.5</v>
      </c>
      <c r="K26" s="102">
        <f>FUCOM!K37</f>
        <v>0</v>
      </c>
    </row>
    <row r="27">
      <c r="A27" s="101" t="str">
        <f>FUCOM!A38</f>
        <v>LAMTIUR NABABAN</v>
      </c>
      <c r="B27" s="101">
        <f>FUCOM!B38</f>
        <v>0.5</v>
      </c>
      <c r="C27" s="101">
        <f>FUCOM!C38</f>
        <v>0.6666666667</v>
      </c>
      <c r="D27" s="101">
        <f>FUCOM!D38</f>
        <v>0.3333333333</v>
      </c>
      <c r="E27" s="101">
        <f>FUCOM!E38</f>
        <v>0</v>
      </c>
      <c r="F27" s="101">
        <f>FUCOM!F38</f>
        <v>0.5</v>
      </c>
      <c r="G27" s="101">
        <f>FUCOM!G38</f>
        <v>0.5</v>
      </c>
      <c r="H27" s="101">
        <f>FUCOM!H38</f>
        <v>0.5</v>
      </c>
      <c r="I27" s="101">
        <f>FUCOM!I38</f>
        <v>0.3333333333</v>
      </c>
      <c r="J27" s="101">
        <f>FUCOM!J38</f>
        <v>0.5</v>
      </c>
      <c r="K27" s="101">
        <f>FUCOM!K38</f>
        <v>0.5</v>
      </c>
    </row>
    <row r="28">
      <c r="A28" s="102" t="str">
        <f>FUCOM!A39</f>
        <v>RAHUL NABABAN</v>
      </c>
      <c r="B28" s="102">
        <f>FUCOM!B39</f>
        <v>0.5</v>
      </c>
      <c r="C28" s="102">
        <f>FUCOM!C39</f>
        <v>0.3333333333</v>
      </c>
      <c r="D28" s="102">
        <f>FUCOM!D39</f>
        <v>0.6666666667</v>
      </c>
      <c r="E28" s="102">
        <f>FUCOM!E39</f>
        <v>0.5</v>
      </c>
      <c r="F28" s="102">
        <f>FUCOM!F39</f>
        <v>0</v>
      </c>
      <c r="G28" s="102">
        <f>FUCOM!G39</f>
        <v>0.5</v>
      </c>
      <c r="H28" s="102">
        <f>FUCOM!H39</f>
        <v>0.5</v>
      </c>
      <c r="I28" s="102">
        <f>FUCOM!I39</f>
        <v>0.3333333333</v>
      </c>
      <c r="J28" s="102">
        <f>FUCOM!J39</f>
        <v>0.5</v>
      </c>
      <c r="K28" s="102">
        <f>FUCOM!K39</f>
        <v>0.5</v>
      </c>
    </row>
    <row r="29">
      <c r="A29" s="101" t="str">
        <f>FUCOM!A40</f>
        <v>HOSIANA NABABAN</v>
      </c>
      <c r="B29" s="101">
        <f>FUCOM!B40</f>
        <v>0.5</v>
      </c>
      <c r="C29" s="101">
        <f>FUCOM!C40</f>
        <v>0.6666666667</v>
      </c>
      <c r="D29" s="101">
        <f>FUCOM!D40</f>
        <v>0.6666666667</v>
      </c>
      <c r="E29" s="101">
        <f>FUCOM!E40</f>
        <v>0</v>
      </c>
      <c r="F29" s="101">
        <f>FUCOM!F40</f>
        <v>0</v>
      </c>
      <c r="G29" s="101">
        <f>FUCOM!G40</f>
        <v>0</v>
      </c>
      <c r="H29" s="101">
        <f>FUCOM!H40</f>
        <v>0.5</v>
      </c>
      <c r="I29" s="101">
        <f>FUCOM!I40</f>
        <v>0.3333333333</v>
      </c>
      <c r="J29" s="101">
        <f>FUCOM!J40</f>
        <v>1</v>
      </c>
      <c r="K29" s="101">
        <f>FUCOM!K40</f>
        <v>0.5</v>
      </c>
    </row>
    <row r="30">
      <c r="A30" s="102" t="str">
        <f>FUCOM!A41</f>
        <v>ESTER NABABAN</v>
      </c>
      <c r="B30" s="102">
        <f>FUCOM!B41</f>
        <v>0.5</v>
      </c>
      <c r="C30" s="102">
        <f>FUCOM!C41</f>
        <v>0.3333333333</v>
      </c>
      <c r="D30" s="102">
        <f>FUCOM!D41</f>
        <v>0.6666666667</v>
      </c>
      <c r="E30" s="102">
        <f>FUCOM!E41</f>
        <v>0.5</v>
      </c>
      <c r="F30" s="102">
        <f>FUCOM!F41</f>
        <v>0</v>
      </c>
      <c r="G30" s="102">
        <f>FUCOM!G41</f>
        <v>0.5</v>
      </c>
      <c r="H30" s="102">
        <f>FUCOM!H41</f>
        <v>0.5</v>
      </c>
      <c r="I30" s="102">
        <f>FUCOM!I41</f>
        <v>0.3333333333</v>
      </c>
      <c r="J30" s="102">
        <f>FUCOM!J41</f>
        <v>0.5</v>
      </c>
      <c r="K30" s="102">
        <f>FUCOM!K41</f>
        <v>1</v>
      </c>
    </row>
    <row r="31">
      <c r="A31" s="101" t="str">
        <f>FUCOM!A42</f>
        <v>ANWAR NABABAN</v>
      </c>
      <c r="B31" s="101">
        <f>FUCOM!B42</f>
        <v>0</v>
      </c>
      <c r="C31" s="101">
        <f>FUCOM!C42</f>
        <v>0.3333333333</v>
      </c>
      <c r="D31" s="101">
        <f>FUCOM!D42</f>
        <v>0.3333333333</v>
      </c>
      <c r="E31" s="101">
        <f>FUCOM!E42</f>
        <v>0</v>
      </c>
      <c r="F31" s="101">
        <f>FUCOM!F42</f>
        <v>0.5</v>
      </c>
      <c r="G31" s="101">
        <f>FUCOM!G42</f>
        <v>0.5</v>
      </c>
      <c r="H31" s="101">
        <f>FUCOM!H42</f>
        <v>0.5</v>
      </c>
      <c r="I31" s="101">
        <f>FUCOM!I42</f>
        <v>0</v>
      </c>
      <c r="J31" s="101">
        <f>FUCOM!J42</f>
        <v>0</v>
      </c>
      <c r="K31" s="101">
        <f>FUCOM!K42</f>
        <v>0.5</v>
      </c>
    </row>
    <row r="32">
      <c r="A32" s="102" t="str">
        <f>FUCOM!A43</f>
        <v>MORISCA SIBAGARIANG</v>
      </c>
      <c r="B32" s="102">
        <f>FUCOM!B43</f>
        <v>0</v>
      </c>
      <c r="C32" s="102">
        <f>FUCOM!C43</f>
        <v>0.3333333333</v>
      </c>
      <c r="D32" s="102">
        <f>FUCOM!D43</f>
        <v>0.6666666667</v>
      </c>
      <c r="E32" s="102">
        <f>FUCOM!E43</f>
        <v>0</v>
      </c>
      <c r="F32" s="102">
        <f>FUCOM!F43</f>
        <v>0</v>
      </c>
      <c r="G32" s="102">
        <f>FUCOM!G43</f>
        <v>0</v>
      </c>
      <c r="H32" s="102">
        <f>FUCOM!H43</f>
        <v>0.5</v>
      </c>
      <c r="I32" s="102">
        <f>FUCOM!I43</f>
        <v>0</v>
      </c>
      <c r="J32" s="102">
        <f>FUCOM!J43</f>
        <v>0.5</v>
      </c>
      <c r="K32" s="102">
        <f>FUCOM!K43</f>
        <v>0.5</v>
      </c>
    </row>
    <row r="33">
      <c r="A33" s="101" t="str">
        <f>FUCOM!A44</f>
        <v>ELFRIDA SITINJAK</v>
      </c>
      <c r="B33" s="101">
        <f>FUCOM!B44</f>
        <v>0</v>
      </c>
      <c r="C33" s="101">
        <f>FUCOM!C44</f>
        <v>0.6666666667</v>
      </c>
      <c r="D33" s="101">
        <f>FUCOM!D44</f>
        <v>0.6666666667</v>
      </c>
      <c r="E33" s="101">
        <f>FUCOM!E44</f>
        <v>0.5</v>
      </c>
      <c r="F33" s="101">
        <f>FUCOM!F44</f>
        <v>0</v>
      </c>
      <c r="G33" s="101">
        <f>FUCOM!G44</f>
        <v>0</v>
      </c>
      <c r="H33" s="101">
        <f>FUCOM!H44</f>
        <v>0.5</v>
      </c>
      <c r="I33" s="101">
        <f>FUCOM!I44</f>
        <v>0.6666666667</v>
      </c>
      <c r="J33" s="101">
        <f>FUCOM!J44</f>
        <v>0.5</v>
      </c>
      <c r="K33" s="101">
        <f>FUCOM!K44</f>
        <v>0</v>
      </c>
    </row>
    <row r="34">
      <c r="A34" s="102" t="str">
        <f>FUCOM!A45</f>
        <v>CREDO NABABAN</v>
      </c>
      <c r="B34" s="102">
        <f>FUCOM!B45</f>
        <v>0</v>
      </c>
      <c r="C34" s="102">
        <f>FUCOM!C45</f>
        <v>0.3333333333</v>
      </c>
      <c r="D34" s="102">
        <f>FUCOM!D45</f>
        <v>0.6666666667</v>
      </c>
      <c r="E34" s="102">
        <f>FUCOM!E45</f>
        <v>0</v>
      </c>
      <c r="F34" s="102">
        <f>FUCOM!F45</f>
        <v>0.5</v>
      </c>
      <c r="G34" s="102">
        <f>FUCOM!G45</f>
        <v>0</v>
      </c>
      <c r="H34" s="102">
        <f>FUCOM!H45</f>
        <v>0.5</v>
      </c>
      <c r="I34" s="102">
        <f>FUCOM!I45</f>
        <v>0.3333333333</v>
      </c>
      <c r="J34" s="102">
        <f>FUCOM!J45</f>
        <v>0</v>
      </c>
      <c r="K34" s="102">
        <f>FUCOM!K45</f>
        <v>1</v>
      </c>
    </row>
    <row r="35">
      <c r="A35" s="101" t="str">
        <f>FUCOM!A46</f>
        <v>SERDI SILITONGA</v>
      </c>
      <c r="B35" s="101">
        <f>FUCOM!B46</f>
        <v>0</v>
      </c>
      <c r="C35" s="101">
        <f>FUCOM!C46</f>
        <v>0</v>
      </c>
      <c r="D35" s="101">
        <f>FUCOM!D46</f>
        <v>0.3333333333</v>
      </c>
      <c r="E35" s="101">
        <f>FUCOM!E46</f>
        <v>0</v>
      </c>
      <c r="F35" s="101">
        <f>FUCOM!F46</f>
        <v>0</v>
      </c>
      <c r="G35" s="101">
        <f>FUCOM!G46</f>
        <v>0.5</v>
      </c>
      <c r="H35" s="101">
        <f>FUCOM!H46</f>
        <v>0</v>
      </c>
      <c r="I35" s="101">
        <f>FUCOM!I46</f>
        <v>0</v>
      </c>
      <c r="J35" s="101">
        <f>FUCOM!J46</f>
        <v>0</v>
      </c>
      <c r="K35" s="101">
        <f>FUCOM!K46</f>
        <v>1</v>
      </c>
    </row>
    <row r="36">
      <c r="A36" s="102" t="str">
        <f>FUCOM!A47</f>
        <v>JELMANRO SILITONGA</v>
      </c>
      <c r="B36" s="102">
        <f>FUCOM!B47</f>
        <v>0</v>
      </c>
      <c r="C36" s="102">
        <f>FUCOM!C47</f>
        <v>0.3333333333</v>
      </c>
      <c r="D36" s="102">
        <f>FUCOM!D47</f>
        <v>0</v>
      </c>
      <c r="E36" s="102">
        <f>FUCOM!E47</f>
        <v>0</v>
      </c>
      <c r="F36" s="102">
        <f>FUCOM!F47</f>
        <v>0</v>
      </c>
      <c r="G36" s="102">
        <f>FUCOM!G47</f>
        <v>0</v>
      </c>
      <c r="H36" s="102">
        <f>FUCOM!H47</f>
        <v>0</v>
      </c>
      <c r="I36" s="102">
        <f>FUCOM!I47</f>
        <v>0.3333333333</v>
      </c>
      <c r="J36" s="102">
        <f>FUCOM!J47</f>
        <v>0</v>
      </c>
      <c r="K36" s="102">
        <f>FUCOM!K47</f>
        <v>1</v>
      </c>
    </row>
    <row r="37">
      <c r="A37" s="103"/>
      <c r="B37" s="103"/>
      <c r="C37" s="103"/>
      <c r="D37" s="103"/>
      <c r="E37" s="103"/>
      <c r="F37" s="103"/>
      <c r="G37" s="103"/>
      <c r="H37" s="103"/>
      <c r="I37" s="103"/>
      <c r="J37" s="103"/>
      <c r="K37" s="103"/>
    </row>
    <row r="38">
      <c r="A38" s="103"/>
      <c r="B38" s="103"/>
      <c r="C38" s="103"/>
      <c r="D38" s="103"/>
      <c r="E38" s="103"/>
      <c r="F38" s="103"/>
      <c r="G38" s="103"/>
      <c r="H38" s="103"/>
      <c r="I38" s="103"/>
      <c r="J38" s="103"/>
      <c r="K38" s="103"/>
    </row>
  </sheetData>
  <drawing r:id="rId1"/>
</worksheet>
</file>